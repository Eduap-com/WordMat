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WordMat\Windows\Excelfiles\"/>
    </mc:Choice>
  </mc:AlternateContent>
  <xr:revisionPtr revIDLastSave="0" documentId="13_ncr:1_{7746DCD1-09AC-4E54-A168-FE7F27C6CFE8}" xr6:coauthVersionLast="47" xr6:coauthVersionMax="47" xr10:uidLastSave="{00000000-0000-0000-0000-000000000000}"/>
  <bookViews>
    <workbookView xWindow="10875" yWindow="1650" windowWidth="26970" windowHeight="15345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N6" i="15" s="1"/>
  <c r="AJ4" i="15" a="1"/>
  <c r="AJ3" i="15" a="1"/>
  <c r="AJ2" i="15" a="1"/>
  <c r="AJ4" i="15" l="1"/>
  <c r="AJ3" i="15"/>
  <c r="AJ2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<sst xmlns="http://schemas.openxmlformats.org/spreadsheetml/2006/main" count="50" uniqueCount="32">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</sst>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6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101599</xdr:colOff>
      <xdr:row>0</xdr:row>
      <xdr:rowOff>9525</xdr:rowOff>
    </xdr:from>
    <xdr:to>
      <xdr:col>34</xdr:col>
      <xdr:colOff>1152525</xdr:colOff>
      <xdr:row>19</xdr:row>
      <xdr:rowOff>57150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19</xdr:col>
          <xdr:colOff>161925</xdr:colOff>
          <xdr:row>3</xdr:row>
          <xdr:rowOff>104775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0</xdr:row>
          <xdr:rowOff>28575</xdr:rowOff>
        </xdr:from>
        <xdr:to>
          <xdr:col>21</xdr:col>
          <xdr:colOff>295275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101599</xdr:colOff>
      <xdr:row>19</xdr:row>
      <xdr:rowOff>66674</xdr:rowOff>
    </xdr:from>
    <xdr:to>
      <xdr:col>34</xdr:col>
      <xdr:colOff>1152524</xdr:colOff>
      <xdr:row>38</xdr:row>
      <xdr:rowOff>47624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</xdr:colOff>
          <xdr:row>15</xdr:row>
          <xdr:rowOff>9525</xdr:rowOff>
        </xdr:from>
        <xdr:to>
          <xdr:col>38</xdr:col>
          <xdr:colOff>0</xdr:colOff>
          <xdr:row>16</xdr:row>
          <xdr:rowOff>123825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oneCellAnchor>
    <xdr:from>
      <xdr:col>34</xdr:col>
      <xdr:colOff>1073150</xdr:colOff>
      <xdr:row>1</xdr:row>
      <xdr:rowOff>38101</xdr:rowOff>
    </xdr:from>
    <xdr:ext cx="676019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312275" y="238126"/>
          <a:ext cx="676019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#VALUE!</a:t>
          </a:fld>
          <a:r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ˣ</a:t>
          </a:r>
          <a:endParaRPr lang="da-DK" sz="1000" baseline="0"/>
        </a:p>
      </xdr:txBody>
    </xdr:sp>
    <xdr:clientData/>
  </xdr:oneCellAnchor>
  <xdr:oneCellAnchor>
    <xdr:from>
      <xdr:col>34</xdr:col>
      <xdr:colOff>1076324</xdr:colOff>
      <xdr:row>2</xdr:row>
      <xdr:rowOff>114300</xdr:rowOff>
    </xdr:from>
    <xdr:ext cx="706604" cy="248851"/>
    <xdr:sp macro="" textlink="$AJ$3">
      <xdr:nvSpPr>
        <xdr:cNvPr id="2" name="Tekstfelt 5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15449" y="504825"/>
          <a:ext cx="706604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marL="0" indent="0"/>
          <a:fld id="{A2330A6A-48C9-4627-B282-A329A0F0A37D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#VALUE!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34</xdr:col>
      <xdr:colOff>1076324</xdr:colOff>
      <xdr:row>4</xdr:row>
      <xdr:rowOff>0</xdr:rowOff>
    </xdr:from>
    <xdr:ext cx="706604" cy="248851"/>
    <xdr:sp macro="" textlink="$AJ$4">
      <xdr:nvSpPr>
        <xdr:cNvPr id="6" name="Tekstfelt 6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315449" y="771525"/>
          <a:ext cx="706604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marL="0" indent="0"/>
          <a:fld id="{0F9122DD-8D38-4CF6-8EAE-FF4C13199BF1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#VALUE!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Q7" sqref="Q7"/>
    </sheetView>
  </sheetViews>
  <sheetFormatPr defaultRowHeight="15" x14ac:dyDescent="0.25"/>
  <cols>
    <col min="1" max="16" width="0.140625" style="31" customWidth="1"/>
    <col min="17" max="26" width="6.42578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30"/>
      <c r="B1" s="31" t="s">
        <v>4</v>
      </c>
      <c r="C1" s="31" t="s">
        <v>4</v>
      </c>
      <c r="D1" s="31" t="s">
        <v>4</v>
      </c>
      <c r="E1" s="31" t="s">
        <v>4</v>
      </c>
      <c r="F1" s="31" t="s">
        <v>4</v>
      </c>
      <c r="G1" s="31" t="s">
        <v>4</v>
      </c>
      <c r="N1" s="31" t="e">
        <f>EXP(INDEX(LINEST(LN($R$6:$R$7),$Q$6:$Q$7),1,2))</f>
        <v>#VALUE!</v>
      </c>
      <c r="O1" s="31" t="e">
        <f>SLOPE($T$7:$T$1000,$S$7:$S$1000)</f>
        <v>#DIV/0!</v>
      </c>
      <c r="P1" s="31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25">
      <c r="N2" s="31" t="e">
        <f>INDEX(LINEST(LN($R$6:$R$7),$Q$6:$Q$7),1)</f>
        <v>#VALUE!</v>
      </c>
      <c r="O2" s="31" t="e">
        <f>INTERCEPT($T$7:$T$1000,$S$7:$S$1000)</f>
        <v>#DIV/0!</v>
      </c>
      <c r="P2" s="31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9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  <c r="AJ3" s="49" t="e" cm="1">
        <f t="array" ref="AJ3">"y = " &amp; betcif(O1,5) &amp; " ∙ " &amp; betcif(O2,5)</f>
        <v>#VALUE!</v>
      </c>
    </row>
    <row r="4" spans="1:36" ht="14.45" customHeight="1" x14ac:dyDescent="0.25">
      <c r="A4" s="33" t="s">
        <v>12</v>
      </c>
      <c r="N4" s="31" t="e">
        <f>INDEX(LINEST($R$7:$R$10,$Q$7:$Q$10^{1,2,3}),1,4)</f>
        <v>#VALUE!</v>
      </c>
      <c r="AJ4" s="49" t="e" cm="1">
        <f t="array" ref="AJ4">"y = " &amp; betcif(P1,5) &amp; " ∙ " &amp; betcif(P2,5)</f>
        <v>#VALUE!</v>
      </c>
    </row>
    <row r="5" spans="1:36" ht="15.75" thickBot="1" x14ac:dyDescent="0.3">
      <c r="A5" s="32"/>
      <c r="Q5" s="1" t="s">
        <v>28</v>
      </c>
      <c r="S5" s="28"/>
      <c r="U5" s="28"/>
      <c r="W5" s="1" t="s">
        <v>30</v>
      </c>
      <c r="Y5" s="1" t="s">
        <v>31</v>
      </c>
    </row>
    <row r="6" spans="1:36" ht="15.75" thickBot="1" x14ac:dyDescent="0.3">
      <c r="A6" s="46" t="s">
        <v>4</v>
      </c>
      <c r="B6" s="46" t="s">
        <v>5</v>
      </c>
      <c r="C6" s="46" t="s">
        <v>6</v>
      </c>
      <c r="D6" s="46" t="s">
        <v>7</v>
      </c>
      <c r="E6" s="46" t="s">
        <v>8</v>
      </c>
      <c r="F6" s="46" t="s">
        <v>9</v>
      </c>
      <c r="G6" s="46" t="s">
        <v>10</v>
      </c>
      <c r="H6" s="46" t="s">
        <v>17</v>
      </c>
      <c r="I6" s="46"/>
      <c r="J6" s="46"/>
      <c r="K6" s="46"/>
      <c r="L6" s="46"/>
      <c r="M6" s="46"/>
      <c r="N6" s="31" t="e">
        <f>R6-$N$1*EXP($N$2*Q6)</f>
        <v>#VALUE!</v>
      </c>
      <c r="O6" s="31" t="e">
        <f>T6-($O$1*S6+$O$2)</f>
        <v>#VALUE!</v>
      </c>
      <c r="P6" s="31" t="e">
        <f>V6-$P$1*U6^$P$2</f>
        <v>#VALUE!</v>
      </c>
      <c r="Q6" s="34" t="s">
        <v>4</v>
      </c>
      <c r="R6" s="37" t="s">
        <v>11</v>
      </c>
      <c r="S6" s="35" t="s">
        <v>4</v>
      </c>
      <c r="T6" s="41" t="s">
        <v>11</v>
      </c>
      <c r="U6" s="35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1">
        <f t="shared" ref="A7:A70" si="0">($X$3-$W$3)/200*(ROW(A6)-6)+$W$3</f>
        <v>0</v>
      </c>
      <c r="Q7" s="22"/>
      <c r="R7" s="38"/>
      <c r="S7" s="26"/>
      <c r="T7" s="38"/>
      <c r="U7" s="22"/>
      <c r="V7" s="38"/>
      <c r="W7" s="15"/>
      <c r="X7" s="18"/>
      <c r="Y7" s="26"/>
      <c r="Z7" s="23"/>
    </row>
    <row r="8" spans="1:36" x14ac:dyDescent="0.25">
      <c r="A8" s="31">
        <f t="shared" si="0"/>
        <v>0</v>
      </c>
      <c r="Q8" s="10"/>
      <c r="R8" s="39"/>
      <c r="S8" s="20"/>
      <c r="T8" s="39"/>
      <c r="U8" s="10"/>
      <c r="V8" s="39"/>
      <c r="W8" s="15"/>
      <c r="X8" s="18"/>
      <c r="Y8" s="20"/>
      <c r="Z8" s="11"/>
    </row>
    <row r="9" spans="1:36" x14ac:dyDescent="0.25">
      <c r="A9" s="31">
        <f t="shared" si="0"/>
        <v>0</v>
      </c>
      <c r="Q9" s="10"/>
      <c r="R9" s="39"/>
      <c r="S9" s="20"/>
      <c r="T9" s="39"/>
      <c r="U9" s="10"/>
      <c r="V9" s="39"/>
      <c r="W9" s="15"/>
      <c r="X9" s="18"/>
      <c r="Y9" s="20"/>
      <c r="Z9" s="11"/>
    </row>
    <row r="10" spans="1:36" x14ac:dyDescent="0.25">
      <c r="A10" s="31">
        <f t="shared" si="0"/>
        <v>0</v>
      </c>
      <c r="Q10" s="10"/>
      <c r="R10" s="39"/>
      <c r="S10" s="20"/>
      <c r="T10" s="39"/>
      <c r="U10" s="10"/>
      <c r="V10" s="39"/>
      <c r="W10" s="15"/>
      <c r="X10" s="18"/>
      <c r="Y10" s="20"/>
      <c r="Z10" s="11"/>
    </row>
    <row r="11" spans="1:36" ht="15.75" thickBot="1" x14ac:dyDescent="0.3">
      <c r="A11" s="31">
        <f t="shared" si="0"/>
        <v>0</v>
      </c>
      <c r="Q11" s="10"/>
      <c r="R11" s="39"/>
      <c r="S11" s="20"/>
      <c r="T11" s="39"/>
      <c r="U11" s="10"/>
      <c r="V11" s="39"/>
      <c r="W11" s="15"/>
      <c r="X11" s="18"/>
      <c r="Y11" s="21"/>
      <c r="Z11" s="16"/>
    </row>
    <row r="12" spans="1:36" x14ac:dyDescent="0.25">
      <c r="A12" s="31">
        <f t="shared" si="0"/>
        <v>0</v>
      </c>
      <c r="Q12" s="12"/>
      <c r="R12" s="40"/>
      <c r="S12" s="36"/>
      <c r="T12" s="40"/>
      <c r="U12" s="12"/>
      <c r="V12" s="40"/>
      <c r="W12" s="15"/>
      <c r="X12" s="18"/>
    </row>
    <row r="13" spans="1:36" x14ac:dyDescent="0.25">
      <c r="A13" s="31">
        <f t="shared" si="0"/>
        <v>0</v>
      </c>
      <c r="Q13" s="12"/>
      <c r="R13" s="40"/>
      <c r="S13" s="36"/>
      <c r="T13" s="40"/>
      <c r="U13" s="12"/>
      <c r="V13" s="40"/>
      <c r="W13" s="15"/>
      <c r="X13" s="18"/>
    </row>
    <row r="14" spans="1:36" x14ac:dyDescent="0.25">
      <c r="A14" s="31">
        <f t="shared" si="0"/>
        <v>0</v>
      </c>
      <c r="Q14" s="12"/>
      <c r="R14" s="40"/>
      <c r="S14" s="36"/>
      <c r="T14" s="40"/>
      <c r="U14" s="12"/>
      <c r="V14" s="40"/>
      <c r="W14" s="15"/>
      <c r="X14" s="18"/>
    </row>
    <row r="15" spans="1:36" x14ac:dyDescent="0.25">
      <c r="A15" s="31">
        <f t="shared" si="0"/>
        <v>0</v>
      </c>
      <c r="Q15" s="12"/>
      <c r="R15" s="40"/>
      <c r="S15" s="36"/>
      <c r="T15" s="40"/>
      <c r="U15" s="12"/>
      <c r="V15" s="40"/>
      <c r="W15" s="15"/>
      <c r="X15" s="18"/>
    </row>
    <row r="16" spans="1:36" x14ac:dyDescent="0.25">
      <c r="A16" s="31">
        <f t="shared" si="0"/>
        <v>0</v>
      </c>
      <c r="Q16" s="12"/>
      <c r="R16" s="40"/>
      <c r="S16" s="36"/>
      <c r="T16" s="40"/>
      <c r="U16" s="12"/>
      <c r="V16" s="40"/>
      <c r="W16" s="15"/>
      <c r="X16" s="18"/>
    </row>
    <row r="17" spans="1:39" x14ac:dyDescent="0.25">
      <c r="A17" s="31">
        <f t="shared" si="0"/>
        <v>0</v>
      </c>
      <c r="Q17" s="12"/>
      <c r="R17" s="40"/>
      <c r="S17" s="36"/>
      <c r="T17" s="40"/>
      <c r="U17" s="12"/>
      <c r="V17" s="40"/>
      <c r="W17" s="15"/>
      <c r="X17" s="18"/>
    </row>
    <row r="18" spans="1:39" x14ac:dyDescent="0.25">
      <c r="A18" s="31">
        <f t="shared" si="0"/>
        <v>0</v>
      </c>
      <c r="Q18" s="12"/>
      <c r="R18" s="40"/>
      <c r="S18" s="36"/>
      <c r="T18" s="40"/>
      <c r="U18" s="36"/>
      <c r="V18" s="40"/>
      <c r="W18" s="50"/>
      <c r="X18" s="18"/>
    </row>
    <row r="19" spans="1:39" x14ac:dyDescent="0.25">
      <c r="A19" s="31">
        <f t="shared" si="0"/>
        <v>0</v>
      </c>
      <c r="Q19" s="12"/>
      <c r="R19" s="40"/>
      <c r="S19" s="36"/>
      <c r="T19" s="40"/>
      <c r="U19" s="36"/>
      <c r="V19" s="40"/>
      <c r="W19" s="50"/>
      <c r="X19" s="18"/>
      <c r="AK19" s="1" t="s">
        <v>18</v>
      </c>
      <c r="AL19" s="1" t="s">
        <v>19</v>
      </c>
      <c r="AM19" s="1" t="s">
        <v>20</v>
      </c>
    </row>
    <row r="20" spans="1:39" ht="18.75" x14ac:dyDescent="0.35">
      <c r="A20" s="31">
        <f t="shared" si="0"/>
        <v>0</v>
      </c>
      <c r="Q20" s="12"/>
      <c r="R20" s="40"/>
      <c r="S20" s="36"/>
      <c r="T20" s="40"/>
      <c r="U20" s="36"/>
      <c r="V20" s="40"/>
      <c r="W20" s="50"/>
      <c r="X20" s="18"/>
      <c r="AJ20" s="45" t="s">
        <v>25</v>
      </c>
      <c r="AK20" s="42" t="str">
        <f>IF(Data!B4&lt;&gt;"",SQRT(SUMSQ(Data!B4:B1000)/(COUNT(Data!B4:B1000)-2)),"")</f>
        <v/>
      </c>
      <c r="AL20" s="42" t="str">
        <f>IF(Data!D4&lt;&gt;"",SQRT(SUMSQ(Data!D4:D1000)/(COUNT(Data!D4:D1000)-2)),"")</f>
        <v/>
      </c>
      <c r="AM20" s="42" t="str">
        <f>IF(Data!F4&lt;&gt;"",SQRT(SUMSQ(Data!F4:F1000)/(COUNT(Data!F4:F1000)-2)),"")</f>
        <v/>
      </c>
    </row>
    <row r="21" spans="1:39" x14ac:dyDescent="0.25">
      <c r="A21" s="31">
        <f t="shared" si="0"/>
        <v>0</v>
      </c>
      <c r="Q21" s="12"/>
      <c r="R21" s="40"/>
      <c r="S21" s="36"/>
      <c r="T21" s="40"/>
      <c r="U21" s="36"/>
      <c r="V21" s="40"/>
      <c r="W21" s="50"/>
      <c r="X21" s="18"/>
      <c r="AJ21" s="43" t="s">
        <v>23</v>
      </c>
      <c r="AK21" s="44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25">
      <c r="A22" s="31">
        <f t="shared" si="0"/>
        <v>0</v>
      </c>
      <c r="Q22" s="12"/>
      <c r="R22" s="40"/>
      <c r="S22" s="36"/>
      <c r="T22" s="40"/>
      <c r="U22" s="36"/>
      <c r="V22" s="40"/>
      <c r="W22" s="50"/>
      <c r="X22" s="18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7.25" x14ac:dyDescent="0.25">
      <c r="A23" s="31">
        <f t="shared" si="0"/>
        <v>0</v>
      </c>
      <c r="Q23" s="12"/>
      <c r="R23" s="40"/>
      <c r="S23" s="36"/>
      <c r="T23" s="40"/>
      <c r="U23" s="36"/>
      <c r="V23" s="40"/>
      <c r="W23" s="50"/>
      <c r="X23" s="18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25">
      <c r="A24" s="31">
        <f t="shared" si="0"/>
        <v>0</v>
      </c>
      <c r="Q24" s="12"/>
      <c r="R24" s="40"/>
      <c r="S24" s="36"/>
      <c r="T24" s="40"/>
      <c r="U24" s="36"/>
      <c r="V24" s="40"/>
      <c r="W24" s="50"/>
      <c r="X24" s="18"/>
    </row>
    <row r="25" spans="1:39" ht="15.75" thickBot="1" x14ac:dyDescent="0.3">
      <c r="A25" s="31">
        <f t="shared" si="0"/>
        <v>0</v>
      </c>
      <c r="Q25" s="12"/>
      <c r="R25" s="40"/>
      <c r="S25" s="36"/>
      <c r="T25" s="40"/>
      <c r="U25" s="36"/>
      <c r="V25" s="39"/>
      <c r="W25" s="51"/>
      <c r="X25" s="19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25">
      <c r="A26" s="31">
        <f t="shared" si="0"/>
        <v>0</v>
      </c>
      <c r="Q26" s="12"/>
      <c r="R26" s="40"/>
      <c r="S26" s="36"/>
      <c r="T26" s="40"/>
      <c r="U26" s="36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25">
      <c r="A27" s="31">
        <f t="shared" si="0"/>
        <v>0</v>
      </c>
      <c r="Q27" s="12"/>
      <c r="R27" s="40"/>
      <c r="S27" s="36"/>
      <c r="T27" s="40"/>
      <c r="U27" s="36"/>
      <c r="V27" s="13"/>
    </row>
    <row r="28" spans="1:39" x14ac:dyDescent="0.25">
      <c r="A28" s="31">
        <f t="shared" si="0"/>
        <v>0</v>
      </c>
      <c r="Q28" s="12"/>
      <c r="R28" s="40"/>
      <c r="S28" s="36"/>
      <c r="T28" s="40"/>
      <c r="U28" s="36"/>
      <c r="V28" s="13"/>
    </row>
    <row r="29" spans="1:39" x14ac:dyDescent="0.25">
      <c r="A29" s="31">
        <f t="shared" si="0"/>
        <v>0</v>
      </c>
      <c r="Q29" s="12"/>
      <c r="R29" s="40"/>
      <c r="S29" s="36"/>
      <c r="T29" s="40"/>
      <c r="U29" s="36"/>
      <c r="V29" s="13"/>
    </row>
    <row r="30" spans="1:39" x14ac:dyDescent="0.25">
      <c r="A30" s="31">
        <f t="shared" si="0"/>
        <v>0</v>
      </c>
      <c r="Q30" s="12"/>
      <c r="R30" s="40"/>
      <c r="S30" s="36"/>
      <c r="T30" s="40"/>
      <c r="U30" s="36"/>
      <c r="V30" s="13"/>
    </row>
    <row r="31" spans="1:39" x14ac:dyDescent="0.25">
      <c r="A31" s="31">
        <f t="shared" si="0"/>
        <v>0</v>
      </c>
      <c r="Q31" s="12"/>
      <c r="R31" s="40"/>
      <c r="S31" s="36"/>
      <c r="T31" s="40"/>
      <c r="U31" s="36"/>
      <c r="V31" s="13"/>
    </row>
    <row r="32" spans="1:39" x14ac:dyDescent="0.25">
      <c r="A32" s="31">
        <f t="shared" si="0"/>
        <v>0</v>
      </c>
      <c r="Q32" s="12"/>
      <c r="R32" s="40"/>
      <c r="S32" s="36"/>
      <c r="T32" s="40"/>
      <c r="U32" s="36"/>
      <c r="V32" s="13"/>
    </row>
    <row r="33" spans="1:30" x14ac:dyDescent="0.25">
      <c r="A33" s="31">
        <f t="shared" si="0"/>
        <v>0</v>
      </c>
      <c r="Q33" s="12"/>
      <c r="R33" s="40"/>
      <c r="S33" s="36"/>
      <c r="T33" s="40"/>
      <c r="U33" s="36"/>
      <c r="V33" s="13"/>
    </row>
    <row r="34" spans="1:30" x14ac:dyDescent="0.25">
      <c r="A34" s="31">
        <f t="shared" si="0"/>
        <v>0</v>
      </c>
      <c r="Q34" s="12"/>
      <c r="R34" s="40"/>
      <c r="S34" s="36"/>
      <c r="T34" s="40"/>
      <c r="U34" s="36"/>
      <c r="V34" s="13"/>
    </row>
    <row r="35" spans="1:30" x14ac:dyDescent="0.25">
      <c r="A35" s="31">
        <f t="shared" si="0"/>
        <v>0</v>
      </c>
      <c r="Q35" s="12"/>
      <c r="R35" s="40"/>
      <c r="S35" s="36"/>
      <c r="T35" s="40"/>
      <c r="U35" s="36"/>
      <c r="V35" s="13"/>
    </row>
    <row r="36" spans="1:30" x14ac:dyDescent="0.25">
      <c r="A36" s="31">
        <f t="shared" si="0"/>
        <v>0</v>
      </c>
      <c r="Q36" s="12"/>
      <c r="R36" s="40"/>
      <c r="S36" s="36"/>
      <c r="T36" s="40"/>
      <c r="U36" s="36"/>
      <c r="V36" s="13"/>
    </row>
    <row r="37" spans="1:30" x14ac:dyDescent="0.25">
      <c r="A37" s="31">
        <f t="shared" si="0"/>
        <v>0</v>
      </c>
      <c r="Q37" s="12"/>
      <c r="R37" s="40"/>
      <c r="S37" s="36"/>
      <c r="T37" s="40"/>
      <c r="U37" s="36"/>
      <c r="V37" s="13"/>
    </row>
    <row r="38" spans="1:30" x14ac:dyDescent="0.25">
      <c r="A38" s="31">
        <f t="shared" si="0"/>
        <v>0</v>
      </c>
      <c r="Q38" s="12"/>
      <c r="R38" s="40"/>
      <c r="S38" s="36"/>
      <c r="T38" s="40"/>
      <c r="U38" s="36"/>
      <c r="V38" s="13"/>
    </row>
    <row r="39" spans="1:30" x14ac:dyDescent="0.25">
      <c r="A39" s="31">
        <f t="shared" si="0"/>
        <v>0</v>
      </c>
      <c r="Q39" s="12"/>
      <c r="R39" s="40"/>
      <c r="S39" s="36"/>
      <c r="T39" s="40"/>
      <c r="U39" s="36"/>
      <c r="V39" s="13"/>
    </row>
    <row r="40" spans="1:30" x14ac:dyDescent="0.25">
      <c r="A40" s="31">
        <f t="shared" si="0"/>
        <v>0</v>
      </c>
      <c r="Q40" s="12"/>
      <c r="R40" s="40"/>
      <c r="S40" s="36"/>
      <c r="T40" s="40"/>
      <c r="U40" s="36"/>
      <c r="V40" s="13"/>
    </row>
    <row r="41" spans="1:30" x14ac:dyDescent="0.25">
      <c r="A41" s="31">
        <f t="shared" si="0"/>
        <v>0</v>
      </c>
      <c r="Q41" s="12"/>
      <c r="R41" s="40"/>
      <c r="S41" s="36"/>
      <c r="T41" s="40"/>
      <c r="U41" s="36"/>
      <c r="V41" s="13"/>
      <c r="AD41" t="str">
        <f>IF(COUNT(Data!E4:E1000)&gt;0,COUNT(Data!E4:E1000)-2,"")</f>
        <v/>
      </c>
    </row>
    <row r="42" spans="1:30" x14ac:dyDescent="0.25">
      <c r="A42" s="31">
        <f t="shared" si="0"/>
        <v>0</v>
      </c>
      <c r="Q42" s="12"/>
      <c r="R42" s="40"/>
      <c r="S42" s="36"/>
      <c r="T42" s="40"/>
      <c r="U42" s="36"/>
      <c r="V42" s="13"/>
    </row>
    <row r="43" spans="1:30" x14ac:dyDescent="0.25">
      <c r="A43" s="31">
        <f t="shared" si="0"/>
        <v>0</v>
      </c>
      <c r="Q43" s="12"/>
      <c r="R43" s="40"/>
      <c r="S43" s="36"/>
      <c r="T43" s="40"/>
      <c r="U43" s="36"/>
      <c r="V43" s="13"/>
    </row>
    <row r="44" spans="1:30" x14ac:dyDescent="0.25">
      <c r="A44" s="31">
        <f t="shared" si="0"/>
        <v>0</v>
      </c>
      <c r="Q44" s="12"/>
      <c r="R44" s="40"/>
      <c r="S44" s="36"/>
      <c r="T44" s="40"/>
      <c r="U44" s="36"/>
      <c r="V44" s="13"/>
    </row>
    <row r="45" spans="1:30" x14ac:dyDescent="0.25">
      <c r="A45" s="31">
        <f t="shared" si="0"/>
        <v>0</v>
      </c>
      <c r="Q45" s="12"/>
      <c r="R45" s="40"/>
      <c r="S45" s="36"/>
      <c r="T45" s="40"/>
      <c r="U45" s="36"/>
      <c r="V45" s="13"/>
    </row>
    <row r="46" spans="1:30" x14ac:dyDescent="0.25">
      <c r="A46" s="31">
        <f t="shared" si="0"/>
        <v>0</v>
      </c>
      <c r="Q46" s="12"/>
      <c r="R46" s="40"/>
      <c r="S46" s="36"/>
      <c r="T46" s="40"/>
      <c r="U46" s="36"/>
      <c r="V46" s="13"/>
    </row>
    <row r="47" spans="1:30" x14ac:dyDescent="0.25">
      <c r="A47" s="31">
        <f t="shared" si="0"/>
        <v>0</v>
      </c>
      <c r="Q47" s="12"/>
      <c r="R47" s="40"/>
      <c r="S47" s="36"/>
      <c r="T47" s="40"/>
      <c r="U47" s="36"/>
      <c r="V47" s="13"/>
    </row>
    <row r="48" spans="1:30" x14ac:dyDescent="0.25">
      <c r="A48" s="31">
        <f t="shared" si="0"/>
        <v>0</v>
      </c>
      <c r="Q48" s="12"/>
      <c r="R48" s="40"/>
      <c r="S48" s="36"/>
      <c r="T48" s="40"/>
      <c r="U48" s="36"/>
      <c r="V48" s="13"/>
    </row>
    <row r="49" spans="1:22" x14ac:dyDescent="0.25">
      <c r="A49" s="31">
        <f t="shared" si="0"/>
        <v>0</v>
      </c>
      <c r="Q49" s="12"/>
      <c r="R49" s="40"/>
      <c r="S49" s="36"/>
      <c r="T49" s="40"/>
      <c r="U49" s="36"/>
      <c r="V49" s="13"/>
    </row>
    <row r="50" spans="1:22" x14ac:dyDescent="0.25">
      <c r="A50" s="31">
        <f t="shared" si="0"/>
        <v>0</v>
      </c>
      <c r="Q50" s="27"/>
      <c r="R50" s="39"/>
      <c r="S50" s="20"/>
      <c r="T50" s="39"/>
      <c r="U50" s="20"/>
      <c r="V50" s="27"/>
    </row>
    <row r="51" spans="1:22" x14ac:dyDescent="0.25">
      <c r="A51" s="31">
        <f t="shared" si="0"/>
        <v>0</v>
      </c>
    </row>
    <row r="52" spans="1:22" x14ac:dyDescent="0.25">
      <c r="A52" s="31">
        <f t="shared" si="0"/>
        <v>0</v>
      </c>
    </row>
    <row r="53" spans="1:22" x14ac:dyDescent="0.25">
      <c r="A53" s="31">
        <f t="shared" si="0"/>
        <v>0</v>
      </c>
    </row>
    <row r="54" spans="1:22" x14ac:dyDescent="0.25">
      <c r="A54" s="31">
        <f t="shared" si="0"/>
        <v>0</v>
      </c>
    </row>
    <row r="55" spans="1:22" x14ac:dyDescent="0.25">
      <c r="A55" s="31">
        <f t="shared" si="0"/>
        <v>0</v>
      </c>
    </row>
    <row r="56" spans="1:22" x14ac:dyDescent="0.25">
      <c r="A56" s="31">
        <f t="shared" si="0"/>
        <v>0</v>
      </c>
    </row>
    <row r="57" spans="1:22" x14ac:dyDescent="0.25">
      <c r="A57" s="31">
        <f t="shared" si="0"/>
        <v>0</v>
      </c>
    </row>
    <row r="58" spans="1:22" x14ac:dyDescent="0.25">
      <c r="A58" s="31">
        <f t="shared" si="0"/>
        <v>0</v>
      </c>
    </row>
    <row r="59" spans="1:22" x14ac:dyDescent="0.25">
      <c r="A59" s="31">
        <f t="shared" si="0"/>
        <v>0</v>
      </c>
    </row>
    <row r="60" spans="1:22" x14ac:dyDescent="0.25">
      <c r="A60" s="31">
        <f t="shared" si="0"/>
        <v>0</v>
      </c>
    </row>
    <row r="61" spans="1:22" x14ac:dyDescent="0.25">
      <c r="A61" s="31">
        <f t="shared" si="0"/>
        <v>0</v>
      </c>
    </row>
    <row r="62" spans="1:22" x14ac:dyDescent="0.25">
      <c r="A62" s="31">
        <f t="shared" si="0"/>
        <v>0</v>
      </c>
    </row>
    <row r="63" spans="1:22" x14ac:dyDescent="0.25">
      <c r="A63" s="31">
        <f t="shared" si="0"/>
        <v>0</v>
      </c>
    </row>
    <row r="64" spans="1:22" x14ac:dyDescent="0.25">
      <c r="A64" s="31">
        <f t="shared" si="0"/>
        <v>0</v>
      </c>
    </row>
    <row r="65" spans="1:1" x14ac:dyDescent="0.25">
      <c r="A65" s="31">
        <f t="shared" si="0"/>
        <v>0</v>
      </c>
    </row>
    <row r="66" spans="1:1" x14ac:dyDescent="0.25">
      <c r="A66" s="31">
        <f t="shared" si="0"/>
        <v>0</v>
      </c>
    </row>
    <row r="67" spans="1:1" x14ac:dyDescent="0.25">
      <c r="A67" s="31">
        <f t="shared" si="0"/>
        <v>0</v>
      </c>
    </row>
    <row r="68" spans="1:1" x14ac:dyDescent="0.25">
      <c r="A68" s="31">
        <f t="shared" si="0"/>
        <v>0</v>
      </c>
    </row>
    <row r="69" spans="1:1" x14ac:dyDescent="0.25">
      <c r="A69" s="31">
        <f t="shared" si="0"/>
        <v>0</v>
      </c>
    </row>
    <row r="70" spans="1:1" x14ac:dyDescent="0.25">
      <c r="A70" s="31">
        <f t="shared" si="0"/>
        <v>0</v>
      </c>
    </row>
    <row r="71" spans="1:1" x14ac:dyDescent="0.25">
      <c r="A71" s="31">
        <f t="shared" ref="A71:A134" si="1">($X$3-$W$3)/200*(ROW(A70)-6)+$W$3</f>
        <v>0</v>
      </c>
    </row>
    <row r="72" spans="1:1" x14ac:dyDescent="0.25">
      <c r="A72" s="31">
        <f t="shared" si="1"/>
        <v>0</v>
      </c>
    </row>
    <row r="73" spans="1:1" x14ac:dyDescent="0.25">
      <c r="A73" s="31">
        <f t="shared" si="1"/>
        <v>0</v>
      </c>
    </row>
    <row r="74" spans="1:1" x14ac:dyDescent="0.25">
      <c r="A74" s="31">
        <f t="shared" si="1"/>
        <v>0</v>
      </c>
    </row>
    <row r="75" spans="1:1" x14ac:dyDescent="0.25">
      <c r="A75" s="31">
        <f t="shared" si="1"/>
        <v>0</v>
      </c>
    </row>
    <row r="76" spans="1:1" x14ac:dyDescent="0.25">
      <c r="A76" s="31">
        <f t="shared" si="1"/>
        <v>0</v>
      </c>
    </row>
    <row r="77" spans="1:1" x14ac:dyDescent="0.25">
      <c r="A77" s="31">
        <f t="shared" si="1"/>
        <v>0</v>
      </c>
    </row>
    <row r="78" spans="1:1" x14ac:dyDescent="0.25">
      <c r="A78" s="31">
        <f t="shared" si="1"/>
        <v>0</v>
      </c>
    </row>
    <row r="79" spans="1:1" x14ac:dyDescent="0.25">
      <c r="A79" s="31">
        <f t="shared" si="1"/>
        <v>0</v>
      </c>
    </row>
    <row r="80" spans="1:1" x14ac:dyDescent="0.25">
      <c r="A80" s="31">
        <f t="shared" si="1"/>
        <v>0</v>
      </c>
    </row>
    <row r="81" spans="1:1" x14ac:dyDescent="0.25">
      <c r="A81" s="31">
        <f t="shared" si="1"/>
        <v>0</v>
      </c>
    </row>
    <row r="82" spans="1:1" x14ac:dyDescent="0.25">
      <c r="A82" s="31">
        <f t="shared" si="1"/>
        <v>0</v>
      </c>
    </row>
    <row r="83" spans="1:1" x14ac:dyDescent="0.25">
      <c r="A83" s="31">
        <f t="shared" si="1"/>
        <v>0</v>
      </c>
    </row>
    <row r="84" spans="1:1" x14ac:dyDescent="0.25">
      <c r="A84" s="31">
        <f t="shared" si="1"/>
        <v>0</v>
      </c>
    </row>
    <row r="85" spans="1:1" x14ac:dyDescent="0.25">
      <c r="A85" s="31">
        <f t="shared" si="1"/>
        <v>0</v>
      </c>
    </row>
    <row r="86" spans="1:1" x14ac:dyDescent="0.25">
      <c r="A86" s="31">
        <f t="shared" si="1"/>
        <v>0</v>
      </c>
    </row>
    <row r="87" spans="1:1" x14ac:dyDescent="0.25">
      <c r="A87" s="31">
        <f t="shared" si="1"/>
        <v>0</v>
      </c>
    </row>
    <row r="88" spans="1:1" x14ac:dyDescent="0.25">
      <c r="A88" s="31">
        <f t="shared" si="1"/>
        <v>0</v>
      </c>
    </row>
    <row r="89" spans="1:1" x14ac:dyDescent="0.25">
      <c r="A89" s="31">
        <f t="shared" si="1"/>
        <v>0</v>
      </c>
    </row>
    <row r="90" spans="1:1" x14ac:dyDescent="0.25">
      <c r="A90" s="31">
        <f t="shared" si="1"/>
        <v>0</v>
      </c>
    </row>
    <row r="91" spans="1:1" x14ac:dyDescent="0.25">
      <c r="A91" s="31">
        <f t="shared" si="1"/>
        <v>0</v>
      </c>
    </row>
    <row r="92" spans="1:1" x14ac:dyDescent="0.25">
      <c r="A92" s="31">
        <f t="shared" si="1"/>
        <v>0</v>
      </c>
    </row>
    <row r="93" spans="1:1" x14ac:dyDescent="0.25">
      <c r="A93" s="31">
        <f t="shared" si="1"/>
        <v>0</v>
      </c>
    </row>
    <row r="94" spans="1:1" x14ac:dyDescent="0.25">
      <c r="A94" s="31">
        <f t="shared" si="1"/>
        <v>0</v>
      </c>
    </row>
    <row r="95" spans="1:1" x14ac:dyDescent="0.25">
      <c r="A95" s="31">
        <f t="shared" si="1"/>
        <v>0</v>
      </c>
    </row>
    <row r="96" spans="1:1" x14ac:dyDescent="0.25">
      <c r="A96" s="31">
        <f t="shared" si="1"/>
        <v>0</v>
      </c>
    </row>
    <row r="97" spans="1:1" x14ac:dyDescent="0.25">
      <c r="A97" s="31">
        <f t="shared" si="1"/>
        <v>0</v>
      </c>
    </row>
    <row r="98" spans="1:1" x14ac:dyDescent="0.25">
      <c r="A98" s="31">
        <f t="shared" si="1"/>
        <v>0</v>
      </c>
    </row>
    <row r="99" spans="1:1" x14ac:dyDescent="0.25">
      <c r="A99" s="31">
        <f t="shared" si="1"/>
        <v>0</v>
      </c>
    </row>
    <row r="100" spans="1:1" x14ac:dyDescent="0.25">
      <c r="A100" s="31">
        <f t="shared" si="1"/>
        <v>0</v>
      </c>
    </row>
    <row r="101" spans="1:1" x14ac:dyDescent="0.25">
      <c r="A101" s="31">
        <f t="shared" si="1"/>
        <v>0</v>
      </c>
    </row>
    <row r="102" spans="1:1" x14ac:dyDescent="0.25">
      <c r="A102" s="31">
        <f t="shared" si="1"/>
        <v>0</v>
      </c>
    </row>
    <row r="103" spans="1:1" x14ac:dyDescent="0.25">
      <c r="A103" s="31">
        <f t="shared" si="1"/>
        <v>0</v>
      </c>
    </row>
    <row r="104" spans="1:1" x14ac:dyDescent="0.25">
      <c r="A104" s="31">
        <f t="shared" si="1"/>
        <v>0</v>
      </c>
    </row>
    <row r="105" spans="1:1" x14ac:dyDescent="0.25">
      <c r="A105" s="31">
        <f t="shared" si="1"/>
        <v>0</v>
      </c>
    </row>
    <row r="106" spans="1:1" x14ac:dyDescent="0.25">
      <c r="A106" s="31">
        <f t="shared" si="1"/>
        <v>0</v>
      </c>
    </row>
    <row r="107" spans="1:1" x14ac:dyDescent="0.25">
      <c r="A107" s="31">
        <f t="shared" si="1"/>
        <v>0</v>
      </c>
    </row>
    <row r="108" spans="1:1" x14ac:dyDescent="0.25">
      <c r="A108" s="31">
        <f t="shared" si="1"/>
        <v>0</v>
      </c>
    </row>
    <row r="109" spans="1:1" x14ac:dyDescent="0.25">
      <c r="A109" s="31">
        <f t="shared" si="1"/>
        <v>0</v>
      </c>
    </row>
    <row r="110" spans="1:1" x14ac:dyDescent="0.25">
      <c r="A110" s="31">
        <f t="shared" si="1"/>
        <v>0</v>
      </c>
    </row>
    <row r="111" spans="1:1" x14ac:dyDescent="0.25">
      <c r="A111" s="31">
        <f t="shared" si="1"/>
        <v>0</v>
      </c>
    </row>
    <row r="112" spans="1:1" x14ac:dyDescent="0.25">
      <c r="A112" s="31">
        <f t="shared" si="1"/>
        <v>0</v>
      </c>
    </row>
    <row r="113" spans="1:1" x14ac:dyDescent="0.25">
      <c r="A113" s="31">
        <f t="shared" si="1"/>
        <v>0</v>
      </c>
    </row>
    <row r="114" spans="1:1" x14ac:dyDescent="0.25">
      <c r="A114" s="31">
        <f t="shared" si="1"/>
        <v>0</v>
      </c>
    </row>
    <row r="115" spans="1:1" x14ac:dyDescent="0.25">
      <c r="A115" s="31">
        <f t="shared" si="1"/>
        <v>0</v>
      </c>
    </row>
    <row r="116" spans="1:1" x14ac:dyDescent="0.25">
      <c r="A116" s="31">
        <f t="shared" si="1"/>
        <v>0</v>
      </c>
    </row>
    <row r="117" spans="1:1" x14ac:dyDescent="0.25">
      <c r="A117" s="31">
        <f t="shared" si="1"/>
        <v>0</v>
      </c>
    </row>
    <row r="118" spans="1:1" x14ac:dyDescent="0.25">
      <c r="A118" s="31">
        <f t="shared" si="1"/>
        <v>0</v>
      </c>
    </row>
    <row r="119" spans="1:1" x14ac:dyDescent="0.25">
      <c r="A119" s="31">
        <f t="shared" si="1"/>
        <v>0</v>
      </c>
    </row>
    <row r="120" spans="1:1" x14ac:dyDescent="0.25">
      <c r="A120" s="31">
        <f t="shared" si="1"/>
        <v>0</v>
      </c>
    </row>
    <row r="121" spans="1:1" x14ac:dyDescent="0.25">
      <c r="A121" s="31">
        <f t="shared" si="1"/>
        <v>0</v>
      </c>
    </row>
    <row r="122" spans="1:1" x14ac:dyDescent="0.25">
      <c r="A122" s="31">
        <f t="shared" si="1"/>
        <v>0</v>
      </c>
    </row>
    <row r="123" spans="1:1" x14ac:dyDescent="0.25">
      <c r="A123" s="31">
        <f t="shared" si="1"/>
        <v>0</v>
      </c>
    </row>
    <row r="124" spans="1:1" x14ac:dyDescent="0.25">
      <c r="A124" s="31">
        <f t="shared" si="1"/>
        <v>0</v>
      </c>
    </row>
    <row r="125" spans="1:1" x14ac:dyDescent="0.25">
      <c r="A125" s="31">
        <f t="shared" si="1"/>
        <v>0</v>
      </c>
    </row>
    <row r="126" spans="1:1" x14ac:dyDescent="0.25">
      <c r="A126" s="31">
        <f t="shared" si="1"/>
        <v>0</v>
      </c>
    </row>
    <row r="127" spans="1:1" x14ac:dyDescent="0.25">
      <c r="A127" s="31">
        <f t="shared" si="1"/>
        <v>0</v>
      </c>
    </row>
    <row r="128" spans="1:1" x14ac:dyDescent="0.25">
      <c r="A128" s="31">
        <f t="shared" si="1"/>
        <v>0</v>
      </c>
    </row>
    <row r="129" spans="1:1" x14ac:dyDescent="0.25">
      <c r="A129" s="31">
        <f t="shared" si="1"/>
        <v>0</v>
      </c>
    </row>
    <row r="130" spans="1:1" x14ac:dyDescent="0.25">
      <c r="A130" s="31">
        <f t="shared" si="1"/>
        <v>0</v>
      </c>
    </row>
    <row r="131" spans="1:1" x14ac:dyDescent="0.25">
      <c r="A131" s="31">
        <f t="shared" si="1"/>
        <v>0</v>
      </c>
    </row>
    <row r="132" spans="1:1" x14ac:dyDescent="0.25">
      <c r="A132" s="31">
        <f t="shared" si="1"/>
        <v>0</v>
      </c>
    </row>
    <row r="133" spans="1:1" x14ac:dyDescent="0.25">
      <c r="A133" s="31">
        <f t="shared" si="1"/>
        <v>0</v>
      </c>
    </row>
    <row r="134" spans="1:1" x14ac:dyDescent="0.25">
      <c r="A134" s="31">
        <f t="shared" si="1"/>
        <v>0</v>
      </c>
    </row>
    <row r="135" spans="1:1" x14ac:dyDescent="0.25">
      <c r="A135" s="31">
        <f t="shared" ref="A135:A198" si="2">($X$3-$W$3)/200*(ROW(A134)-6)+$W$3</f>
        <v>0</v>
      </c>
    </row>
    <row r="136" spans="1:1" x14ac:dyDescent="0.25">
      <c r="A136" s="31">
        <f t="shared" si="2"/>
        <v>0</v>
      </c>
    </row>
    <row r="137" spans="1:1" x14ac:dyDescent="0.25">
      <c r="A137" s="31">
        <f t="shared" si="2"/>
        <v>0</v>
      </c>
    </row>
    <row r="138" spans="1:1" x14ac:dyDescent="0.25">
      <c r="A138" s="31">
        <f t="shared" si="2"/>
        <v>0</v>
      </c>
    </row>
    <row r="139" spans="1:1" x14ac:dyDescent="0.25">
      <c r="A139" s="31">
        <f t="shared" si="2"/>
        <v>0</v>
      </c>
    </row>
    <row r="140" spans="1:1" x14ac:dyDescent="0.25">
      <c r="A140" s="31">
        <f t="shared" si="2"/>
        <v>0</v>
      </c>
    </row>
    <row r="141" spans="1:1" x14ac:dyDescent="0.25">
      <c r="A141" s="31">
        <f t="shared" si="2"/>
        <v>0</v>
      </c>
    </row>
    <row r="142" spans="1:1" x14ac:dyDescent="0.25">
      <c r="A142" s="31">
        <f t="shared" si="2"/>
        <v>0</v>
      </c>
    </row>
    <row r="143" spans="1:1" x14ac:dyDescent="0.25">
      <c r="A143" s="31">
        <f t="shared" si="2"/>
        <v>0</v>
      </c>
    </row>
    <row r="144" spans="1:1" x14ac:dyDescent="0.25">
      <c r="A144" s="31">
        <f t="shared" si="2"/>
        <v>0</v>
      </c>
    </row>
    <row r="145" spans="1:1" x14ac:dyDescent="0.25">
      <c r="A145" s="31">
        <f t="shared" si="2"/>
        <v>0</v>
      </c>
    </row>
    <row r="146" spans="1:1" x14ac:dyDescent="0.25">
      <c r="A146" s="31">
        <f t="shared" si="2"/>
        <v>0</v>
      </c>
    </row>
    <row r="147" spans="1:1" x14ac:dyDescent="0.25">
      <c r="A147" s="31">
        <f t="shared" si="2"/>
        <v>0</v>
      </c>
    </row>
    <row r="148" spans="1:1" x14ac:dyDescent="0.25">
      <c r="A148" s="31">
        <f t="shared" si="2"/>
        <v>0</v>
      </c>
    </row>
    <row r="149" spans="1:1" x14ac:dyDescent="0.25">
      <c r="A149" s="31">
        <f t="shared" si="2"/>
        <v>0</v>
      </c>
    </row>
    <row r="150" spans="1:1" x14ac:dyDescent="0.25">
      <c r="A150" s="31">
        <f t="shared" si="2"/>
        <v>0</v>
      </c>
    </row>
    <row r="151" spans="1:1" x14ac:dyDescent="0.25">
      <c r="A151" s="31">
        <f t="shared" si="2"/>
        <v>0</v>
      </c>
    </row>
    <row r="152" spans="1:1" x14ac:dyDescent="0.25">
      <c r="A152" s="31">
        <f t="shared" si="2"/>
        <v>0</v>
      </c>
    </row>
    <row r="153" spans="1:1" x14ac:dyDescent="0.25">
      <c r="A153" s="31">
        <f t="shared" si="2"/>
        <v>0</v>
      </c>
    </row>
    <row r="154" spans="1:1" x14ac:dyDescent="0.25">
      <c r="A154" s="31">
        <f t="shared" si="2"/>
        <v>0</v>
      </c>
    </row>
    <row r="155" spans="1:1" x14ac:dyDescent="0.25">
      <c r="A155" s="31">
        <f t="shared" si="2"/>
        <v>0</v>
      </c>
    </row>
    <row r="156" spans="1:1" x14ac:dyDescent="0.25">
      <c r="A156" s="31">
        <f t="shared" si="2"/>
        <v>0</v>
      </c>
    </row>
    <row r="157" spans="1:1" x14ac:dyDescent="0.25">
      <c r="A157" s="31">
        <f t="shared" si="2"/>
        <v>0</v>
      </c>
    </row>
    <row r="158" spans="1:1" x14ac:dyDescent="0.25">
      <c r="A158" s="31">
        <f t="shared" si="2"/>
        <v>0</v>
      </c>
    </row>
    <row r="159" spans="1:1" x14ac:dyDescent="0.25">
      <c r="A159" s="31">
        <f t="shared" si="2"/>
        <v>0</v>
      </c>
    </row>
    <row r="160" spans="1:1" x14ac:dyDescent="0.25">
      <c r="A160" s="31">
        <f t="shared" si="2"/>
        <v>0</v>
      </c>
    </row>
    <row r="161" spans="1:1" x14ac:dyDescent="0.25">
      <c r="A161" s="31">
        <f t="shared" si="2"/>
        <v>0</v>
      </c>
    </row>
    <row r="162" spans="1:1" x14ac:dyDescent="0.25">
      <c r="A162" s="31">
        <f t="shared" si="2"/>
        <v>0</v>
      </c>
    </row>
    <row r="163" spans="1:1" x14ac:dyDescent="0.25">
      <c r="A163" s="31">
        <f t="shared" si="2"/>
        <v>0</v>
      </c>
    </row>
    <row r="164" spans="1:1" x14ac:dyDescent="0.25">
      <c r="A164" s="31">
        <f t="shared" si="2"/>
        <v>0</v>
      </c>
    </row>
    <row r="165" spans="1:1" x14ac:dyDescent="0.25">
      <c r="A165" s="31">
        <f t="shared" si="2"/>
        <v>0</v>
      </c>
    </row>
    <row r="166" spans="1:1" x14ac:dyDescent="0.25">
      <c r="A166" s="31">
        <f t="shared" si="2"/>
        <v>0</v>
      </c>
    </row>
    <row r="167" spans="1:1" x14ac:dyDescent="0.25">
      <c r="A167" s="31">
        <f t="shared" si="2"/>
        <v>0</v>
      </c>
    </row>
    <row r="168" spans="1:1" x14ac:dyDescent="0.25">
      <c r="A168" s="31">
        <f t="shared" si="2"/>
        <v>0</v>
      </c>
    </row>
    <row r="169" spans="1:1" x14ac:dyDescent="0.25">
      <c r="A169" s="31">
        <f t="shared" si="2"/>
        <v>0</v>
      </c>
    </row>
    <row r="170" spans="1:1" x14ac:dyDescent="0.25">
      <c r="A170" s="31">
        <f t="shared" si="2"/>
        <v>0</v>
      </c>
    </row>
    <row r="171" spans="1:1" x14ac:dyDescent="0.25">
      <c r="A171" s="31">
        <f t="shared" si="2"/>
        <v>0</v>
      </c>
    </row>
    <row r="172" spans="1:1" x14ac:dyDescent="0.25">
      <c r="A172" s="31">
        <f t="shared" si="2"/>
        <v>0</v>
      </c>
    </row>
    <row r="173" spans="1:1" x14ac:dyDescent="0.25">
      <c r="A173" s="31">
        <f t="shared" si="2"/>
        <v>0</v>
      </c>
    </row>
    <row r="174" spans="1:1" x14ac:dyDescent="0.25">
      <c r="A174" s="31">
        <f t="shared" si="2"/>
        <v>0</v>
      </c>
    </row>
    <row r="175" spans="1:1" x14ac:dyDescent="0.25">
      <c r="A175" s="31">
        <f t="shared" si="2"/>
        <v>0</v>
      </c>
    </row>
    <row r="176" spans="1:1" x14ac:dyDescent="0.25">
      <c r="A176" s="31">
        <f t="shared" si="2"/>
        <v>0</v>
      </c>
    </row>
    <row r="177" spans="1:1" x14ac:dyDescent="0.25">
      <c r="A177" s="31">
        <f t="shared" si="2"/>
        <v>0</v>
      </c>
    </row>
    <row r="178" spans="1:1" x14ac:dyDescent="0.25">
      <c r="A178" s="31">
        <f t="shared" si="2"/>
        <v>0</v>
      </c>
    </row>
    <row r="179" spans="1:1" x14ac:dyDescent="0.25">
      <c r="A179" s="31">
        <f t="shared" si="2"/>
        <v>0</v>
      </c>
    </row>
    <row r="180" spans="1:1" x14ac:dyDescent="0.25">
      <c r="A180" s="31">
        <f t="shared" si="2"/>
        <v>0</v>
      </c>
    </row>
    <row r="181" spans="1:1" x14ac:dyDescent="0.25">
      <c r="A181" s="31">
        <f t="shared" si="2"/>
        <v>0</v>
      </c>
    </row>
    <row r="182" spans="1:1" x14ac:dyDescent="0.25">
      <c r="A182" s="31">
        <f t="shared" si="2"/>
        <v>0</v>
      </c>
    </row>
    <row r="183" spans="1:1" x14ac:dyDescent="0.25">
      <c r="A183" s="31">
        <f t="shared" si="2"/>
        <v>0</v>
      </c>
    </row>
    <row r="184" spans="1:1" x14ac:dyDescent="0.25">
      <c r="A184" s="31">
        <f t="shared" si="2"/>
        <v>0</v>
      </c>
    </row>
    <row r="185" spans="1:1" x14ac:dyDescent="0.25">
      <c r="A185" s="31">
        <f t="shared" si="2"/>
        <v>0</v>
      </c>
    </row>
    <row r="186" spans="1:1" x14ac:dyDescent="0.25">
      <c r="A186" s="31">
        <f t="shared" si="2"/>
        <v>0</v>
      </c>
    </row>
    <row r="187" spans="1:1" x14ac:dyDescent="0.25">
      <c r="A187" s="31">
        <f t="shared" si="2"/>
        <v>0</v>
      </c>
    </row>
    <row r="188" spans="1:1" x14ac:dyDescent="0.25">
      <c r="A188" s="31">
        <f t="shared" si="2"/>
        <v>0</v>
      </c>
    </row>
    <row r="189" spans="1:1" x14ac:dyDescent="0.25">
      <c r="A189" s="31">
        <f t="shared" si="2"/>
        <v>0</v>
      </c>
    </row>
    <row r="190" spans="1:1" x14ac:dyDescent="0.25">
      <c r="A190" s="31">
        <f t="shared" si="2"/>
        <v>0</v>
      </c>
    </row>
    <row r="191" spans="1:1" x14ac:dyDescent="0.25">
      <c r="A191" s="31">
        <f t="shared" si="2"/>
        <v>0</v>
      </c>
    </row>
    <row r="192" spans="1:1" x14ac:dyDescent="0.25">
      <c r="A192" s="31">
        <f t="shared" si="2"/>
        <v>0</v>
      </c>
    </row>
    <row r="193" spans="1:1" x14ac:dyDescent="0.25">
      <c r="A193" s="31">
        <f t="shared" si="2"/>
        <v>0</v>
      </c>
    </row>
    <row r="194" spans="1:1" x14ac:dyDescent="0.25">
      <c r="A194" s="31">
        <f t="shared" si="2"/>
        <v>0</v>
      </c>
    </row>
    <row r="195" spans="1:1" x14ac:dyDescent="0.25">
      <c r="A195" s="31">
        <f t="shared" si="2"/>
        <v>0</v>
      </c>
    </row>
    <row r="196" spans="1:1" x14ac:dyDescent="0.25">
      <c r="A196" s="31">
        <f t="shared" si="2"/>
        <v>0</v>
      </c>
    </row>
    <row r="197" spans="1:1" x14ac:dyDescent="0.25">
      <c r="A197" s="31">
        <f t="shared" si="2"/>
        <v>0</v>
      </c>
    </row>
    <row r="198" spans="1:1" x14ac:dyDescent="0.25">
      <c r="A198" s="31">
        <f t="shared" si="2"/>
        <v>0</v>
      </c>
    </row>
    <row r="199" spans="1:1" x14ac:dyDescent="0.25">
      <c r="A199" s="31">
        <f t="shared" ref="A199:A207" si="3">($X$3-$W$3)/200*(ROW(A198)-6)+$W$3</f>
        <v>0</v>
      </c>
    </row>
    <row r="200" spans="1:1" x14ac:dyDescent="0.25">
      <c r="A200" s="31">
        <f t="shared" si="3"/>
        <v>0</v>
      </c>
    </row>
    <row r="201" spans="1:1" x14ac:dyDescent="0.25">
      <c r="A201" s="31">
        <f t="shared" si="3"/>
        <v>0</v>
      </c>
    </row>
    <row r="202" spans="1:1" x14ac:dyDescent="0.25">
      <c r="A202" s="31">
        <f t="shared" si="3"/>
        <v>0</v>
      </c>
    </row>
    <row r="203" spans="1:1" x14ac:dyDescent="0.25">
      <c r="A203" s="31">
        <f t="shared" si="3"/>
        <v>0</v>
      </c>
    </row>
    <row r="204" spans="1:1" x14ac:dyDescent="0.25">
      <c r="A204" s="31">
        <f t="shared" si="3"/>
        <v>0</v>
      </c>
    </row>
    <row r="205" spans="1:1" x14ac:dyDescent="0.25">
      <c r="A205" s="31">
        <f t="shared" si="3"/>
        <v>0</v>
      </c>
    </row>
    <row r="206" spans="1:1" x14ac:dyDescent="0.25">
      <c r="A206" s="31">
        <f t="shared" si="3"/>
        <v>0</v>
      </c>
    </row>
    <row r="207" spans="1:1" x14ac:dyDescent="0.25">
      <c r="A207" s="31">
        <f t="shared" si="3"/>
        <v>0</v>
      </c>
    </row>
  </sheetData>
  <pageMargins left="0.7" right="0.7" top="0.75" bottom="0.75" header="0.3" footer="0.3"/>
  <pageSetup orientation="portrait" r:id="rId1"/>
  <ignoredErrors>
    <ignoredError sqref="AJ2:A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19</xdr:col>
                    <xdr:colOff>161925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180975</xdr:colOff>
                    <xdr:row>0</xdr:row>
                    <xdr:rowOff>28575</xdr:rowOff>
                  </from>
                  <to>
                    <xdr:col>21</xdr:col>
                    <xdr:colOff>295275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VisResidualer">
                <anchor moveWithCells="1" sizeWithCells="1">
                  <from>
                    <xdr:col>35</xdr:col>
                    <xdr:colOff>28575</xdr:colOff>
                    <xdr:row>15</xdr:row>
                    <xdr:rowOff>9525</xdr:rowOff>
                  </from>
                  <to>
                    <xdr:col>38</xdr:col>
                    <xdr:colOff>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5" x14ac:dyDescent="0.25"/>
  <cols>
    <col min="1" max="6" width="4.85546875" customWidth="1"/>
  </cols>
  <sheetData>
    <row r="1" spans="1:6" ht="18.75" x14ac:dyDescent="0.3">
      <c r="A1" s="29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27</v>
      </c>
      <c r="C3" s="24" t="s">
        <v>4</v>
      </c>
      <c r="D3" s="25" t="s">
        <v>27</v>
      </c>
      <c r="E3" s="24" t="s">
        <v>4</v>
      </c>
      <c r="F3" s="25" t="s">
        <v>27</v>
      </c>
    </row>
    <row r="4" spans="1:6" x14ac:dyDescent="0.25">
      <c r="A4" s="47" t="str">
        <f>IF(Tabel!N7="","",Tabel!Q7)</f>
        <v/>
      </c>
      <c r="B4" s="48" t="str">
        <f>IF(Tabel!N7="","",IF(Tabel!Q7="","",Tabel!N7))</f>
        <v/>
      </c>
      <c r="C4" s="47" t="str">
        <f>IF(Tabel!O7="","",Tabel!S7)</f>
        <v/>
      </c>
      <c r="D4" s="48" t="str">
        <f>IF(Tabel!O7="","",IF(Tabel!S7="","",Tabel!O7))</f>
        <v/>
      </c>
      <c r="E4" s="47" t="str">
        <f>IF(Tabel!P7="","",Tabel!T7)</f>
        <v/>
      </c>
      <c r="F4" s="48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2024-07-06T04:03:00Z</dcterms:modified>
</cp:coreProperties>
</file>