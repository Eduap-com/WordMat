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25" codeName="{1BF75E64-36B4-4512-B9E4-3ED0869CA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Hub\WordMat\Windows\Excelfiles\"/>
    </mc:Choice>
  </mc:AlternateContent>
  <xr:revisionPtr revIDLastSave="0" documentId="13_ncr:1_{2AE71347-6550-47A9-938E-7FDF1708CC2C}" xr6:coauthVersionLast="47" xr6:coauthVersionMax="47" xr10:uidLastSave="{00000000-0000-0000-0000-000000000000}"/>
  <bookViews>
    <workbookView xWindow="24975" yWindow="2040" windowWidth="23490" windowHeight="18525" firstSheet="1" activeTab="1" xr2:uid="{00000000-000D-0000-FFFF-FFFF00000000}"/>
  </bookViews>
  <sheets>
    <sheet name="JRplotdata" sheetId="4" state="veryHidden" r:id="rId1"/>
    <sheet name="Tabel" sheetId="15" r:id="rId2"/>
    <sheet name="Graf" sheetId="17" r:id="rId3"/>
    <sheet name="Data" sheetId="18" r:id="rId4"/>
  </sheets>
  <functionGroups builtInGroupCount="19"/>
  <definedNames>
    <definedName name="matma">Tabel!$X$6</definedName>
    <definedName name="matmARCSIN">Tabel!$X$6</definedName>
    <definedName name="matmASIN">Tabel!$X$6</definedName>
    <definedName name="matmb">Tabel!$X$7</definedName>
    <definedName name="matmI">Tabel!$X$6</definedName>
    <definedName name="matmmPI">Tabel!$X$8</definedName>
    <definedName name="matmPI">Tabel!$X$7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2" i="15" l="1"/>
  <c r="N1" i="15"/>
  <c r="N6" i="15" s="1"/>
  <c r="AJ4" i="15" a="1"/>
  <c r="AJ3" i="15" a="1"/>
  <c r="AJ2" i="15" a="1"/>
  <c r="AJ4" i="15" l="1"/>
  <c r="AJ3" i="15"/>
  <c r="AJ2" i="15"/>
  <c r="C6" i="18" l="1"/>
  <c r="D6" i="18"/>
  <c r="E6" i="18"/>
  <c r="F6" i="18"/>
  <c r="A7" i="18"/>
  <c r="B7" i="18"/>
  <c r="C7" i="18"/>
  <c r="D7" i="18"/>
  <c r="E7" i="18"/>
  <c r="F7" i="18"/>
  <c r="A8" i="18"/>
  <c r="B8" i="18"/>
  <c r="C8" i="18"/>
  <c r="D8" i="18"/>
  <c r="E8" i="18"/>
  <c r="F8" i="18"/>
  <c r="A9" i="18"/>
  <c r="B9" i="18"/>
  <c r="C9" i="18"/>
  <c r="D9" i="18"/>
  <c r="E9" i="18"/>
  <c r="F9" i="18"/>
  <c r="A10" i="18"/>
  <c r="B10" i="18"/>
  <c r="C10" i="18"/>
  <c r="D10" i="18"/>
  <c r="E10" i="18"/>
  <c r="F10" i="18"/>
  <c r="A11" i="18"/>
  <c r="B11" i="18"/>
  <c r="C11" i="18"/>
  <c r="D11" i="18"/>
  <c r="E11" i="18"/>
  <c r="F11" i="18"/>
  <c r="A12" i="18"/>
  <c r="B12" i="18"/>
  <c r="C12" i="18"/>
  <c r="D12" i="18"/>
  <c r="E12" i="18"/>
  <c r="F12" i="18"/>
  <c r="A13" i="18"/>
  <c r="B13" i="18"/>
  <c r="C13" i="18"/>
  <c r="D13" i="18"/>
  <c r="E13" i="18"/>
  <c r="F13" i="18"/>
  <c r="A14" i="18"/>
  <c r="B14" i="18"/>
  <c r="C14" i="18"/>
  <c r="D14" i="18"/>
  <c r="E14" i="18"/>
  <c r="F14" i="18"/>
  <c r="A15" i="18"/>
  <c r="B15" i="18"/>
  <c r="C15" i="18"/>
  <c r="D15" i="18"/>
  <c r="E15" i="18"/>
  <c r="F15" i="18"/>
  <c r="A16" i="18"/>
  <c r="B16" i="18"/>
  <c r="C16" i="18"/>
  <c r="D16" i="18"/>
  <c r="E16" i="18"/>
  <c r="F16" i="18"/>
  <c r="A17" i="18"/>
  <c r="B17" i="18"/>
  <c r="C17" i="18"/>
  <c r="D17" i="18"/>
  <c r="E17" i="18"/>
  <c r="F17" i="18"/>
  <c r="A18" i="18"/>
  <c r="B18" i="18"/>
  <c r="C18" i="18"/>
  <c r="D18" i="18"/>
  <c r="E18" i="18"/>
  <c r="F18" i="18"/>
  <c r="A19" i="18"/>
  <c r="B19" i="18"/>
  <c r="C19" i="18"/>
  <c r="D19" i="18"/>
  <c r="E19" i="18"/>
  <c r="F19" i="18"/>
  <c r="A20" i="18"/>
  <c r="B20" i="18"/>
  <c r="C20" i="18"/>
  <c r="D20" i="18"/>
  <c r="E20" i="18"/>
  <c r="F20" i="18"/>
  <c r="A21" i="18"/>
  <c r="B21" i="18"/>
  <c r="C21" i="18"/>
  <c r="D21" i="18"/>
  <c r="E21" i="18"/>
  <c r="F21" i="18"/>
  <c r="A22" i="18"/>
  <c r="B22" i="18"/>
  <c r="C22" i="18"/>
  <c r="D22" i="18"/>
  <c r="E22" i="18"/>
  <c r="F22" i="18"/>
  <c r="A23" i="18"/>
  <c r="B23" i="18"/>
  <c r="C23" i="18"/>
  <c r="D23" i="18"/>
  <c r="E23" i="18"/>
  <c r="F23" i="18"/>
  <c r="A24" i="18"/>
  <c r="B24" i="18"/>
  <c r="C24" i="18"/>
  <c r="D24" i="18"/>
  <c r="E24" i="18"/>
  <c r="F24" i="18"/>
  <c r="A25" i="18"/>
  <c r="B25" i="18"/>
  <c r="C25" i="18"/>
  <c r="D25" i="18"/>
  <c r="E25" i="18"/>
  <c r="F25" i="18"/>
  <c r="A26" i="18"/>
  <c r="B26" i="18"/>
  <c r="C26" i="18"/>
  <c r="D26" i="18"/>
  <c r="E26" i="18"/>
  <c r="F26" i="18"/>
  <c r="A27" i="18"/>
  <c r="B27" i="18"/>
  <c r="C27" i="18"/>
  <c r="D27" i="18"/>
  <c r="E27" i="18"/>
  <c r="F27" i="18"/>
  <c r="A28" i="18"/>
  <c r="B28" i="18"/>
  <c r="C28" i="18"/>
  <c r="D28" i="18"/>
  <c r="E28" i="18"/>
  <c r="F28" i="18"/>
  <c r="A29" i="18"/>
  <c r="B29" i="18"/>
  <c r="C29" i="18"/>
  <c r="D29" i="18"/>
  <c r="E29" i="18"/>
  <c r="F29" i="18"/>
  <c r="A30" i="18"/>
  <c r="B30" i="18"/>
  <c r="C30" i="18"/>
  <c r="D30" i="18"/>
  <c r="E30" i="18"/>
  <c r="F30" i="18"/>
  <c r="A31" i="18"/>
  <c r="B31" i="18"/>
  <c r="C31" i="18"/>
  <c r="D31" i="18"/>
  <c r="E31" i="18"/>
  <c r="F31" i="18"/>
  <c r="A32" i="18"/>
  <c r="B32" i="18"/>
  <c r="C32" i="18"/>
  <c r="D32" i="18"/>
  <c r="E32" i="18"/>
  <c r="F32" i="18"/>
  <c r="A33" i="18"/>
  <c r="B33" i="18"/>
  <c r="C33" i="18"/>
  <c r="D33" i="18"/>
  <c r="E33" i="18"/>
  <c r="F33" i="18"/>
  <c r="A34" i="18"/>
  <c r="B34" i="18"/>
  <c r="C34" i="18"/>
  <c r="D34" i="18"/>
  <c r="E34" i="18"/>
  <c r="F34" i="18"/>
  <c r="A35" i="18"/>
  <c r="B35" i="18"/>
  <c r="C35" i="18"/>
  <c r="D35" i="18"/>
  <c r="E35" i="18"/>
  <c r="F35" i="18"/>
  <c r="A36" i="18"/>
  <c r="B36" i="18"/>
  <c r="C36" i="18"/>
  <c r="D36" i="18"/>
  <c r="E36" i="18"/>
  <c r="F36" i="18"/>
  <c r="A37" i="18"/>
  <c r="B37" i="18"/>
  <c r="C37" i="18"/>
  <c r="D37" i="18"/>
  <c r="E37" i="18"/>
  <c r="F37" i="18"/>
  <c r="A38" i="18"/>
  <c r="B38" i="18"/>
  <c r="C38" i="18"/>
  <c r="D38" i="18"/>
  <c r="E38" i="18"/>
  <c r="F38" i="18"/>
  <c r="A39" i="18"/>
  <c r="B39" i="18"/>
  <c r="C39" i="18"/>
  <c r="D39" i="18"/>
  <c r="E39" i="18"/>
  <c r="F39" i="18"/>
  <c r="A40" i="18"/>
  <c r="B40" i="18"/>
  <c r="C40" i="18"/>
  <c r="D40" i="18"/>
  <c r="E40" i="18"/>
  <c r="F40" i="18"/>
  <c r="A41" i="18"/>
  <c r="B41" i="18"/>
  <c r="C41" i="18"/>
  <c r="D41" i="18"/>
  <c r="E41" i="18"/>
  <c r="F41" i="18"/>
  <c r="A42" i="18"/>
  <c r="B42" i="18"/>
  <c r="C42" i="18"/>
  <c r="D42" i="18"/>
  <c r="E42" i="18"/>
  <c r="F42" i="18"/>
  <c r="A43" i="18"/>
  <c r="B43" i="18"/>
  <c r="C43" i="18"/>
  <c r="D43" i="18"/>
  <c r="E43" i="18"/>
  <c r="F43" i="18"/>
  <c r="A44" i="18"/>
  <c r="B44" i="18"/>
  <c r="C44" i="18"/>
  <c r="D44" i="18"/>
  <c r="E44" i="18"/>
  <c r="F44" i="18"/>
  <c r="A45" i="18"/>
  <c r="B45" i="18"/>
  <c r="C45" i="18"/>
  <c r="D45" i="18"/>
  <c r="E45" i="18"/>
  <c r="F45" i="18"/>
  <c r="A46" i="18"/>
  <c r="B46" i="18"/>
  <c r="C46" i="18"/>
  <c r="D46" i="18"/>
  <c r="E46" i="18"/>
  <c r="F46" i="18"/>
  <c r="A47" i="18"/>
  <c r="B47" i="18"/>
  <c r="C47" i="18"/>
  <c r="D47" i="18"/>
  <c r="E47" i="18"/>
  <c r="F47" i="18"/>
  <c r="A48" i="18"/>
  <c r="B48" i="18"/>
  <c r="C48" i="18"/>
  <c r="D48" i="18"/>
  <c r="E48" i="18"/>
  <c r="F48" i="18"/>
  <c r="A49" i="18"/>
  <c r="B49" i="18"/>
  <c r="C49" i="18"/>
  <c r="D49" i="18"/>
  <c r="E49" i="18"/>
  <c r="F49" i="18"/>
  <c r="A50" i="18"/>
  <c r="B50" i="18"/>
  <c r="C50" i="18"/>
  <c r="D50" i="18"/>
  <c r="E50" i="18"/>
  <c r="F50" i="18"/>
  <c r="A51" i="18"/>
  <c r="B51" i="18"/>
  <c r="C51" i="18"/>
  <c r="D51" i="18"/>
  <c r="E51" i="18"/>
  <c r="F51" i="18"/>
  <c r="A52" i="18"/>
  <c r="B52" i="18"/>
  <c r="C52" i="18"/>
  <c r="D52" i="18"/>
  <c r="E52" i="18"/>
  <c r="F52" i="18"/>
  <c r="A53" i="18"/>
  <c r="B53" i="18"/>
  <c r="C53" i="18"/>
  <c r="D53" i="18"/>
  <c r="E53" i="18"/>
  <c r="F53" i="18"/>
  <c r="A54" i="18"/>
  <c r="B54" i="18"/>
  <c r="C54" i="18"/>
  <c r="D54" i="18"/>
  <c r="E54" i="18"/>
  <c r="F54" i="18"/>
  <c r="A55" i="18"/>
  <c r="B55" i="18"/>
  <c r="C55" i="18"/>
  <c r="D55" i="18"/>
  <c r="E55" i="18"/>
  <c r="F55" i="18"/>
  <c r="A56" i="18"/>
  <c r="B56" i="18"/>
  <c r="C56" i="18"/>
  <c r="D56" i="18"/>
  <c r="E56" i="18"/>
  <c r="F56" i="18"/>
  <c r="A57" i="18"/>
  <c r="B57" i="18"/>
  <c r="C57" i="18"/>
  <c r="D57" i="18"/>
  <c r="E57" i="18"/>
  <c r="F57" i="18"/>
  <c r="A58" i="18"/>
  <c r="B58" i="18"/>
  <c r="C58" i="18"/>
  <c r="D58" i="18"/>
  <c r="E58" i="18"/>
  <c r="F58" i="18"/>
  <c r="A59" i="18"/>
  <c r="B59" i="18"/>
  <c r="C59" i="18"/>
  <c r="D59" i="18"/>
  <c r="E59" i="18"/>
  <c r="F59" i="18"/>
  <c r="A60" i="18"/>
  <c r="B60" i="18"/>
  <c r="C60" i="18"/>
  <c r="D60" i="18"/>
  <c r="E60" i="18"/>
  <c r="F60" i="18"/>
  <c r="A61" i="18"/>
  <c r="B61" i="18"/>
  <c r="C61" i="18"/>
  <c r="D61" i="18"/>
  <c r="E61" i="18"/>
  <c r="F61" i="18"/>
  <c r="A62" i="18"/>
  <c r="B62" i="18"/>
  <c r="C62" i="18"/>
  <c r="D62" i="18"/>
  <c r="E62" i="18"/>
  <c r="F62" i="18"/>
  <c r="A63" i="18"/>
  <c r="B63" i="18"/>
  <c r="C63" i="18"/>
  <c r="D63" i="18"/>
  <c r="E63" i="18"/>
  <c r="F63" i="18"/>
  <c r="A64" i="18"/>
  <c r="B64" i="18"/>
  <c r="C64" i="18"/>
  <c r="D64" i="18"/>
  <c r="E64" i="18"/>
  <c r="F64" i="18"/>
  <c r="A65" i="18"/>
  <c r="B65" i="18"/>
  <c r="C65" i="18"/>
  <c r="D65" i="18"/>
  <c r="E65" i="18"/>
  <c r="F65" i="18"/>
  <c r="A66" i="18"/>
  <c r="B66" i="18"/>
  <c r="C66" i="18"/>
  <c r="D66" i="18"/>
  <c r="E66" i="18"/>
  <c r="F66" i="18"/>
  <c r="A67" i="18"/>
  <c r="B67" i="18"/>
  <c r="C67" i="18"/>
  <c r="D67" i="18"/>
  <c r="E67" i="18"/>
  <c r="F67" i="18"/>
  <c r="A68" i="18"/>
  <c r="B68" i="18"/>
  <c r="C68" i="18"/>
  <c r="D68" i="18"/>
  <c r="E68" i="18"/>
  <c r="F68" i="18"/>
  <c r="A69" i="18"/>
  <c r="B69" i="18"/>
  <c r="C69" i="18"/>
  <c r="D69" i="18"/>
  <c r="E69" i="18"/>
  <c r="F69" i="18"/>
  <c r="A70" i="18"/>
  <c r="B70" i="18"/>
  <c r="C70" i="18"/>
  <c r="D70" i="18"/>
  <c r="E70" i="18"/>
  <c r="F70" i="18"/>
  <c r="A71" i="18"/>
  <c r="B71" i="18"/>
  <c r="C71" i="18"/>
  <c r="D71" i="18"/>
  <c r="E71" i="18"/>
  <c r="F71" i="18"/>
  <c r="A72" i="18"/>
  <c r="B72" i="18"/>
  <c r="C72" i="18"/>
  <c r="D72" i="18"/>
  <c r="E72" i="18"/>
  <c r="F72" i="18"/>
  <c r="A73" i="18"/>
  <c r="B73" i="18"/>
  <c r="C73" i="18"/>
  <c r="D73" i="18"/>
  <c r="E73" i="18"/>
  <c r="F73" i="18"/>
  <c r="A74" i="18"/>
  <c r="B74" i="18"/>
  <c r="C74" i="18"/>
  <c r="D74" i="18"/>
  <c r="E74" i="18"/>
  <c r="F74" i="18"/>
  <c r="A75" i="18"/>
  <c r="B75" i="18"/>
  <c r="C75" i="18"/>
  <c r="D75" i="18"/>
  <c r="E75" i="18"/>
  <c r="F75" i="18"/>
  <c r="A76" i="18"/>
  <c r="B76" i="18"/>
  <c r="C76" i="18"/>
  <c r="D76" i="18"/>
  <c r="E76" i="18"/>
  <c r="F76" i="18"/>
  <c r="A77" i="18"/>
  <c r="B77" i="18"/>
  <c r="C77" i="18"/>
  <c r="D77" i="18"/>
  <c r="E77" i="18"/>
  <c r="F77" i="18"/>
  <c r="A78" i="18"/>
  <c r="B78" i="18"/>
  <c r="C78" i="18"/>
  <c r="D78" i="18"/>
  <c r="E78" i="18"/>
  <c r="F78" i="18"/>
  <c r="A79" i="18"/>
  <c r="B79" i="18"/>
  <c r="C79" i="18"/>
  <c r="D79" i="18"/>
  <c r="E79" i="18"/>
  <c r="F79" i="18"/>
  <c r="A80" i="18"/>
  <c r="B80" i="18"/>
  <c r="C80" i="18"/>
  <c r="D80" i="18"/>
  <c r="E80" i="18"/>
  <c r="F80" i="18"/>
  <c r="A81" i="18"/>
  <c r="B81" i="18"/>
  <c r="C81" i="18"/>
  <c r="D81" i="18"/>
  <c r="E81" i="18"/>
  <c r="F81" i="18"/>
  <c r="A82" i="18"/>
  <c r="B82" i="18"/>
  <c r="C82" i="18"/>
  <c r="D82" i="18"/>
  <c r="E82" i="18"/>
  <c r="F82" i="18"/>
  <c r="A83" i="18"/>
  <c r="B83" i="18"/>
  <c r="C83" i="18"/>
  <c r="D83" i="18"/>
  <c r="E83" i="18"/>
  <c r="F83" i="18"/>
  <c r="A84" i="18"/>
  <c r="B84" i="18"/>
  <c r="C84" i="18"/>
  <c r="D84" i="18"/>
  <c r="E84" i="18"/>
  <c r="F84" i="18"/>
  <c r="A85" i="18"/>
  <c r="B85" i="18"/>
  <c r="C85" i="18"/>
  <c r="D85" i="18"/>
  <c r="E85" i="18"/>
  <c r="F85" i="18"/>
  <c r="A86" i="18"/>
  <c r="B86" i="18"/>
  <c r="C86" i="18"/>
  <c r="D86" i="18"/>
  <c r="E86" i="18"/>
  <c r="F86" i="18"/>
  <c r="A87" i="18"/>
  <c r="B87" i="18"/>
  <c r="C87" i="18"/>
  <c r="D87" i="18"/>
  <c r="E87" i="18"/>
  <c r="F87" i="18"/>
  <c r="A88" i="18"/>
  <c r="B88" i="18"/>
  <c r="C88" i="18"/>
  <c r="D88" i="18"/>
  <c r="E88" i="18"/>
  <c r="F88" i="18"/>
  <c r="A89" i="18"/>
  <c r="B89" i="18"/>
  <c r="C89" i="18"/>
  <c r="D89" i="18"/>
  <c r="E89" i="18"/>
  <c r="F89" i="18"/>
  <c r="A90" i="18"/>
  <c r="B90" i="18"/>
  <c r="C90" i="18"/>
  <c r="D90" i="18"/>
  <c r="E90" i="18"/>
  <c r="F90" i="18"/>
  <c r="A91" i="18"/>
  <c r="B91" i="18"/>
  <c r="C91" i="18"/>
  <c r="D91" i="18"/>
  <c r="E91" i="18"/>
  <c r="F91" i="18"/>
  <c r="A92" i="18"/>
  <c r="B92" i="18"/>
  <c r="C92" i="18"/>
  <c r="D92" i="18"/>
  <c r="E92" i="18"/>
  <c r="F92" i="18"/>
  <c r="A93" i="18"/>
  <c r="B93" i="18"/>
  <c r="C93" i="18"/>
  <c r="D93" i="18"/>
  <c r="E93" i="18"/>
  <c r="F93" i="18"/>
  <c r="A94" i="18"/>
  <c r="B94" i="18"/>
  <c r="C94" i="18"/>
  <c r="D94" i="18"/>
  <c r="E94" i="18"/>
  <c r="F94" i="18"/>
  <c r="A95" i="18"/>
  <c r="B95" i="18"/>
  <c r="C95" i="18"/>
  <c r="D95" i="18"/>
  <c r="E95" i="18"/>
  <c r="F95" i="18"/>
  <c r="A96" i="18"/>
  <c r="B96" i="18"/>
  <c r="C96" i="18"/>
  <c r="D96" i="18"/>
  <c r="E96" i="18"/>
  <c r="F96" i="18"/>
  <c r="A97" i="18"/>
  <c r="B97" i="18"/>
  <c r="C97" i="18"/>
  <c r="D97" i="18"/>
  <c r="E97" i="18"/>
  <c r="F97" i="18"/>
  <c r="A98" i="18"/>
  <c r="B98" i="18"/>
  <c r="C98" i="18"/>
  <c r="D98" i="18"/>
  <c r="E98" i="18"/>
  <c r="F98" i="18"/>
  <c r="A99" i="18"/>
  <c r="B99" i="18"/>
  <c r="C99" i="18"/>
  <c r="D99" i="18"/>
  <c r="E99" i="18"/>
  <c r="F99" i="18"/>
  <c r="A100" i="18"/>
  <c r="B100" i="18"/>
  <c r="C100" i="18"/>
  <c r="D100" i="18"/>
  <c r="E100" i="18"/>
  <c r="F100" i="18"/>
  <c r="A101" i="18"/>
  <c r="B101" i="18"/>
  <c r="C101" i="18"/>
  <c r="D101" i="18"/>
  <c r="E101" i="18"/>
  <c r="F101" i="18"/>
  <c r="A102" i="18"/>
  <c r="B102" i="18"/>
  <c r="C102" i="18"/>
  <c r="D102" i="18"/>
  <c r="E102" i="18"/>
  <c r="F102" i="18"/>
  <c r="A103" i="18"/>
  <c r="B103" i="18"/>
  <c r="C103" i="18"/>
  <c r="D103" i="18"/>
  <c r="E103" i="18"/>
  <c r="F103" i="18"/>
  <c r="A104" i="18"/>
  <c r="B104" i="18"/>
  <c r="C104" i="18"/>
  <c r="D104" i="18"/>
  <c r="E104" i="18"/>
  <c r="F104" i="18"/>
  <c r="A105" i="18"/>
  <c r="B105" i="18"/>
  <c r="C105" i="18"/>
  <c r="D105" i="18"/>
  <c r="E105" i="18"/>
  <c r="F105" i="18"/>
  <c r="A106" i="18"/>
  <c r="B106" i="18"/>
  <c r="C106" i="18"/>
  <c r="D106" i="18"/>
  <c r="E106" i="18"/>
  <c r="F106" i="18"/>
  <c r="A107" i="18"/>
  <c r="B107" i="18"/>
  <c r="C107" i="18"/>
  <c r="D107" i="18"/>
  <c r="E107" i="18"/>
  <c r="F107" i="18"/>
  <c r="A108" i="18"/>
  <c r="B108" i="18"/>
  <c r="C108" i="18"/>
  <c r="D108" i="18"/>
  <c r="E108" i="18"/>
  <c r="F108" i="18"/>
  <c r="A109" i="18"/>
  <c r="B109" i="18"/>
  <c r="C109" i="18"/>
  <c r="D109" i="18"/>
  <c r="E109" i="18"/>
  <c r="F109" i="18"/>
  <c r="A110" i="18"/>
  <c r="B110" i="18"/>
  <c r="C110" i="18"/>
  <c r="D110" i="18"/>
  <c r="E110" i="18"/>
  <c r="F110" i="18"/>
  <c r="A111" i="18"/>
  <c r="B111" i="18"/>
  <c r="C111" i="18"/>
  <c r="D111" i="18"/>
  <c r="E111" i="18"/>
  <c r="F111" i="18"/>
  <c r="A112" i="18"/>
  <c r="B112" i="18"/>
  <c r="C112" i="18"/>
  <c r="D112" i="18"/>
  <c r="E112" i="18"/>
  <c r="F112" i="18"/>
  <c r="A113" i="18"/>
  <c r="B113" i="18"/>
  <c r="C113" i="18"/>
  <c r="D113" i="18"/>
  <c r="E113" i="18"/>
  <c r="F113" i="18"/>
  <c r="A114" i="18"/>
  <c r="B114" i="18"/>
  <c r="C114" i="18"/>
  <c r="D114" i="18"/>
  <c r="E114" i="18"/>
  <c r="F114" i="18"/>
  <c r="A115" i="18"/>
  <c r="B115" i="18"/>
  <c r="C115" i="18"/>
  <c r="D115" i="18"/>
  <c r="E115" i="18"/>
  <c r="F115" i="18"/>
  <c r="A116" i="18"/>
  <c r="B116" i="18"/>
  <c r="C116" i="18"/>
  <c r="D116" i="18"/>
  <c r="E116" i="18"/>
  <c r="F116" i="18"/>
  <c r="A117" i="18"/>
  <c r="B117" i="18"/>
  <c r="C117" i="18"/>
  <c r="D117" i="18"/>
  <c r="E117" i="18"/>
  <c r="F117" i="18"/>
  <c r="A118" i="18"/>
  <c r="B118" i="18"/>
  <c r="C118" i="18"/>
  <c r="D118" i="18"/>
  <c r="E118" i="18"/>
  <c r="F118" i="18"/>
  <c r="A119" i="18"/>
  <c r="B119" i="18"/>
  <c r="C119" i="18"/>
  <c r="D119" i="18"/>
  <c r="E119" i="18"/>
  <c r="F119" i="18"/>
  <c r="A120" i="18"/>
  <c r="B120" i="18"/>
  <c r="C120" i="18"/>
  <c r="D120" i="18"/>
  <c r="E120" i="18"/>
  <c r="F120" i="18"/>
  <c r="A121" i="18"/>
  <c r="B121" i="18"/>
  <c r="C121" i="18"/>
  <c r="D121" i="18"/>
  <c r="E121" i="18"/>
  <c r="F121" i="18"/>
  <c r="A122" i="18"/>
  <c r="B122" i="18"/>
  <c r="C122" i="18"/>
  <c r="D122" i="18"/>
  <c r="E122" i="18"/>
  <c r="F122" i="18"/>
  <c r="A123" i="18"/>
  <c r="B123" i="18"/>
  <c r="C123" i="18"/>
  <c r="D123" i="18"/>
  <c r="E123" i="18"/>
  <c r="F123" i="18"/>
  <c r="A124" i="18"/>
  <c r="B124" i="18"/>
  <c r="C124" i="18"/>
  <c r="D124" i="18"/>
  <c r="E124" i="18"/>
  <c r="F124" i="18"/>
  <c r="A125" i="18"/>
  <c r="B125" i="18"/>
  <c r="C125" i="18"/>
  <c r="D125" i="18"/>
  <c r="E125" i="18"/>
  <c r="F125" i="18"/>
  <c r="A126" i="18"/>
  <c r="B126" i="18"/>
  <c r="C126" i="18"/>
  <c r="D126" i="18"/>
  <c r="E126" i="18"/>
  <c r="F126" i="18"/>
  <c r="A127" i="18"/>
  <c r="B127" i="18"/>
  <c r="C127" i="18"/>
  <c r="D127" i="18"/>
  <c r="E127" i="18"/>
  <c r="F127" i="18"/>
  <c r="A128" i="18"/>
  <c r="B128" i="18"/>
  <c r="C128" i="18"/>
  <c r="D128" i="18"/>
  <c r="E128" i="18"/>
  <c r="F128" i="18"/>
  <c r="A129" i="18"/>
  <c r="B129" i="18"/>
  <c r="C129" i="18"/>
  <c r="D129" i="18"/>
  <c r="E129" i="18"/>
  <c r="F129" i="18"/>
  <c r="A130" i="18"/>
  <c r="B130" i="18"/>
  <c r="C130" i="18"/>
  <c r="D130" i="18"/>
  <c r="E130" i="18"/>
  <c r="F130" i="18"/>
  <c r="A131" i="18"/>
  <c r="B131" i="18"/>
  <c r="C131" i="18"/>
  <c r="D131" i="18"/>
  <c r="E131" i="18"/>
  <c r="F131" i="18"/>
  <c r="A132" i="18"/>
  <c r="B132" i="18"/>
  <c r="C132" i="18"/>
  <c r="D132" i="18"/>
  <c r="E132" i="18"/>
  <c r="F132" i="18"/>
  <c r="A133" i="18"/>
  <c r="B133" i="18"/>
  <c r="C133" i="18"/>
  <c r="D133" i="18"/>
  <c r="E133" i="18"/>
  <c r="F133" i="18"/>
  <c r="A134" i="18"/>
  <c r="B134" i="18"/>
  <c r="C134" i="18"/>
  <c r="D134" i="18"/>
  <c r="E134" i="18"/>
  <c r="F134" i="18"/>
  <c r="A135" i="18"/>
  <c r="B135" i="18"/>
  <c r="C135" i="18"/>
  <c r="D135" i="18"/>
  <c r="E135" i="18"/>
  <c r="F135" i="18"/>
  <c r="A136" i="18"/>
  <c r="B136" i="18"/>
  <c r="C136" i="18"/>
  <c r="D136" i="18"/>
  <c r="E136" i="18"/>
  <c r="F136" i="18"/>
  <c r="A137" i="18"/>
  <c r="B137" i="18"/>
  <c r="C137" i="18"/>
  <c r="D137" i="18"/>
  <c r="E137" i="18"/>
  <c r="F137" i="18"/>
  <c r="A138" i="18"/>
  <c r="B138" i="18"/>
  <c r="C138" i="18"/>
  <c r="D138" i="18"/>
  <c r="E138" i="18"/>
  <c r="F138" i="18"/>
  <c r="A139" i="18"/>
  <c r="B139" i="18"/>
  <c r="C139" i="18"/>
  <c r="D139" i="18"/>
  <c r="E139" i="18"/>
  <c r="F139" i="18"/>
  <c r="A140" i="18"/>
  <c r="B140" i="18"/>
  <c r="C140" i="18"/>
  <c r="D140" i="18"/>
  <c r="E140" i="18"/>
  <c r="F140" i="18"/>
  <c r="A141" i="18"/>
  <c r="B141" i="18"/>
  <c r="C141" i="18"/>
  <c r="D141" i="18"/>
  <c r="E141" i="18"/>
  <c r="F141" i="18"/>
  <c r="A142" i="18"/>
  <c r="B142" i="18"/>
  <c r="C142" i="18"/>
  <c r="D142" i="18"/>
  <c r="E142" i="18"/>
  <c r="F142" i="18"/>
  <c r="A143" i="18"/>
  <c r="B143" i="18"/>
  <c r="C143" i="18"/>
  <c r="D143" i="18"/>
  <c r="E143" i="18"/>
  <c r="F143" i="18"/>
  <c r="A144" i="18"/>
  <c r="B144" i="18"/>
  <c r="C144" i="18"/>
  <c r="D144" i="18"/>
  <c r="E144" i="18"/>
  <c r="F144" i="18"/>
  <c r="A145" i="18"/>
  <c r="B145" i="18"/>
  <c r="C145" i="18"/>
  <c r="D145" i="18"/>
  <c r="E145" i="18"/>
  <c r="F145" i="18"/>
  <c r="A146" i="18"/>
  <c r="B146" i="18"/>
  <c r="C146" i="18"/>
  <c r="D146" i="18"/>
  <c r="E146" i="18"/>
  <c r="F146" i="18"/>
  <c r="A147" i="18"/>
  <c r="B147" i="18"/>
  <c r="C147" i="18"/>
  <c r="D147" i="18"/>
  <c r="E147" i="18"/>
  <c r="F147" i="18"/>
  <c r="A148" i="18"/>
  <c r="B148" i="18"/>
  <c r="C148" i="18"/>
  <c r="D148" i="18"/>
  <c r="E148" i="18"/>
  <c r="F148" i="18"/>
  <c r="A149" i="18"/>
  <c r="B149" i="18"/>
  <c r="C149" i="18"/>
  <c r="D149" i="18"/>
  <c r="E149" i="18"/>
  <c r="F149" i="18"/>
  <c r="A150" i="18"/>
  <c r="B150" i="18"/>
  <c r="C150" i="18"/>
  <c r="D150" i="18"/>
  <c r="E150" i="18"/>
  <c r="F150" i="18"/>
  <c r="A151" i="18"/>
  <c r="B151" i="18"/>
  <c r="C151" i="18"/>
  <c r="D151" i="18"/>
  <c r="E151" i="18"/>
  <c r="F151" i="18"/>
  <c r="A152" i="18"/>
  <c r="B152" i="18"/>
  <c r="C152" i="18"/>
  <c r="D152" i="18"/>
  <c r="E152" i="18"/>
  <c r="F152" i="18"/>
  <c r="A153" i="18"/>
  <c r="B153" i="18"/>
  <c r="C153" i="18"/>
  <c r="D153" i="18"/>
  <c r="E153" i="18"/>
  <c r="F153" i="18"/>
  <c r="A154" i="18"/>
  <c r="B154" i="18"/>
  <c r="C154" i="18"/>
  <c r="D154" i="18"/>
  <c r="E154" i="18"/>
  <c r="F154" i="18"/>
  <c r="A155" i="18"/>
  <c r="B155" i="18"/>
  <c r="C155" i="18"/>
  <c r="D155" i="18"/>
  <c r="E155" i="18"/>
  <c r="F155" i="18"/>
  <c r="A156" i="18"/>
  <c r="B156" i="18"/>
  <c r="C156" i="18"/>
  <c r="D156" i="18"/>
  <c r="E156" i="18"/>
  <c r="F156" i="18"/>
  <c r="A157" i="18"/>
  <c r="B157" i="18"/>
  <c r="C157" i="18"/>
  <c r="D157" i="18"/>
  <c r="E157" i="18"/>
  <c r="F157" i="18"/>
  <c r="A158" i="18"/>
  <c r="B158" i="18"/>
  <c r="C158" i="18"/>
  <c r="D158" i="18"/>
  <c r="E158" i="18"/>
  <c r="F158" i="18"/>
  <c r="A159" i="18"/>
  <c r="B159" i="18"/>
  <c r="C159" i="18"/>
  <c r="D159" i="18"/>
  <c r="E159" i="18"/>
  <c r="F159" i="18"/>
  <c r="A160" i="18"/>
  <c r="B160" i="18"/>
  <c r="C160" i="18"/>
  <c r="D160" i="18"/>
  <c r="E160" i="18"/>
  <c r="F160" i="18"/>
  <c r="A161" i="18"/>
  <c r="B161" i="18"/>
  <c r="C161" i="18"/>
  <c r="D161" i="18"/>
  <c r="E161" i="18"/>
  <c r="F161" i="18"/>
  <c r="A162" i="18"/>
  <c r="B162" i="18"/>
  <c r="C162" i="18"/>
  <c r="D162" i="18"/>
  <c r="E162" i="18"/>
  <c r="F162" i="18"/>
  <c r="A163" i="18"/>
  <c r="B163" i="18"/>
  <c r="C163" i="18"/>
  <c r="D163" i="18"/>
  <c r="E163" i="18"/>
  <c r="F163" i="18"/>
  <c r="A164" i="18"/>
  <c r="B164" i="18"/>
  <c r="C164" i="18"/>
  <c r="D164" i="18"/>
  <c r="E164" i="18"/>
  <c r="F164" i="18"/>
  <c r="A165" i="18"/>
  <c r="B165" i="18"/>
  <c r="C165" i="18"/>
  <c r="D165" i="18"/>
  <c r="E165" i="18"/>
  <c r="F165" i="18"/>
  <c r="A166" i="18"/>
  <c r="B166" i="18"/>
  <c r="C166" i="18"/>
  <c r="D166" i="18"/>
  <c r="E166" i="18"/>
  <c r="F166" i="18"/>
  <c r="A167" i="18"/>
  <c r="B167" i="18"/>
  <c r="C167" i="18"/>
  <c r="D167" i="18"/>
  <c r="E167" i="18"/>
  <c r="F167" i="18"/>
  <c r="A168" i="18"/>
  <c r="B168" i="18"/>
  <c r="C168" i="18"/>
  <c r="D168" i="18"/>
  <c r="E168" i="18"/>
  <c r="F168" i="18"/>
  <c r="A169" i="18"/>
  <c r="B169" i="18"/>
  <c r="C169" i="18"/>
  <c r="D169" i="18"/>
  <c r="E169" i="18"/>
  <c r="F169" i="18"/>
  <c r="A170" i="18"/>
  <c r="B170" i="18"/>
  <c r="C170" i="18"/>
  <c r="D170" i="18"/>
  <c r="E170" i="18"/>
  <c r="F170" i="18"/>
  <c r="A171" i="18"/>
  <c r="B171" i="18"/>
  <c r="C171" i="18"/>
  <c r="D171" i="18"/>
  <c r="E171" i="18"/>
  <c r="F171" i="18"/>
  <c r="A172" i="18"/>
  <c r="B172" i="18"/>
  <c r="C172" i="18"/>
  <c r="D172" i="18"/>
  <c r="E172" i="18"/>
  <c r="F172" i="18"/>
  <c r="A173" i="18"/>
  <c r="B173" i="18"/>
  <c r="C173" i="18"/>
  <c r="D173" i="18"/>
  <c r="E173" i="18"/>
  <c r="F173" i="18"/>
  <c r="A174" i="18"/>
  <c r="B174" i="18"/>
  <c r="C174" i="18"/>
  <c r="D174" i="18"/>
  <c r="E174" i="18"/>
  <c r="F174" i="18"/>
  <c r="A175" i="18"/>
  <c r="B175" i="18"/>
  <c r="C175" i="18"/>
  <c r="D175" i="18"/>
  <c r="E175" i="18"/>
  <c r="F175" i="18"/>
  <c r="A176" i="18"/>
  <c r="B176" i="18"/>
  <c r="C176" i="18"/>
  <c r="D176" i="18"/>
  <c r="E176" i="18"/>
  <c r="F176" i="18"/>
  <c r="A177" i="18"/>
  <c r="B177" i="18"/>
  <c r="C177" i="18"/>
  <c r="D177" i="18"/>
  <c r="E177" i="18"/>
  <c r="F177" i="18"/>
  <c r="A178" i="18"/>
  <c r="B178" i="18"/>
  <c r="C178" i="18"/>
  <c r="D178" i="18"/>
  <c r="E178" i="18"/>
  <c r="F178" i="18"/>
  <c r="A179" i="18"/>
  <c r="B179" i="18"/>
  <c r="C179" i="18"/>
  <c r="D179" i="18"/>
  <c r="E179" i="18"/>
  <c r="F179" i="18"/>
  <c r="A180" i="18"/>
  <c r="B180" i="18"/>
  <c r="C180" i="18"/>
  <c r="D180" i="18"/>
  <c r="E180" i="18"/>
  <c r="F180" i="18"/>
  <c r="A181" i="18"/>
  <c r="B181" i="18"/>
  <c r="C181" i="18"/>
  <c r="D181" i="18"/>
  <c r="E181" i="18"/>
  <c r="F181" i="18"/>
  <c r="A182" i="18"/>
  <c r="B182" i="18"/>
  <c r="C182" i="18"/>
  <c r="D182" i="18"/>
  <c r="E182" i="18"/>
  <c r="F182" i="18"/>
  <c r="A183" i="18"/>
  <c r="B183" i="18"/>
  <c r="C183" i="18"/>
  <c r="D183" i="18"/>
  <c r="E183" i="18"/>
  <c r="F183" i="18"/>
  <c r="A184" i="18"/>
  <c r="B184" i="18"/>
  <c r="C184" i="18"/>
  <c r="D184" i="18"/>
  <c r="E184" i="18"/>
  <c r="F184" i="18"/>
  <c r="A185" i="18"/>
  <c r="B185" i="18"/>
  <c r="C185" i="18"/>
  <c r="D185" i="18"/>
  <c r="E185" i="18"/>
  <c r="F185" i="18"/>
  <c r="A186" i="18"/>
  <c r="B186" i="18"/>
  <c r="C186" i="18"/>
  <c r="D186" i="18"/>
  <c r="E186" i="18"/>
  <c r="F186" i="18"/>
  <c r="A187" i="18"/>
  <c r="B187" i="18"/>
  <c r="C187" i="18"/>
  <c r="D187" i="18"/>
  <c r="E187" i="18"/>
  <c r="F187" i="18"/>
  <c r="A188" i="18"/>
  <c r="B188" i="18"/>
  <c r="C188" i="18"/>
  <c r="D188" i="18"/>
  <c r="E188" i="18"/>
  <c r="F188" i="18"/>
  <c r="A189" i="18"/>
  <c r="B189" i="18"/>
  <c r="C189" i="18"/>
  <c r="D189" i="18"/>
  <c r="E189" i="18"/>
  <c r="F189" i="18"/>
  <c r="A190" i="18"/>
  <c r="B190" i="18"/>
  <c r="C190" i="18"/>
  <c r="D190" i="18"/>
  <c r="E190" i="18"/>
  <c r="F190" i="18"/>
  <c r="A191" i="18"/>
  <c r="B191" i="18"/>
  <c r="C191" i="18"/>
  <c r="D191" i="18"/>
  <c r="E191" i="18"/>
  <c r="F191" i="18"/>
  <c r="A192" i="18"/>
  <c r="B192" i="18"/>
  <c r="C192" i="18"/>
  <c r="D192" i="18"/>
  <c r="E192" i="18"/>
  <c r="F192" i="18"/>
  <c r="A193" i="18"/>
  <c r="B193" i="18"/>
  <c r="C193" i="18"/>
  <c r="D193" i="18"/>
  <c r="E193" i="18"/>
  <c r="F193" i="18"/>
  <c r="A194" i="18"/>
  <c r="B194" i="18"/>
  <c r="C194" i="18"/>
  <c r="D194" i="18"/>
  <c r="E194" i="18"/>
  <c r="F194" i="18"/>
  <c r="A195" i="18"/>
  <c r="B195" i="18"/>
  <c r="C195" i="18"/>
  <c r="D195" i="18"/>
  <c r="E195" i="18"/>
  <c r="F195" i="18"/>
  <c r="A196" i="18"/>
  <c r="B196" i="18"/>
  <c r="C196" i="18"/>
  <c r="D196" i="18"/>
  <c r="E196" i="18"/>
  <c r="F196" i="18"/>
  <c r="A197" i="18"/>
  <c r="B197" i="18"/>
  <c r="C197" i="18"/>
  <c r="D197" i="18"/>
  <c r="E197" i="18"/>
  <c r="F197" i="18"/>
  <c r="A198" i="18"/>
  <c r="B198" i="18"/>
  <c r="C198" i="18"/>
  <c r="D198" i="18"/>
  <c r="E198" i="18"/>
  <c r="F198" i="18"/>
  <c r="A199" i="18"/>
  <c r="B199" i="18"/>
  <c r="C199" i="18"/>
  <c r="D199" i="18"/>
  <c r="E199" i="18"/>
  <c r="F199" i="18"/>
  <c r="A200" i="18"/>
  <c r="B200" i="18"/>
  <c r="C200" i="18"/>
  <c r="D200" i="18"/>
  <c r="E200" i="18"/>
  <c r="F200" i="18"/>
  <c r="A201" i="18"/>
  <c r="B201" i="18"/>
  <c r="C201" i="18"/>
  <c r="D201" i="18"/>
  <c r="E201" i="18"/>
  <c r="F201" i="18"/>
  <c r="A202" i="18"/>
  <c r="B202" i="18"/>
  <c r="C202" i="18"/>
  <c r="D202" i="18"/>
  <c r="E202" i="18"/>
  <c r="F202" i="18"/>
  <c r="A203" i="18"/>
  <c r="B203" i="18"/>
  <c r="C203" i="18"/>
  <c r="D203" i="18"/>
  <c r="E203" i="18"/>
  <c r="F203" i="18"/>
  <c r="A204" i="18"/>
  <c r="B204" i="18"/>
  <c r="C204" i="18"/>
  <c r="D204" i="18"/>
  <c r="E204" i="18"/>
  <c r="F204" i="18"/>
  <c r="A205" i="18"/>
  <c r="B205" i="18"/>
  <c r="C205" i="18"/>
  <c r="D205" i="18"/>
  <c r="E205" i="18"/>
  <c r="F205" i="18"/>
  <c r="A206" i="18"/>
  <c r="B206" i="18"/>
  <c r="C206" i="18"/>
  <c r="D206" i="18"/>
  <c r="E206" i="18"/>
  <c r="F206" i="18"/>
  <c r="A207" i="18"/>
  <c r="B207" i="18"/>
  <c r="C207" i="18"/>
  <c r="D207" i="18"/>
  <c r="E207" i="18"/>
  <c r="F207" i="18"/>
  <c r="A208" i="18"/>
  <c r="B208" i="18"/>
  <c r="C208" i="18"/>
  <c r="D208" i="18"/>
  <c r="E208" i="18"/>
  <c r="F208" i="18"/>
  <c r="A209" i="18"/>
  <c r="B209" i="18"/>
  <c r="C209" i="18"/>
  <c r="D209" i="18"/>
  <c r="E209" i="18"/>
  <c r="F209" i="18"/>
  <c r="A210" i="18"/>
  <c r="B210" i="18"/>
  <c r="C210" i="18"/>
  <c r="D210" i="18"/>
  <c r="E210" i="18"/>
  <c r="F210" i="18"/>
  <c r="A211" i="18"/>
  <c r="B211" i="18"/>
  <c r="C211" i="18"/>
  <c r="D211" i="18"/>
  <c r="E211" i="18"/>
  <c r="F211" i="18"/>
  <c r="A212" i="18"/>
  <c r="B212" i="18"/>
  <c r="C212" i="18"/>
  <c r="D212" i="18"/>
  <c r="E212" i="18"/>
  <c r="F212" i="18"/>
  <c r="A213" i="18"/>
  <c r="B213" i="18"/>
  <c r="C213" i="18"/>
  <c r="D213" i="18"/>
  <c r="E213" i="18"/>
  <c r="F213" i="18"/>
  <c r="A214" i="18"/>
  <c r="B214" i="18"/>
  <c r="C214" i="18"/>
  <c r="D214" i="18"/>
  <c r="E214" i="18"/>
  <c r="F214" i="18"/>
  <c r="A215" i="18"/>
  <c r="B215" i="18"/>
  <c r="C215" i="18"/>
  <c r="D215" i="18"/>
  <c r="E215" i="18"/>
  <c r="F215" i="18"/>
  <c r="A216" i="18"/>
  <c r="B216" i="18"/>
  <c r="C216" i="18"/>
  <c r="D216" i="18"/>
  <c r="E216" i="18"/>
  <c r="F216" i="18"/>
  <c r="A217" i="18"/>
  <c r="B217" i="18"/>
  <c r="C217" i="18"/>
  <c r="D217" i="18"/>
  <c r="E217" i="18"/>
  <c r="F217" i="18"/>
  <c r="A218" i="18"/>
  <c r="B218" i="18"/>
  <c r="C218" i="18"/>
  <c r="D218" i="18"/>
  <c r="E218" i="18"/>
  <c r="F218" i="18"/>
  <c r="A219" i="18"/>
  <c r="B219" i="18"/>
  <c r="C219" i="18"/>
  <c r="D219" i="18"/>
  <c r="E219" i="18"/>
  <c r="F219" i="18"/>
  <c r="A220" i="18"/>
  <c r="B220" i="18"/>
  <c r="C220" i="18"/>
  <c r="D220" i="18"/>
  <c r="E220" i="18"/>
  <c r="F220" i="18"/>
  <c r="A221" i="18"/>
  <c r="B221" i="18"/>
  <c r="C221" i="18"/>
  <c r="D221" i="18"/>
  <c r="E221" i="18"/>
  <c r="F221" i="18"/>
  <c r="A222" i="18"/>
  <c r="B222" i="18"/>
  <c r="C222" i="18"/>
  <c r="D222" i="18"/>
  <c r="E222" i="18"/>
  <c r="F222" i="18"/>
  <c r="A223" i="18"/>
  <c r="B223" i="18"/>
  <c r="C223" i="18"/>
  <c r="D223" i="18"/>
  <c r="E223" i="18"/>
  <c r="F223" i="18"/>
  <c r="A224" i="18"/>
  <c r="B224" i="18"/>
  <c r="C224" i="18"/>
  <c r="D224" i="18"/>
  <c r="E224" i="18"/>
  <c r="F224" i="18"/>
  <c r="A225" i="18"/>
  <c r="B225" i="18"/>
  <c r="C225" i="18"/>
  <c r="D225" i="18"/>
  <c r="E225" i="18"/>
  <c r="F225" i="18"/>
  <c r="A226" i="18"/>
  <c r="B226" i="18"/>
  <c r="C226" i="18"/>
  <c r="D226" i="18"/>
  <c r="E226" i="18"/>
  <c r="F226" i="18"/>
  <c r="A227" i="18"/>
  <c r="B227" i="18"/>
  <c r="C227" i="18"/>
  <c r="D227" i="18"/>
  <c r="E227" i="18"/>
  <c r="F227" i="18"/>
  <c r="A228" i="18"/>
  <c r="B228" i="18"/>
  <c r="C228" i="18"/>
  <c r="D228" i="18"/>
  <c r="E228" i="18"/>
  <c r="F228" i="18"/>
  <c r="A229" i="18"/>
  <c r="B229" i="18"/>
  <c r="C229" i="18"/>
  <c r="D229" i="18"/>
  <c r="E229" i="18"/>
  <c r="F229" i="18"/>
  <c r="A230" i="18"/>
  <c r="B230" i="18"/>
  <c r="C230" i="18"/>
  <c r="D230" i="18"/>
  <c r="E230" i="18"/>
  <c r="F230" i="18"/>
  <c r="A231" i="18"/>
  <c r="B231" i="18"/>
  <c r="C231" i="18"/>
  <c r="D231" i="18"/>
  <c r="E231" i="18"/>
  <c r="F231" i="18"/>
  <c r="A232" i="18"/>
  <c r="B232" i="18"/>
  <c r="C232" i="18"/>
  <c r="D232" i="18"/>
  <c r="E232" i="18"/>
  <c r="F232" i="18"/>
  <c r="A233" i="18"/>
  <c r="B233" i="18"/>
  <c r="C233" i="18"/>
  <c r="D233" i="18"/>
  <c r="E233" i="18"/>
  <c r="F233" i="18"/>
  <c r="A234" i="18"/>
  <c r="B234" i="18"/>
  <c r="C234" i="18"/>
  <c r="D234" i="18"/>
  <c r="E234" i="18"/>
  <c r="F234" i="18"/>
  <c r="A235" i="18"/>
  <c r="B235" i="18"/>
  <c r="C235" i="18"/>
  <c r="D235" i="18"/>
  <c r="E235" i="18"/>
  <c r="F235" i="18"/>
  <c r="A236" i="18"/>
  <c r="B236" i="18"/>
  <c r="C236" i="18"/>
  <c r="D236" i="18"/>
  <c r="E236" i="18"/>
  <c r="F236" i="18"/>
  <c r="A237" i="18"/>
  <c r="B237" i="18"/>
  <c r="C237" i="18"/>
  <c r="D237" i="18"/>
  <c r="E237" i="18"/>
  <c r="F237" i="18"/>
  <c r="A238" i="18"/>
  <c r="B238" i="18"/>
  <c r="C238" i="18"/>
  <c r="D238" i="18"/>
  <c r="E238" i="18"/>
  <c r="F238" i="18"/>
  <c r="A239" i="18"/>
  <c r="B239" i="18"/>
  <c r="C239" i="18"/>
  <c r="D239" i="18"/>
  <c r="E239" i="18"/>
  <c r="F239" i="18"/>
  <c r="A240" i="18"/>
  <c r="B240" i="18"/>
  <c r="C240" i="18"/>
  <c r="D240" i="18"/>
  <c r="E240" i="18"/>
  <c r="F240" i="18"/>
  <c r="A241" i="18"/>
  <c r="B241" i="18"/>
  <c r="C241" i="18"/>
  <c r="D241" i="18"/>
  <c r="E241" i="18"/>
  <c r="F241" i="18"/>
  <c r="A242" i="18"/>
  <c r="B242" i="18"/>
  <c r="C242" i="18"/>
  <c r="D242" i="18"/>
  <c r="E242" i="18"/>
  <c r="F242" i="18"/>
  <c r="A243" i="18"/>
  <c r="B243" i="18"/>
  <c r="C243" i="18"/>
  <c r="D243" i="18"/>
  <c r="E243" i="18"/>
  <c r="F243" i="18"/>
  <c r="A244" i="18"/>
  <c r="B244" i="18"/>
  <c r="C244" i="18"/>
  <c r="D244" i="18"/>
  <c r="E244" i="18"/>
  <c r="F244" i="18"/>
  <c r="A245" i="18"/>
  <c r="B245" i="18"/>
  <c r="C245" i="18"/>
  <c r="D245" i="18"/>
  <c r="E245" i="18"/>
  <c r="F245" i="18"/>
  <c r="A246" i="18"/>
  <c r="B246" i="18"/>
  <c r="C246" i="18"/>
  <c r="D246" i="18"/>
  <c r="E246" i="18"/>
  <c r="F246" i="18"/>
  <c r="A247" i="18"/>
  <c r="B247" i="18"/>
  <c r="C247" i="18"/>
  <c r="D247" i="18"/>
  <c r="E247" i="18"/>
  <c r="F247" i="18"/>
  <c r="A248" i="18"/>
  <c r="B248" i="18"/>
  <c r="C248" i="18"/>
  <c r="D248" i="18"/>
  <c r="E248" i="18"/>
  <c r="F248" i="18"/>
  <c r="A249" i="18"/>
  <c r="B249" i="18"/>
  <c r="C249" i="18"/>
  <c r="D249" i="18"/>
  <c r="E249" i="18"/>
  <c r="F249" i="18"/>
  <c r="A250" i="18"/>
  <c r="B250" i="18"/>
  <c r="C250" i="18"/>
  <c r="D250" i="18"/>
  <c r="E250" i="18"/>
  <c r="F250" i="18"/>
  <c r="A251" i="18"/>
  <c r="B251" i="18"/>
  <c r="C251" i="18"/>
  <c r="D251" i="18"/>
  <c r="E251" i="18"/>
  <c r="F251" i="18"/>
  <c r="A252" i="18"/>
  <c r="B252" i="18"/>
  <c r="C252" i="18"/>
  <c r="D252" i="18"/>
  <c r="E252" i="18"/>
  <c r="F252" i="18"/>
  <c r="A253" i="18"/>
  <c r="B253" i="18"/>
  <c r="C253" i="18"/>
  <c r="D253" i="18"/>
  <c r="E253" i="18"/>
  <c r="F253" i="18"/>
  <c r="A254" i="18"/>
  <c r="B254" i="18"/>
  <c r="C254" i="18"/>
  <c r="D254" i="18"/>
  <c r="E254" i="18"/>
  <c r="F254" i="18"/>
  <c r="A255" i="18"/>
  <c r="B255" i="18"/>
  <c r="C255" i="18"/>
  <c r="D255" i="18"/>
  <c r="E255" i="18"/>
  <c r="F255" i="18"/>
  <c r="A256" i="18"/>
  <c r="B256" i="18"/>
  <c r="C256" i="18"/>
  <c r="D256" i="18"/>
  <c r="E256" i="18"/>
  <c r="F256" i="18"/>
  <c r="A257" i="18"/>
  <c r="B257" i="18"/>
  <c r="C257" i="18"/>
  <c r="D257" i="18"/>
  <c r="E257" i="18"/>
  <c r="F257" i="18"/>
  <c r="A258" i="18"/>
  <c r="B258" i="18"/>
  <c r="C258" i="18"/>
  <c r="D258" i="18"/>
  <c r="E258" i="18"/>
  <c r="F258" i="18"/>
  <c r="A259" i="18"/>
  <c r="B259" i="18"/>
  <c r="C259" i="18"/>
  <c r="D259" i="18"/>
  <c r="E259" i="18"/>
  <c r="F259" i="18"/>
  <c r="A260" i="18"/>
  <c r="B260" i="18"/>
  <c r="C260" i="18"/>
  <c r="D260" i="18"/>
  <c r="E260" i="18"/>
  <c r="F260" i="18"/>
  <c r="A261" i="18"/>
  <c r="B261" i="18"/>
  <c r="C261" i="18"/>
  <c r="D261" i="18"/>
  <c r="E261" i="18"/>
  <c r="F261" i="18"/>
  <c r="A262" i="18"/>
  <c r="B262" i="18"/>
  <c r="C262" i="18"/>
  <c r="D262" i="18"/>
  <c r="E262" i="18"/>
  <c r="F262" i="18"/>
  <c r="A263" i="18"/>
  <c r="B263" i="18"/>
  <c r="C263" i="18"/>
  <c r="D263" i="18"/>
  <c r="E263" i="18"/>
  <c r="F263" i="18"/>
  <c r="A264" i="18"/>
  <c r="B264" i="18"/>
  <c r="C264" i="18"/>
  <c r="D264" i="18"/>
  <c r="E264" i="18"/>
  <c r="F264" i="18"/>
  <c r="A265" i="18"/>
  <c r="B265" i="18"/>
  <c r="C265" i="18"/>
  <c r="D265" i="18"/>
  <c r="E265" i="18"/>
  <c r="F265" i="18"/>
  <c r="A266" i="18"/>
  <c r="B266" i="18"/>
  <c r="C266" i="18"/>
  <c r="D266" i="18"/>
  <c r="E266" i="18"/>
  <c r="F266" i="18"/>
  <c r="A267" i="18"/>
  <c r="B267" i="18"/>
  <c r="C267" i="18"/>
  <c r="D267" i="18"/>
  <c r="E267" i="18"/>
  <c r="F267" i="18"/>
  <c r="A268" i="18"/>
  <c r="B268" i="18"/>
  <c r="C268" i="18"/>
  <c r="D268" i="18"/>
  <c r="E268" i="18"/>
  <c r="F268" i="18"/>
  <c r="A269" i="18"/>
  <c r="B269" i="18"/>
  <c r="C269" i="18"/>
  <c r="D269" i="18"/>
  <c r="E269" i="18"/>
  <c r="F269" i="18"/>
  <c r="A270" i="18"/>
  <c r="B270" i="18"/>
  <c r="C270" i="18"/>
  <c r="D270" i="18"/>
  <c r="E270" i="18"/>
  <c r="F270" i="18"/>
  <c r="A271" i="18"/>
  <c r="B271" i="18"/>
  <c r="C271" i="18"/>
  <c r="D271" i="18"/>
  <c r="E271" i="18"/>
  <c r="F271" i="18"/>
  <c r="A272" i="18"/>
  <c r="B272" i="18"/>
  <c r="C272" i="18"/>
  <c r="D272" i="18"/>
  <c r="E272" i="18"/>
  <c r="F272" i="18"/>
  <c r="A273" i="18"/>
  <c r="B273" i="18"/>
  <c r="C273" i="18"/>
  <c r="D273" i="18"/>
  <c r="E273" i="18"/>
  <c r="F273" i="18"/>
  <c r="A274" i="18"/>
  <c r="B274" i="18"/>
  <c r="C274" i="18"/>
  <c r="D274" i="18"/>
  <c r="E274" i="18"/>
  <c r="F274" i="18"/>
  <c r="A275" i="18"/>
  <c r="B275" i="18"/>
  <c r="C275" i="18"/>
  <c r="D275" i="18"/>
  <c r="E275" i="18"/>
  <c r="F275" i="18"/>
  <c r="A276" i="18"/>
  <c r="B276" i="18"/>
  <c r="C276" i="18"/>
  <c r="D276" i="18"/>
  <c r="E276" i="18"/>
  <c r="F276" i="18"/>
  <c r="A277" i="18"/>
  <c r="B277" i="18"/>
  <c r="C277" i="18"/>
  <c r="D277" i="18"/>
  <c r="E277" i="18"/>
  <c r="F277" i="18"/>
  <c r="A278" i="18"/>
  <c r="B278" i="18"/>
  <c r="C278" i="18"/>
  <c r="D278" i="18"/>
  <c r="E278" i="18"/>
  <c r="F278" i="18"/>
  <c r="A279" i="18"/>
  <c r="B279" i="18"/>
  <c r="C279" i="18"/>
  <c r="D279" i="18"/>
  <c r="E279" i="18"/>
  <c r="F279" i="18"/>
  <c r="A280" i="18"/>
  <c r="B280" i="18"/>
  <c r="C280" i="18"/>
  <c r="D280" i="18"/>
  <c r="E280" i="18"/>
  <c r="F280" i="18"/>
  <c r="A281" i="18"/>
  <c r="B281" i="18"/>
  <c r="C281" i="18"/>
  <c r="D281" i="18"/>
  <c r="E281" i="18"/>
  <c r="F281" i="18"/>
  <c r="A282" i="18"/>
  <c r="B282" i="18"/>
  <c r="C282" i="18"/>
  <c r="D282" i="18"/>
  <c r="E282" i="18"/>
  <c r="F282" i="18"/>
  <c r="A283" i="18"/>
  <c r="B283" i="18"/>
  <c r="C283" i="18"/>
  <c r="D283" i="18"/>
  <c r="E283" i="18"/>
  <c r="F283" i="18"/>
  <c r="A284" i="18"/>
  <c r="B284" i="18"/>
  <c r="C284" i="18"/>
  <c r="D284" i="18"/>
  <c r="E284" i="18"/>
  <c r="F284" i="18"/>
  <c r="A285" i="18"/>
  <c r="B285" i="18"/>
  <c r="C285" i="18"/>
  <c r="D285" i="18"/>
  <c r="E285" i="18"/>
  <c r="F285" i="18"/>
  <c r="A286" i="18"/>
  <c r="B286" i="18"/>
  <c r="C286" i="18"/>
  <c r="D286" i="18"/>
  <c r="E286" i="18"/>
  <c r="F286" i="18"/>
  <c r="A287" i="18"/>
  <c r="B287" i="18"/>
  <c r="C287" i="18"/>
  <c r="D287" i="18"/>
  <c r="E287" i="18"/>
  <c r="F287" i="18"/>
  <c r="A288" i="18"/>
  <c r="B288" i="18"/>
  <c r="C288" i="18"/>
  <c r="D288" i="18"/>
  <c r="E288" i="18"/>
  <c r="F288" i="18"/>
  <c r="A289" i="18"/>
  <c r="B289" i="18"/>
  <c r="C289" i="18"/>
  <c r="D289" i="18"/>
  <c r="E289" i="18"/>
  <c r="F289" i="18"/>
  <c r="A290" i="18"/>
  <c r="B290" i="18"/>
  <c r="C290" i="18"/>
  <c r="D290" i="18"/>
  <c r="E290" i="18"/>
  <c r="F290" i="18"/>
  <c r="A291" i="18"/>
  <c r="B291" i="18"/>
  <c r="C291" i="18"/>
  <c r="D291" i="18"/>
  <c r="E291" i="18"/>
  <c r="F291" i="18"/>
  <c r="A292" i="18"/>
  <c r="B292" i="18"/>
  <c r="C292" i="18"/>
  <c r="D292" i="18"/>
  <c r="E292" i="18"/>
  <c r="F292" i="18"/>
  <c r="A293" i="18"/>
  <c r="B293" i="18"/>
  <c r="C293" i="18"/>
  <c r="D293" i="18"/>
  <c r="E293" i="18"/>
  <c r="F293" i="18"/>
  <c r="A294" i="18"/>
  <c r="B294" i="18"/>
  <c r="C294" i="18"/>
  <c r="D294" i="18"/>
  <c r="E294" i="18"/>
  <c r="F294" i="18"/>
  <c r="A295" i="18"/>
  <c r="B295" i="18"/>
  <c r="C295" i="18"/>
  <c r="D295" i="18"/>
  <c r="E295" i="18"/>
  <c r="F295" i="18"/>
  <c r="A296" i="18"/>
  <c r="B296" i="18"/>
  <c r="C296" i="18"/>
  <c r="D296" i="18"/>
  <c r="E296" i="18"/>
  <c r="F296" i="18"/>
  <c r="A297" i="18"/>
  <c r="B297" i="18"/>
  <c r="C297" i="18"/>
  <c r="D297" i="18"/>
  <c r="E297" i="18"/>
  <c r="F297" i="18"/>
  <c r="A298" i="18"/>
  <c r="B298" i="18"/>
  <c r="C298" i="18"/>
  <c r="D298" i="18"/>
  <c r="E298" i="18"/>
  <c r="F298" i="18"/>
  <c r="A299" i="18"/>
  <c r="B299" i="18"/>
  <c r="C299" i="18"/>
  <c r="D299" i="18"/>
  <c r="E299" i="18"/>
  <c r="F299" i="18"/>
  <c r="A300" i="18"/>
  <c r="B300" i="18"/>
  <c r="C300" i="18"/>
  <c r="D300" i="18"/>
  <c r="E300" i="18"/>
  <c r="F300" i="18"/>
  <c r="A301" i="18"/>
  <c r="B301" i="18"/>
  <c r="C301" i="18"/>
  <c r="D301" i="18"/>
  <c r="E301" i="18"/>
  <c r="F301" i="18"/>
  <c r="A302" i="18"/>
  <c r="B302" i="18"/>
  <c r="C302" i="18"/>
  <c r="D302" i="18"/>
  <c r="E302" i="18"/>
  <c r="F302" i="18"/>
  <c r="A303" i="18"/>
  <c r="B303" i="18"/>
  <c r="C303" i="18"/>
  <c r="D303" i="18"/>
  <c r="E303" i="18"/>
  <c r="F303" i="18"/>
  <c r="A304" i="18"/>
  <c r="B304" i="18"/>
  <c r="C304" i="18"/>
  <c r="D304" i="18"/>
  <c r="E304" i="18"/>
  <c r="F304" i="18"/>
  <c r="A305" i="18"/>
  <c r="B305" i="18"/>
  <c r="C305" i="18"/>
  <c r="D305" i="18"/>
  <c r="E305" i="18"/>
  <c r="F305" i="18"/>
  <c r="A306" i="18"/>
  <c r="B306" i="18"/>
  <c r="C306" i="18"/>
  <c r="D306" i="18"/>
  <c r="E306" i="18"/>
  <c r="F306" i="18"/>
  <c r="A307" i="18"/>
  <c r="B307" i="18"/>
  <c r="C307" i="18"/>
  <c r="D307" i="18"/>
  <c r="E307" i="18"/>
  <c r="F307" i="18"/>
  <c r="A308" i="18"/>
  <c r="B308" i="18"/>
  <c r="C308" i="18"/>
  <c r="D308" i="18"/>
  <c r="E308" i="18"/>
  <c r="F308" i="18"/>
  <c r="A309" i="18"/>
  <c r="B309" i="18"/>
  <c r="C309" i="18"/>
  <c r="D309" i="18"/>
  <c r="E309" i="18"/>
  <c r="F309" i="18"/>
  <c r="A310" i="18"/>
  <c r="B310" i="18"/>
  <c r="C310" i="18"/>
  <c r="D310" i="18"/>
  <c r="E310" i="18"/>
  <c r="F310" i="18"/>
  <c r="A311" i="18"/>
  <c r="B311" i="18"/>
  <c r="C311" i="18"/>
  <c r="D311" i="18"/>
  <c r="E311" i="18"/>
  <c r="F311" i="18"/>
  <c r="A312" i="18"/>
  <c r="B312" i="18"/>
  <c r="C312" i="18"/>
  <c r="D312" i="18"/>
  <c r="E312" i="18"/>
  <c r="F312" i="18"/>
  <c r="A313" i="18"/>
  <c r="B313" i="18"/>
  <c r="C313" i="18"/>
  <c r="D313" i="18"/>
  <c r="E313" i="18"/>
  <c r="F313" i="18"/>
  <c r="A314" i="18"/>
  <c r="B314" i="18"/>
  <c r="C314" i="18"/>
  <c r="D314" i="18"/>
  <c r="E314" i="18"/>
  <c r="F314" i="18"/>
  <c r="A315" i="18"/>
  <c r="B315" i="18"/>
  <c r="C315" i="18"/>
  <c r="D315" i="18"/>
  <c r="E315" i="18"/>
  <c r="F315" i="18"/>
  <c r="A316" i="18"/>
  <c r="B316" i="18"/>
  <c r="C316" i="18"/>
  <c r="D316" i="18"/>
  <c r="E316" i="18"/>
  <c r="F316" i="18"/>
  <c r="A317" i="18"/>
  <c r="B317" i="18"/>
  <c r="C317" i="18"/>
  <c r="D317" i="18"/>
  <c r="E317" i="18"/>
  <c r="F317" i="18"/>
  <c r="A318" i="18"/>
  <c r="B318" i="18"/>
  <c r="C318" i="18"/>
  <c r="D318" i="18"/>
  <c r="E318" i="18"/>
  <c r="F318" i="18"/>
  <c r="A319" i="18"/>
  <c r="B319" i="18"/>
  <c r="C319" i="18"/>
  <c r="D319" i="18"/>
  <c r="E319" i="18"/>
  <c r="F319" i="18"/>
  <c r="A320" i="18"/>
  <c r="B320" i="18"/>
  <c r="C320" i="18"/>
  <c r="D320" i="18"/>
  <c r="E320" i="18"/>
  <c r="F320" i="18"/>
  <c r="A321" i="18"/>
  <c r="B321" i="18"/>
  <c r="C321" i="18"/>
  <c r="D321" i="18"/>
  <c r="E321" i="18"/>
  <c r="F321" i="18"/>
  <c r="A322" i="18"/>
  <c r="B322" i="18"/>
  <c r="C322" i="18"/>
  <c r="D322" i="18"/>
  <c r="E322" i="18"/>
  <c r="F322" i="18"/>
  <c r="A323" i="18"/>
  <c r="B323" i="18"/>
  <c r="C323" i="18"/>
  <c r="D323" i="18"/>
  <c r="E323" i="18"/>
  <c r="F323" i="18"/>
  <c r="A324" i="18"/>
  <c r="B324" i="18"/>
  <c r="C324" i="18"/>
  <c r="D324" i="18"/>
  <c r="E324" i="18"/>
  <c r="F324" i="18"/>
  <c r="A325" i="18"/>
  <c r="B325" i="18"/>
  <c r="C325" i="18"/>
  <c r="D325" i="18"/>
  <c r="E325" i="18"/>
  <c r="F325" i="18"/>
  <c r="A326" i="18"/>
  <c r="B326" i="18"/>
  <c r="C326" i="18"/>
  <c r="D326" i="18"/>
  <c r="E326" i="18"/>
  <c r="F326" i="18"/>
  <c r="A327" i="18"/>
  <c r="B327" i="18"/>
  <c r="C327" i="18"/>
  <c r="D327" i="18"/>
  <c r="E327" i="18"/>
  <c r="F327" i="18"/>
  <c r="A328" i="18"/>
  <c r="B328" i="18"/>
  <c r="C328" i="18"/>
  <c r="D328" i="18"/>
  <c r="E328" i="18"/>
  <c r="F328" i="18"/>
  <c r="A329" i="18"/>
  <c r="B329" i="18"/>
  <c r="C329" i="18"/>
  <c r="D329" i="18"/>
  <c r="E329" i="18"/>
  <c r="F329" i="18"/>
  <c r="A330" i="18"/>
  <c r="B330" i="18"/>
  <c r="C330" i="18"/>
  <c r="D330" i="18"/>
  <c r="E330" i="18"/>
  <c r="F330" i="18"/>
  <c r="A331" i="18"/>
  <c r="B331" i="18"/>
  <c r="C331" i="18"/>
  <c r="D331" i="18"/>
  <c r="E331" i="18"/>
  <c r="F331" i="18"/>
  <c r="A332" i="18"/>
  <c r="B332" i="18"/>
  <c r="C332" i="18"/>
  <c r="D332" i="18"/>
  <c r="E332" i="18"/>
  <c r="F332" i="18"/>
  <c r="A333" i="18"/>
  <c r="B333" i="18"/>
  <c r="C333" i="18"/>
  <c r="D333" i="18"/>
  <c r="E333" i="18"/>
  <c r="F333" i="18"/>
  <c r="A334" i="18"/>
  <c r="B334" i="18"/>
  <c r="C334" i="18"/>
  <c r="D334" i="18"/>
  <c r="E334" i="18"/>
  <c r="F334" i="18"/>
  <c r="A335" i="18"/>
  <c r="B335" i="18"/>
  <c r="C335" i="18"/>
  <c r="D335" i="18"/>
  <c r="E335" i="18"/>
  <c r="F335" i="18"/>
  <c r="A336" i="18"/>
  <c r="B336" i="18"/>
  <c r="C336" i="18"/>
  <c r="D336" i="18"/>
  <c r="E336" i="18"/>
  <c r="F336" i="18"/>
  <c r="A337" i="18"/>
  <c r="B337" i="18"/>
  <c r="C337" i="18"/>
  <c r="D337" i="18"/>
  <c r="E337" i="18"/>
  <c r="F337" i="18"/>
  <c r="A338" i="18"/>
  <c r="B338" i="18"/>
  <c r="C338" i="18"/>
  <c r="D338" i="18"/>
  <c r="E338" i="18"/>
  <c r="F338" i="18"/>
  <c r="A339" i="18"/>
  <c r="B339" i="18"/>
  <c r="C339" i="18"/>
  <c r="D339" i="18"/>
  <c r="E339" i="18"/>
  <c r="F339" i="18"/>
  <c r="A340" i="18"/>
  <c r="B340" i="18"/>
  <c r="C340" i="18"/>
  <c r="D340" i="18"/>
  <c r="E340" i="18"/>
  <c r="F340" i="18"/>
  <c r="A341" i="18"/>
  <c r="B341" i="18"/>
  <c r="C341" i="18"/>
  <c r="D341" i="18"/>
  <c r="E341" i="18"/>
  <c r="F341" i="18"/>
  <c r="A342" i="18"/>
  <c r="B342" i="18"/>
  <c r="C342" i="18"/>
  <c r="D342" i="18"/>
  <c r="E342" i="18"/>
  <c r="F342" i="18"/>
  <c r="A343" i="18"/>
  <c r="B343" i="18"/>
  <c r="C343" i="18"/>
  <c r="D343" i="18"/>
  <c r="E343" i="18"/>
  <c r="F343" i="18"/>
  <c r="A344" i="18"/>
  <c r="B344" i="18"/>
  <c r="C344" i="18"/>
  <c r="D344" i="18"/>
  <c r="E344" i="18"/>
  <c r="F344" i="18"/>
  <c r="A345" i="18"/>
  <c r="B345" i="18"/>
  <c r="C345" i="18"/>
  <c r="D345" i="18"/>
  <c r="E345" i="18"/>
  <c r="F345" i="18"/>
  <c r="A346" i="18"/>
  <c r="B346" i="18"/>
  <c r="C346" i="18"/>
  <c r="D346" i="18"/>
  <c r="E346" i="18"/>
  <c r="F346" i="18"/>
  <c r="A347" i="18"/>
  <c r="B347" i="18"/>
  <c r="C347" i="18"/>
  <c r="D347" i="18"/>
  <c r="E347" i="18"/>
  <c r="F347" i="18"/>
  <c r="A348" i="18"/>
  <c r="B348" i="18"/>
  <c r="C348" i="18"/>
  <c r="D348" i="18"/>
  <c r="E348" i="18"/>
  <c r="F348" i="18"/>
  <c r="A349" i="18"/>
  <c r="B349" i="18"/>
  <c r="C349" i="18"/>
  <c r="D349" i="18"/>
  <c r="E349" i="18"/>
  <c r="F349" i="18"/>
  <c r="A350" i="18"/>
  <c r="B350" i="18"/>
  <c r="C350" i="18"/>
  <c r="D350" i="18"/>
  <c r="E350" i="18"/>
  <c r="F350" i="18"/>
  <c r="A351" i="18"/>
  <c r="B351" i="18"/>
  <c r="C351" i="18"/>
  <c r="D351" i="18"/>
  <c r="E351" i="18"/>
  <c r="F351" i="18"/>
  <c r="A352" i="18"/>
  <c r="B352" i="18"/>
  <c r="C352" i="18"/>
  <c r="D352" i="18"/>
  <c r="E352" i="18"/>
  <c r="F352" i="18"/>
  <c r="A353" i="18"/>
  <c r="B353" i="18"/>
  <c r="C353" i="18"/>
  <c r="D353" i="18"/>
  <c r="E353" i="18"/>
  <c r="F353" i="18"/>
  <c r="A354" i="18"/>
  <c r="B354" i="18"/>
  <c r="C354" i="18"/>
  <c r="D354" i="18"/>
  <c r="E354" i="18"/>
  <c r="F354" i="18"/>
  <c r="A355" i="18"/>
  <c r="B355" i="18"/>
  <c r="C355" i="18"/>
  <c r="D355" i="18"/>
  <c r="E355" i="18"/>
  <c r="F355" i="18"/>
  <c r="A356" i="18"/>
  <c r="B356" i="18"/>
  <c r="C356" i="18"/>
  <c r="D356" i="18"/>
  <c r="E356" i="18"/>
  <c r="F356" i="18"/>
  <c r="A357" i="18"/>
  <c r="B357" i="18"/>
  <c r="C357" i="18"/>
  <c r="D357" i="18"/>
  <c r="E357" i="18"/>
  <c r="F357" i="18"/>
  <c r="A358" i="18"/>
  <c r="B358" i="18"/>
  <c r="C358" i="18"/>
  <c r="D358" i="18"/>
  <c r="E358" i="18"/>
  <c r="F358" i="18"/>
  <c r="A359" i="18"/>
  <c r="B359" i="18"/>
  <c r="C359" i="18"/>
  <c r="D359" i="18"/>
  <c r="E359" i="18"/>
  <c r="F359" i="18"/>
  <c r="A360" i="18"/>
  <c r="B360" i="18"/>
  <c r="C360" i="18"/>
  <c r="D360" i="18"/>
  <c r="E360" i="18"/>
  <c r="F360" i="18"/>
  <c r="A361" i="18"/>
  <c r="B361" i="18"/>
  <c r="C361" i="18"/>
  <c r="D361" i="18"/>
  <c r="E361" i="18"/>
  <c r="F361" i="18"/>
  <c r="A362" i="18"/>
  <c r="B362" i="18"/>
  <c r="C362" i="18"/>
  <c r="D362" i="18"/>
  <c r="E362" i="18"/>
  <c r="F362" i="18"/>
  <c r="A363" i="18"/>
  <c r="B363" i="18"/>
  <c r="C363" i="18"/>
  <c r="D363" i="18"/>
  <c r="E363" i="18"/>
  <c r="F363" i="18"/>
  <c r="A364" i="18"/>
  <c r="B364" i="18"/>
  <c r="C364" i="18"/>
  <c r="D364" i="18"/>
  <c r="E364" i="18"/>
  <c r="F364" i="18"/>
  <c r="A365" i="18"/>
  <c r="B365" i="18"/>
  <c r="C365" i="18"/>
  <c r="D365" i="18"/>
  <c r="E365" i="18"/>
  <c r="F365" i="18"/>
  <c r="A366" i="18"/>
  <c r="B366" i="18"/>
  <c r="C366" i="18"/>
  <c r="D366" i="18"/>
  <c r="E366" i="18"/>
  <c r="F366" i="18"/>
  <c r="A367" i="18"/>
  <c r="B367" i="18"/>
  <c r="C367" i="18"/>
  <c r="D367" i="18"/>
  <c r="E367" i="18"/>
  <c r="F367" i="18"/>
  <c r="A368" i="18"/>
  <c r="B368" i="18"/>
  <c r="C368" i="18"/>
  <c r="D368" i="18"/>
  <c r="E368" i="18"/>
  <c r="F368" i="18"/>
  <c r="A369" i="18"/>
  <c r="B369" i="18"/>
  <c r="C369" i="18"/>
  <c r="D369" i="18"/>
  <c r="E369" i="18"/>
  <c r="F369" i="18"/>
  <c r="A370" i="18"/>
  <c r="B370" i="18"/>
  <c r="C370" i="18"/>
  <c r="D370" i="18"/>
  <c r="E370" i="18"/>
  <c r="F370" i="18"/>
  <c r="A371" i="18"/>
  <c r="B371" i="18"/>
  <c r="C371" i="18"/>
  <c r="D371" i="18"/>
  <c r="E371" i="18"/>
  <c r="F371" i="18"/>
  <c r="A372" i="18"/>
  <c r="B372" i="18"/>
  <c r="C372" i="18"/>
  <c r="D372" i="18"/>
  <c r="E372" i="18"/>
  <c r="F372" i="18"/>
  <c r="A373" i="18"/>
  <c r="B373" i="18"/>
  <c r="C373" i="18"/>
  <c r="D373" i="18"/>
  <c r="E373" i="18"/>
  <c r="F373" i="18"/>
  <c r="A374" i="18"/>
  <c r="B374" i="18"/>
  <c r="C374" i="18"/>
  <c r="D374" i="18"/>
  <c r="E374" i="18"/>
  <c r="F374" i="18"/>
  <c r="A375" i="18"/>
  <c r="B375" i="18"/>
  <c r="C375" i="18"/>
  <c r="D375" i="18"/>
  <c r="E375" i="18"/>
  <c r="F375" i="18"/>
  <c r="A376" i="18"/>
  <c r="B376" i="18"/>
  <c r="C376" i="18"/>
  <c r="D376" i="18"/>
  <c r="E376" i="18"/>
  <c r="F376" i="18"/>
  <c r="A377" i="18"/>
  <c r="B377" i="18"/>
  <c r="C377" i="18"/>
  <c r="D377" i="18"/>
  <c r="E377" i="18"/>
  <c r="F377" i="18"/>
  <c r="A378" i="18"/>
  <c r="B378" i="18"/>
  <c r="C378" i="18"/>
  <c r="D378" i="18"/>
  <c r="E378" i="18"/>
  <c r="F378" i="18"/>
  <c r="A379" i="18"/>
  <c r="B379" i="18"/>
  <c r="C379" i="18"/>
  <c r="D379" i="18"/>
  <c r="E379" i="18"/>
  <c r="F379" i="18"/>
  <c r="A380" i="18"/>
  <c r="B380" i="18"/>
  <c r="C380" i="18"/>
  <c r="D380" i="18"/>
  <c r="E380" i="18"/>
  <c r="F380" i="18"/>
  <c r="A381" i="18"/>
  <c r="B381" i="18"/>
  <c r="C381" i="18"/>
  <c r="D381" i="18"/>
  <c r="E381" i="18"/>
  <c r="F381" i="18"/>
  <c r="A382" i="18"/>
  <c r="B382" i="18"/>
  <c r="C382" i="18"/>
  <c r="D382" i="18"/>
  <c r="E382" i="18"/>
  <c r="F382" i="18"/>
  <c r="A383" i="18"/>
  <c r="B383" i="18"/>
  <c r="C383" i="18"/>
  <c r="D383" i="18"/>
  <c r="E383" i="18"/>
  <c r="F383" i="18"/>
  <c r="A384" i="18"/>
  <c r="B384" i="18"/>
  <c r="C384" i="18"/>
  <c r="D384" i="18"/>
  <c r="E384" i="18"/>
  <c r="F384" i="18"/>
  <c r="A385" i="18"/>
  <c r="B385" i="18"/>
  <c r="C385" i="18"/>
  <c r="D385" i="18"/>
  <c r="E385" i="18"/>
  <c r="F385" i="18"/>
  <c r="A386" i="18"/>
  <c r="B386" i="18"/>
  <c r="C386" i="18"/>
  <c r="D386" i="18"/>
  <c r="E386" i="18"/>
  <c r="F386" i="18"/>
  <c r="A387" i="18"/>
  <c r="B387" i="18"/>
  <c r="C387" i="18"/>
  <c r="D387" i="18"/>
  <c r="E387" i="18"/>
  <c r="F387" i="18"/>
  <c r="A388" i="18"/>
  <c r="B388" i="18"/>
  <c r="C388" i="18"/>
  <c r="D388" i="18"/>
  <c r="E388" i="18"/>
  <c r="F388" i="18"/>
  <c r="A389" i="18"/>
  <c r="B389" i="18"/>
  <c r="C389" i="18"/>
  <c r="D389" i="18"/>
  <c r="E389" i="18"/>
  <c r="F389" i="18"/>
  <c r="A390" i="18"/>
  <c r="B390" i="18"/>
  <c r="C390" i="18"/>
  <c r="D390" i="18"/>
  <c r="E390" i="18"/>
  <c r="F390" i="18"/>
  <c r="A391" i="18"/>
  <c r="B391" i="18"/>
  <c r="C391" i="18"/>
  <c r="D391" i="18"/>
  <c r="E391" i="18"/>
  <c r="F391" i="18"/>
  <c r="A392" i="18"/>
  <c r="B392" i="18"/>
  <c r="C392" i="18"/>
  <c r="D392" i="18"/>
  <c r="E392" i="18"/>
  <c r="F392" i="18"/>
  <c r="A393" i="18"/>
  <c r="B393" i="18"/>
  <c r="C393" i="18"/>
  <c r="D393" i="18"/>
  <c r="E393" i="18"/>
  <c r="F393" i="18"/>
  <c r="A394" i="18"/>
  <c r="B394" i="18"/>
  <c r="C394" i="18"/>
  <c r="D394" i="18"/>
  <c r="E394" i="18"/>
  <c r="F394" i="18"/>
  <c r="A395" i="18"/>
  <c r="B395" i="18"/>
  <c r="C395" i="18"/>
  <c r="D395" i="18"/>
  <c r="E395" i="18"/>
  <c r="F395" i="18"/>
  <c r="A396" i="18"/>
  <c r="B396" i="18"/>
  <c r="C396" i="18"/>
  <c r="D396" i="18"/>
  <c r="E396" i="18"/>
  <c r="F396" i="18"/>
  <c r="A397" i="18"/>
  <c r="B397" i="18"/>
  <c r="C397" i="18"/>
  <c r="D397" i="18"/>
  <c r="E397" i="18"/>
  <c r="F397" i="18"/>
  <c r="A398" i="18"/>
  <c r="B398" i="18"/>
  <c r="C398" i="18"/>
  <c r="D398" i="18"/>
  <c r="E398" i="18"/>
  <c r="F398" i="18"/>
  <c r="A399" i="18"/>
  <c r="B399" i="18"/>
  <c r="C399" i="18"/>
  <c r="D399" i="18"/>
  <c r="E399" i="18"/>
  <c r="F399" i="18"/>
  <c r="A400" i="18"/>
  <c r="B400" i="18"/>
  <c r="C400" i="18"/>
  <c r="D400" i="18"/>
  <c r="E400" i="18"/>
  <c r="F400" i="18"/>
  <c r="A401" i="18"/>
  <c r="B401" i="18"/>
  <c r="C401" i="18"/>
  <c r="D401" i="18"/>
  <c r="E401" i="18"/>
  <c r="F401" i="18"/>
  <c r="A402" i="18"/>
  <c r="B402" i="18"/>
  <c r="C402" i="18"/>
  <c r="D402" i="18"/>
  <c r="E402" i="18"/>
  <c r="F402" i="18"/>
  <c r="A403" i="18"/>
  <c r="B403" i="18"/>
  <c r="C403" i="18"/>
  <c r="D403" i="18"/>
  <c r="E403" i="18"/>
  <c r="F403" i="18"/>
  <c r="A404" i="18"/>
  <c r="B404" i="18"/>
  <c r="C404" i="18"/>
  <c r="D404" i="18"/>
  <c r="E404" i="18"/>
  <c r="F404" i="18"/>
  <c r="A405" i="18"/>
  <c r="B405" i="18"/>
  <c r="C405" i="18"/>
  <c r="D405" i="18"/>
  <c r="E405" i="18"/>
  <c r="F405" i="18"/>
  <c r="A406" i="18"/>
  <c r="B406" i="18"/>
  <c r="C406" i="18"/>
  <c r="D406" i="18"/>
  <c r="E406" i="18"/>
  <c r="F406" i="18"/>
  <c r="A407" i="18"/>
  <c r="B407" i="18"/>
  <c r="C407" i="18"/>
  <c r="D407" i="18"/>
  <c r="E407" i="18"/>
  <c r="F407" i="18"/>
  <c r="A408" i="18"/>
  <c r="B408" i="18"/>
  <c r="C408" i="18"/>
  <c r="D408" i="18"/>
  <c r="E408" i="18"/>
  <c r="F408" i="18"/>
  <c r="A409" i="18"/>
  <c r="B409" i="18"/>
  <c r="C409" i="18"/>
  <c r="D409" i="18"/>
  <c r="E409" i="18"/>
  <c r="F409" i="18"/>
  <c r="A410" i="18"/>
  <c r="B410" i="18"/>
  <c r="C410" i="18"/>
  <c r="D410" i="18"/>
  <c r="E410" i="18"/>
  <c r="F410" i="18"/>
  <c r="A411" i="18"/>
  <c r="B411" i="18"/>
  <c r="C411" i="18"/>
  <c r="D411" i="18"/>
  <c r="E411" i="18"/>
  <c r="F411" i="18"/>
  <c r="A412" i="18"/>
  <c r="B412" i="18"/>
  <c r="C412" i="18"/>
  <c r="D412" i="18"/>
  <c r="E412" i="18"/>
  <c r="F412" i="18"/>
  <c r="A413" i="18"/>
  <c r="B413" i="18"/>
  <c r="C413" i="18"/>
  <c r="D413" i="18"/>
  <c r="E413" i="18"/>
  <c r="F413" i="18"/>
  <c r="A414" i="18"/>
  <c r="B414" i="18"/>
  <c r="C414" i="18"/>
  <c r="D414" i="18"/>
  <c r="E414" i="18"/>
  <c r="F414" i="18"/>
  <c r="A415" i="18"/>
  <c r="B415" i="18"/>
  <c r="C415" i="18"/>
  <c r="D415" i="18"/>
  <c r="E415" i="18"/>
  <c r="F415" i="18"/>
  <c r="A416" i="18"/>
  <c r="B416" i="18"/>
  <c r="C416" i="18"/>
  <c r="D416" i="18"/>
  <c r="E416" i="18"/>
  <c r="F416" i="18"/>
  <c r="A417" i="18"/>
  <c r="B417" i="18"/>
  <c r="C417" i="18"/>
  <c r="D417" i="18"/>
  <c r="E417" i="18"/>
  <c r="F417" i="18"/>
  <c r="A418" i="18"/>
  <c r="B418" i="18"/>
  <c r="C418" i="18"/>
  <c r="D418" i="18"/>
  <c r="E418" i="18"/>
  <c r="F418" i="18"/>
  <c r="A419" i="18"/>
  <c r="B419" i="18"/>
  <c r="C419" i="18"/>
  <c r="D419" i="18"/>
  <c r="E419" i="18"/>
  <c r="F419" i="18"/>
  <c r="A420" i="18"/>
  <c r="B420" i="18"/>
  <c r="C420" i="18"/>
  <c r="D420" i="18"/>
  <c r="E420" i="18"/>
  <c r="F420" i="18"/>
  <c r="A421" i="18"/>
  <c r="B421" i="18"/>
  <c r="C421" i="18"/>
  <c r="D421" i="18"/>
  <c r="E421" i="18"/>
  <c r="F421" i="18"/>
  <c r="A422" i="18"/>
  <c r="B422" i="18"/>
  <c r="C422" i="18"/>
  <c r="D422" i="18"/>
  <c r="E422" i="18"/>
  <c r="F422" i="18"/>
  <c r="A423" i="18"/>
  <c r="B423" i="18"/>
  <c r="C423" i="18"/>
  <c r="D423" i="18"/>
  <c r="E423" i="18"/>
  <c r="F423" i="18"/>
  <c r="A424" i="18"/>
  <c r="B424" i="18"/>
  <c r="C424" i="18"/>
  <c r="D424" i="18"/>
  <c r="E424" i="18"/>
  <c r="F424" i="18"/>
  <c r="A425" i="18"/>
  <c r="B425" i="18"/>
  <c r="C425" i="18"/>
  <c r="D425" i="18"/>
  <c r="E425" i="18"/>
  <c r="F425" i="18"/>
  <c r="A426" i="18"/>
  <c r="B426" i="18"/>
  <c r="C426" i="18"/>
  <c r="D426" i="18"/>
  <c r="E426" i="18"/>
  <c r="F426" i="18"/>
  <c r="A427" i="18"/>
  <c r="B427" i="18"/>
  <c r="C427" i="18"/>
  <c r="D427" i="18"/>
  <c r="E427" i="18"/>
  <c r="F427" i="18"/>
  <c r="A428" i="18"/>
  <c r="B428" i="18"/>
  <c r="C428" i="18"/>
  <c r="D428" i="18"/>
  <c r="E428" i="18"/>
  <c r="F428" i="18"/>
  <c r="A429" i="18"/>
  <c r="B429" i="18"/>
  <c r="C429" i="18"/>
  <c r="D429" i="18"/>
  <c r="E429" i="18"/>
  <c r="F429" i="18"/>
  <c r="A430" i="18"/>
  <c r="B430" i="18"/>
  <c r="C430" i="18"/>
  <c r="D430" i="18"/>
  <c r="E430" i="18"/>
  <c r="F430" i="18"/>
  <c r="A431" i="18"/>
  <c r="B431" i="18"/>
  <c r="C431" i="18"/>
  <c r="D431" i="18"/>
  <c r="E431" i="18"/>
  <c r="F431" i="18"/>
  <c r="A432" i="18"/>
  <c r="B432" i="18"/>
  <c r="C432" i="18"/>
  <c r="D432" i="18"/>
  <c r="E432" i="18"/>
  <c r="F432" i="18"/>
  <c r="A433" i="18"/>
  <c r="B433" i="18"/>
  <c r="C433" i="18"/>
  <c r="D433" i="18"/>
  <c r="E433" i="18"/>
  <c r="F433" i="18"/>
  <c r="A434" i="18"/>
  <c r="B434" i="18"/>
  <c r="C434" i="18"/>
  <c r="D434" i="18"/>
  <c r="E434" i="18"/>
  <c r="F434" i="18"/>
  <c r="A435" i="18"/>
  <c r="B435" i="18"/>
  <c r="C435" i="18"/>
  <c r="D435" i="18"/>
  <c r="E435" i="18"/>
  <c r="F435" i="18"/>
  <c r="A436" i="18"/>
  <c r="B436" i="18"/>
  <c r="C436" i="18"/>
  <c r="D436" i="18"/>
  <c r="E436" i="18"/>
  <c r="F436" i="18"/>
  <c r="A437" i="18"/>
  <c r="B437" i="18"/>
  <c r="C437" i="18"/>
  <c r="D437" i="18"/>
  <c r="E437" i="18"/>
  <c r="F437" i="18"/>
  <c r="A438" i="18"/>
  <c r="B438" i="18"/>
  <c r="C438" i="18"/>
  <c r="D438" i="18"/>
  <c r="E438" i="18"/>
  <c r="F438" i="18"/>
  <c r="A439" i="18"/>
  <c r="B439" i="18"/>
  <c r="C439" i="18"/>
  <c r="D439" i="18"/>
  <c r="E439" i="18"/>
  <c r="F439" i="18"/>
  <c r="A440" i="18"/>
  <c r="B440" i="18"/>
  <c r="C440" i="18"/>
  <c r="D440" i="18"/>
  <c r="E440" i="18"/>
  <c r="F440" i="18"/>
  <c r="A441" i="18"/>
  <c r="B441" i="18"/>
  <c r="C441" i="18"/>
  <c r="D441" i="18"/>
  <c r="E441" i="18"/>
  <c r="F441" i="18"/>
  <c r="A442" i="18"/>
  <c r="B442" i="18"/>
  <c r="C442" i="18"/>
  <c r="D442" i="18"/>
  <c r="E442" i="18"/>
  <c r="F442" i="18"/>
  <c r="A443" i="18"/>
  <c r="B443" i="18"/>
  <c r="C443" i="18"/>
  <c r="D443" i="18"/>
  <c r="E443" i="18"/>
  <c r="F443" i="18"/>
  <c r="A444" i="18"/>
  <c r="B444" i="18"/>
  <c r="C444" i="18"/>
  <c r="D444" i="18"/>
  <c r="E444" i="18"/>
  <c r="F444" i="18"/>
  <c r="A445" i="18"/>
  <c r="B445" i="18"/>
  <c r="C445" i="18"/>
  <c r="D445" i="18"/>
  <c r="E445" i="18"/>
  <c r="F445" i="18"/>
  <c r="A446" i="18"/>
  <c r="B446" i="18"/>
  <c r="C446" i="18"/>
  <c r="D446" i="18"/>
  <c r="E446" i="18"/>
  <c r="F446" i="18"/>
  <c r="A447" i="18"/>
  <c r="B447" i="18"/>
  <c r="C447" i="18"/>
  <c r="D447" i="18"/>
  <c r="E447" i="18"/>
  <c r="F447" i="18"/>
  <c r="A448" i="18"/>
  <c r="B448" i="18"/>
  <c r="C448" i="18"/>
  <c r="D448" i="18"/>
  <c r="E448" i="18"/>
  <c r="F448" i="18"/>
  <c r="A449" i="18"/>
  <c r="B449" i="18"/>
  <c r="C449" i="18"/>
  <c r="D449" i="18"/>
  <c r="E449" i="18"/>
  <c r="F449" i="18"/>
  <c r="A450" i="18"/>
  <c r="B450" i="18"/>
  <c r="C450" i="18"/>
  <c r="D450" i="18"/>
  <c r="E450" i="18"/>
  <c r="F450" i="18"/>
  <c r="A451" i="18"/>
  <c r="B451" i="18"/>
  <c r="C451" i="18"/>
  <c r="D451" i="18"/>
  <c r="E451" i="18"/>
  <c r="F451" i="18"/>
  <c r="A452" i="18"/>
  <c r="B452" i="18"/>
  <c r="C452" i="18"/>
  <c r="D452" i="18"/>
  <c r="E452" i="18"/>
  <c r="F452" i="18"/>
  <c r="A453" i="18"/>
  <c r="B453" i="18"/>
  <c r="C453" i="18"/>
  <c r="D453" i="18"/>
  <c r="E453" i="18"/>
  <c r="F453" i="18"/>
  <c r="A454" i="18"/>
  <c r="B454" i="18"/>
  <c r="C454" i="18"/>
  <c r="D454" i="18"/>
  <c r="E454" i="18"/>
  <c r="F454" i="18"/>
  <c r="A455" i="18"/>
  <c r="B455" i="18"/>
  <c r="C455" i="18"/>
  <c r="D455" i="18"/>
  <c r="E455" i="18"/>
  <c r="F455" i="18"/>
  <c r="A456" i="18"/>
  <c r="B456" i="18"/>
  <c r="C456" i="18"/>
  <c r="D456" i="18"/>
  <c r="E456" i="18"/>
  <c r="F456" i="18"/>
  <c r="A457" i="18"/>
  <c r="B457" i="18"/>
  <c r="C457" i="18"/>
  <c r="D457" i="18"/>
  <c r="E457" i="18"/>
  <c r="F457" i="18"/>
  <c r="A458" i="18"/>
  <c r="B458" i="18"/>
  <c r="C458" i="18"/>
  <c r="D458" i="18"/>
  <c r="E458" i="18"/>
  <c r="F458" i="18"/>
  <c r="A459" i="18"/>
  <c r="B459" i="18"/>
  <c r="C459" i="18"/>
  <c r="D459" i="18"/>
  <c r="E459" i="18"/>
  <c r="F459" i="18"/>
  <c r="A460" i="18"/>
  <c r="B460" i="18"/>
  <c r="C460" i="18"/>
  <c r="D460" i="18"/>
  <c r="E460" i="18"/>
  <c r="F460" i="18"/>
  <c r="A461" i="18"/>
  <c r="B461" i="18"/>
  <c r="C461" i="18"/>
  <c r="D461" i="18"/>
  <c r="E461" i="18"/>
  <c r="F461" i="18"/>
  <c r="A462" i="18"/>
  <c r="B462" i="18"/>
  <c r="C462" i="18"/>
  <c r="D462" i="18"/>
  <c r="E462" i="18"/>
  <c r="F462" i="18"/>
  <c r="A463" i="18"/>
  <c r="B463" i="18"/>
  <c r="C463" i="18"/>
  <c r="D463" i="18"/>
  <c r="E463" i="18"/>
  <c r="F463" i="18"/>
  <c r="A464" i="18"/>
  <c r="B464" i="18"/>
  <c r="C464" i="18"/>
  <c r="D464" i="18"/>
  <c r="E464" i="18"/>
  <c r="F464" i="18"/>
  <c r="A465" i="18"/>
  <c r="B465" i="18"/>
  <c r="C465" i="18"/>
  <c r="D465" i="18"/>
  <c r="E465" i="18"/>
  <c r="F465" i="18"/>
  <c r="A466" i="18"/>
  <c r="B466" i="18"/>
  <c r="C466" i="18"/>
  <c r="D466" i="18"/>
  <c r="E466" i="18"/>
  <c r="F466" i="18"/>
  <c r="A467" i="18"/>
  <c r="B467" i="18"/>
  <c r="C467" i="18"/>
  <c r="D467" i="18"/>
  <c r="E467" i="18"/>
  <c r="F467" i="18"/>
  <c r="A468" i="18"/>
  <c r="B468" i="18"/>
  <c r="C468" i="18"/>
  <c r="D468" i="18"/>
  <c r="E468" i="18"/>
  <c r="F468" i="18"/>
  <c r="A469" i="18"/>
  <c r="B469" i="18"/>
  <c r="C469" i="18"/>
  <c r="D469" i="18"/>
  <c r="E469" i="18"/>
  <c r="F469" i="18"/>
  <c r="A470" i="18"/>
  <c r="B470" i="18"/>
  <c r="C470" i="18"/>
  <c r="D470" i="18"/>
  <c r="E470" i="18"/>
  <c r="F470" i="18"/>
  <c r="A471" i="18"/>
  <c r="B471" i="18"/>
  <c r="C471" i="18"/>
  <c r="D471" i="18"/>
  <c r="E471" i="18"/>
  <c r="F471" i="18"/>
  <c r="A472" i="18"/>
  <c r="B472" i="18"/>
  <c r="C472" i="18"/>
  <c r="D472" i="18"/>
  <c r="E472" i="18"/>
  <c r="F472" i="18"/>
  <c r="A473" i="18"/>
  <c r="B473" i="18"/>
  <c r="C473" i="18"/>
  <c r="D473" i="18"/>
  <c r="E473" i="18"/>
  <c r="F473" i="18"/>
  <c r="A474" i="18"/>
  <c r="B474" i="18"/>
  <c r="C474" i="18"/>
  <c r="D474" i="18"/>
  <c r="E474" i="18"/>
  <c r="F474" i="18"/>
  <c r="A475" i="18"/>
  <c r="B475" i="18"/>
  <c r="C475" i="18"/>
  <c r="D475" i="18"/>
  <c r="E475" i="18"/>
  <c r="F475" i="18"/>
  <c r="A476" i="18"/>
  <c r="B476" i="18"/>
  <c r="C476" i="18"/>
  <c r="D476" i="18"/>
  <c r="E476" i="18"/>
  <c r="F476" i="18"/>
  <c r="A477" i="18"/>
  <c r="B477" i="18"/>
  <c r="C477" i="18"/>
  <c r="D477" i="18"/>
  <c r="E477" i="18"/>
  <c r="F477" i="18"/>
  <c r="A478" i="18"/>
  <c r="B478" i="18"/>
  <c r="C478" i="18"/>
  <c r="D478" i="18"/>
  <c r="E478" i="18"/>
  <c r="F478" i="18"/>
  <c r="A479" i="18"/>
  <c r="B479" i="18"/>
  <c r="C479" i="18"/>
  <c r="D479" i="18"/>
  <c r="E479" i="18"/>
  <c r="F479" i="18"/>
  <c r="A480" i="18"/>
  <c r="B480" i="18"/>
  <c r="C480" i="18"/>
  <c r="D480" i="18"/>
  <c r="E480" i="18"/>
  <c r="F480" i="18"/>
  <c r="A481" i="18"/>
  <c r="B481" i="18"/>
  <c r="C481" i="18"/>
  <c r="D481" i="18"/>
  <c r="E481" i="18"/>
  <c r="F481" i="18"/>
  <c r="A482" i="18"/>
  <c r="B482" i="18"/>
  <c r="C482" i="18"/>
  <c r="D482" i="18"/>
  <c r="E482" i="18"/>
  <c r="F482" i="18"/>
  <c r="A483" i="18"/>
  <c r="B483" i="18"/>
  <c r="C483" i="18"/>
  <c r="D483" i="18"/>
  <c r="E483" i="18"/>
  <c r="F483" i="18"/>
  <c r="A484" i="18"/>
  <c r="B484" i="18"/>
  <c r="C484" i="18"/>
  <c r="D484" i="18"/>
  <c r="E484" i="18"/>
  <c r="F484" i="18"/>
  <c r="A485" i="18"/>
  <c r="B485" i="18"/>
  <c r="C485" i="18"/>
  <c r="D485" i="18"/>
  <c r="E485" i="18"/>
  <c r="F485" i="18"/>
  <c r="A486" i="18"/>
  <c r="B486" i="18"/>
  <c r="C486" i="18"/>
  <c r="D486" i="18"/>
  <c r="E486" i="18"/>
  <c r="F486" i="18"/>
  <c r="A487" i="18"/>
  <c r="B487" i="18"/>
  <c r="C487" i="18"/>
  <c r="D487" i="18"/>
  <c r="E487" i="18"/>
  <c r="F487" i="18"/>
  <c r="A488" i="18"/>
  <c r="B488" i="18"/>
  <c r="C488" i="18"/>
  <c r="D488" i="18"/>
  <c r="E488" i="18"/>
  <c r="F488" i="18"/>
  <c r="A489" i="18"/>
  <c r="B489" i="18"/>
  <c r="C489" i="18"/>
  <c r="D489" i="18"/>
  <c r="E489" i="18"/>
  <c r="F489" i="18"/>
  <c r="A490" i="18"/>
  <c r="B490" i="18"/>
  <c r="C490" i="18"/>
  <c r="D490" i="18"/>
  <c r="E490" i="18"/>
  <c r="F490" i="18"/>
  <c r="A491" i="18"/>
  <c r="B491" i="18"/>
  <c r="C491" i="18"/>
  <c r="D491" i="18"/>
  <c r="E491" i="18"/>
  <c r="F491" i="18"/>
  <c r="A492" i="18"/>
  <c r="B492" i="18"/>
  <c r="C492" i="18"/>
  <c r="D492" i="18"/>
  <c r="E492" i="18"/>
  <c r="F492" i="18"/>
  <c r="A493" i="18"/>
  <c r="B493" i="18"/>
  <c r="C493" i="18"/>
  <c r="D493" i="18"/>
  <c r="E493" i="18"/>
  <c r="F493" i="18"/>
  <c r="A494" i="18"/>
  <c r="B494" i="18"/>
  <c r="C494" i="18"/>
  <c r="D494" i="18"/>
  <c r="E494" i="18"/>
  <c r="F494" i="18"/>
  <c r="A495" i="18"/>
  <c r="B495" i="18"/>
  <c r="C495" i="18"/>
  <c r="D495" i="18"/>
  <c r="E495" i="18"/>
  <c r="F495" i="18"/>
  <c r="A496" i="18"/>
  <c r="B496" i="18"/>
  <c r="C496" i="18"/>
  <c r="D496" i="18"/>
  <c r="E496" i="18"/>
  <c r="F496" i="18"/>
  <c r="A497" i="18"/>
  <c r="B497" i="18"/>
  <c r="C497" i="18"/>
  <c r="D497" i="18"/>
  <c r="E497" i="18"/>
  <c r="F497" i="18"/>
  <c r="A498" i="18"/>
  <c r="B498" i="18"/>
  <c r="C498" i="18"/>
  <c r="D498" i="18"/>
  <c r="E498" i="18"/>
  <c r="F498" i="18"/>
  <c r="A499" i="18"/>
  <c r="B499" i="18"/>
  <c r="C499" i="18"/>
  <c r="D499" i="18"/>
  <c r="E499" i="18"/>
  <c r="F499" i="18"/>
  <c r="A500" i="18"/>
  <c r="B500" i="18"/>
  <c r="C500" i="18"/>
  <c r="D500" i="18"/>
  <c r="E500" i="18"/>
  <c r="F500" i="18"/>
  <c r="A501" i="18"/>
  <c r="B501" i="18"/>
  <c r="C501" i="18"/>
  <c r="D501" i="18"/>
  <c r="E501" i="18"/>
  <c r="F501" i="18"/>
  <c r="A502" i="18"/>
  <c r="B502" i="18"/>
  <c r="C502" i="18"/>
  <c r="D502" i="18"/>
  <c r="E502" i="18"/>
  <c r="F502" i="18"/>
  <c r="A503" i="18"/>
  <c r="B503" i="18"/>
  <c r="C503" i="18"/>
  <c r="D503" i="18"/>
  <c r="E503" i="18"/>
  <c r="F503" i="18"/>
  <c r="A504" i="18"/>
  <c r="B504" i="18"/>
  <c r="C504" i="18"/>
  <c r="D504" i="18"/>
  <c r="E504" i="18"/>
  <c r="F504" i="18"/>
  <c r="A505" i="18"/>
  <c r="B505" i="18"/>
  <c r="C505" i="18"/>
  <c r="D505" i="18"/>
  <c r="E505" i="18"/>
  <c r="F505" i="18"/>
  <c r="A506" i="18"/>
  <c r="B506" i="18"/>
  <c r="C506" i="18"/>
  <c r="D506" i="18"/>
  <c r="E506" i="18"/>
  <c r="F506" i="18"/>
  <c r="A507" i="18"/>
  <c r="B507" i="18"/>
  <c r="C507" i="18"/>
  <c r="D507" i="18"/>
  <c r="E507" i="18"/>
  <c r="F507" i="18"/>
  <c r="A508" i="18"/>
  <c r="B508" i="18"/>
  <c r="C508" i="18"/>
  <c r="D508" i="18"/>
  <c r="E508" i="18"/>
  <c r="F508" i="18"/>
  <c r="A509" i="18"/>
  <c r="B509" i="18"/>
  <c r="C509" i="18"/>
  <c r="D509" i="18"/>
  <c r="E509" i="18"/>
  <c r="F509" i="18"/>
  <c r="A510" i="18"/>
  <c r="B510" i="18"/>
  <c r="C510" i="18"/>
  <c r="D510" i="18"/>
  <c r="E510" i="18"/>
  <c r="F510" i="18"/>
  <c r="A511" i="18"/>
  <c r="B511" i="18"/>
  <c r="C511" i="18"/>
  <c r="D511" i="18"/>
  <c r="E511" i="18"/>
  <c r="F511" i="18"/>
  <c r="A512" i="18"/>
  <c r="B512" i="18"/>
  <c r="C512" i="18"/>
  <c r="D512" i="18"/>
  <c r="E512" i="18"/>
  <c r="F512" i="18"/>
  <c r="A513" i="18"/>
  <c r="B513" i="18"/>
  <c r="C513" i="18"/>
  <c r="D513" i="18"/>
  <c r="E513" i="18"/>
  <c r="F513" i="18"/>
  <c r="A514" i="18"/>
  <c r="B514" i="18"/>
  <c r="C514" i="18"/>
  <c r="D514" i="18"/>
  <c r="E514" i="18"/>
  <c r="F514" i="18"/>
  <c r="A515" i="18"/>
  <c r="B515" i="18"/>
  <c r="C515" i="18"/>
  <c r="D515" i="18"/>
  <c r="E515" i="18"/>
  <c r="F515" i="18"/>
  <c r="A516" i="18"/>
  <c r="B516" i="18"/>
  <c r="C516" i="18"/>
  <c r="D516" i="18"/>
  <c r="E516" i="18"/>
  <c r="F516" i="18"/>
  <c r="A517" i="18"/>
  <c r="B517" i="18"/>
  <c r="C517" i="18"/>
  <c r="D517" i="18"/>
  <c r="E517" i="18"/>
  <c r="F517" i="18"/>
  <c r="A518" i="18"/>
  <c r="B518" i="18"/>
  <c r="C518" i="18"/>
  <c r="D518" i="18"/>
  <c r="E518" i="18"/>
  <c r="F518" i="18"/>
  <c r="A519" i="18"/>
  <c r="B519" i="18"/>
  <c r="C519" i="18"/>
  <c r="D519" i="18"/>
  <c r="E519" i="18"/>
  <c r="F519" i="18"/>
  <c r="A520" i="18"/>
  <c r="B520" i="18"/>
  <c r="C520" i="18"/>
  <c r="D520" i="18"/>
  <c r="E520" i="18"/>
  <c r="F520" i="18"/>
  <c r="A521" i="18"/>
  <c r="B521" i="18"/>
  <c r="C521" i="18"/>
  <c r="D521" i="18"/>
  <c r="E521" i="18"/>
  <c r="F521" i="18"/>
  <c r="A522" i="18"/>
  <c r="B522" i="18"/>
  <c r="C522" i="18"/>
  <c r="D522" i="18"/>
  <c r="E522" i="18"/>
  <c r="F522" i="18"/>
  <c r="A523" i="18"/>
  <c r="B523" i="18"/>
  <c r="C523" i="18"/>
  <c r="D523" i="18"/>
  <c r="E523" i="18"/>
  <c r="F523" i="18"/>
  <c r="A524" i="18"/>
  <c r="B524" i="18"/>
  <c r="C524" i="18"/>
  <c r="D524" i="18"/>
  <c r="E524" i="18"/>
  <c r="F524" i="18"/>
  <c r="A525" i="18"/>
  <c r="B525" i="18"/>
  <c r="C525" i="18"/>
  <c r="D525" i="18"/>
  <c r="E525" i="18"/>
  <c r="F525" i="18"/>
  <c r="A526" i="18"/>
  <c r="B526" i="18"/>
  <c r="C526" i="18"/>
  <c r="D526" i="18"/>
  <c r="E526" i="18"/>
  <c r="F526" i="18"/>
  <c r="A527" i="18"/>
  <c r="B527" i="18"/>
  <c r="C527" i="18"/>
  <c r="D527" i="18"/>
  <c r="E527" i="18"/>
  <c r="F527" i="18"/>
  <c r="A528" i="18"/>
  <c r="B528" i="18"/>
  <c r="C528" i="18"/>
  <c r="D528" i="18"/>
  <c r="E528" i="18"/>
  <c r="F528" i="18"/>
  <c r="A529" i="18"/>
  <c r="B529" i="18"/>
  <c r="C529" i="18"/>
  <c r="D529" i="18"/>
  <c r="E529" i="18"/>
  <c r="F529" i="18"/>
  <c r="A530" i="18"/>
  <c r="B530" i="18"/>
  <c r="C530" i="18"/>
  <c r="D530" i="18"/>
  <c r="E530" i="18"/>
  <c r="F530" i="18"/>
  <c r="A531" i="18"/>
  <c r="B531" i="18"/>
  <c r="C531" i="18"/>
  <c r="D531" i="18"/>
  <c r="E531" i="18"/>
  <c r="F531" i="18"/>
  <c r="A532" i="18"/>
  <c r="B532" i="18"/>
  <c r="C532" i="18"/>
  <c r="D532" i="18"/>
  <c r="E532" i="18"/>
  <c r="F532" i="18"/>
  <c r="A533" i="18"/>
  <c r="B533" i="18"/>
  <c r="C533" i="18"/>
  <c r="D533" i="18"/>
  <c r="E533" i="18"/>
  <c r="F533" i="18"/>
  <c r="A534" i="18"/>
  <c r="B534" i="18"/>
  <c r="C534" i="18"/>
  <c r="D534" i="18"/>
  <c r="E534" i="18"/>
  <c r="F534" i="18"/>
  <c r="A535" i="18"/>
  <c r="B535" i="18"/>
  <c r="C535" i="18"/>
  <c r="D535" i="18"/>
  <c r="E535" i="18"/>
  <c r="F535" i="18"/>
  <c r="A536" i="18"/>
  <c r="B536" i="18"/>
  <c r="C536" i="18"/>
  <c r="D536" i="18"/>
  <c r="E536" i="18"/>
  <c r="F536" i="18"/>
  <c r="A537" i="18"/>
  <c r="B537" i="18"/>
  <c r="C537" i="18"/>
  <c r="D537" i="18"/>
  <c r="E537" i="18"/>
  <c r="F537" i="18"/>
  <c r="A538" i="18"/>
  <c r="B538" i="18"/>
  <c r="C538" i="18"/>
  <c r="D538" i="18"/>
  <c r="E538" i="18"/>
  <c r="F538" i="18"/>
  <c r="A539" i="18"/>
  <c r="B539" i="18"/>
  <c r="C539" i="18"/>
  <c r="D539" i="18"/>
  <c r="E539" i="18"/>
  <c r="F539" i="18"/>
  <c r="A540" i="18"/>
  <c r="B540" i="18"/>
  <c r="C540" i="18"/>
  <c r="D540" i="18"/>
  <c r="E540" i="18"/>
  <c r="F540" i="18"/>
  <c r="A541" i="18"/>
  <c r="B541" i="18"/>
  <c r="C541" i="18"/>
  <c r="D541" i="18"/>
  <c r="E541" i="18"/>
  <c r="F541" i="18"/>
  <c r="A542" i="18"/>
  <c r="B542" i="18"/>
  <c r="C542" i="18"/>
  <c r="D542" i="18"/>
  <c r="E542" i="18"/>
  <c r="F542" i="18"/>
  <c r="A543" i="18"/>
  <c r="B543" i="18"/>
  <c r="C543" i="18"/>
  <c r="D543" i="18"/>
  <c r="E543" i="18"/>
  <c r="F543" i="18"/>
  <c r="A544" i="18"/>
  <c r="B544" i="18"/>
  <c r="C544" i="18"/>
  <c r="D544" i="18"/>
  <c r="E544" i="18"/>
  <c r="F544" i="18"/>
  <c r="A545" i="18"/>
  <c r="B545" i="18"/>
  <c r="C545" i="18"/>
  <c r="D545" i="18"/>
  <c r="E545" i="18"/>
  <c r="F545" i="18"/>
  <c r="A546" i="18"/>
  <c r="B546" i="18"/>
  <c r="C546" i="18"/>
  <c r="D546" i="18"/>
  <c r="E546" i="18"/>
  <c r="F546" i="18"/>
  <c r="A547" i="18"/>
  <c r="B547" i="18"/>
  <c r="C547" i="18"/>
  <c r="D547" i="18"/>
  <c r="E547" i="18"/>
  <c r="F547" i="18"/>
  <c r="A548" i="18"/>
  <c r="B548" i="18"/>
  <c r="C548" i="18"/>
  <c r="D548" i="18"/>
  <c r="E548" i="18"/>
  <c r="F548" i="18"/>
  <c r="A549" i="18"/>
  <c r="B549" i="18"/>
  <c r="C549" i="18"/>
  <c r="D549" i="18"/>
  <c r="E549" i="18"/>
  <c r="F549" i="18"/>
  <c r="A550" i="18"/>
  <c r="B550" i="18"/>
  <c r="C550" i="18"/>
  <c r="D550" i="18"/>
  <c r="E550" i="18"/>
  <c r="F550" i="18"/>
  <c r="A551" i="18"/>
  <c r="B551" i="18"/>
  <c r="C551" i="18"/>
  <c r="D551" i="18"/>
  <c r="E551" i="18"/>
  <c r="F551" i="18"/>
  <c r="A552" i="18"/>
  <c r="B552" i="18"/>
  <c r="C552" i="18"/>
  <c r="D552" i="18"/>
  <c r="E552" i="18"/>
  <c r="F552" i="18"/>
  <c r="A553" i="18"/>
  <c r="B553" i="18"/>
  <c r="C553" i="18"/>
  <c r="D553" i="18"/>
  <c r="E553" i="18"/>
  <c r="F553" i="18"/>
  <c r="A554" i="18"/>
  <c r="B554" i="18"/>
  <c r="C554" i="18"/>
  <c r="D554" i="18"/>
  <c r="E554" i="18"/>
  <c r="F554" i="18"/>
  <c r="A555" i="18"/>
  <c r="B555" i="18"/>
  <c r="C555" i="18"/>
  <c r="D555" i="18"/>
  <c r="E555" i="18"/>
  <c r="F555" i="18"/>
  <c r="A556" i="18"/>
  <c r="B556" i="18"/>
  <c r="C556" i="18"/>
  <c r="D556" i="18"/>
  <c r="E556" i="18"/>
  <c r="F556" i="18"/>
  <c r="A557" i="18"/>
  <c r="B557" i="18"/>
  <c r="C557" i="18"/>
  <c r="D557" i="18"/>
  <c r="E557" i="18"/>
  <c r="F557" i="18"/>
  <c r="A558" i="18"/>
  <c r="B558" i="18"/>
  <c r="C558" i="18"/>
  <c r="D558" i="18"/>
  <c r="E558" i="18"/>
  <c r="F558" i="18"/>
  <c r="A559" i="18"/>
  <c r="B559" i="18"/>
  <c r="C559" i="18"/>
  <c r="D559" i="18"/>
  <c r="E559" i="18"/>
  <c r="F559" i="18"/>
  <c r="A560" i="18"/>
  <c r="B560" i="18"/>
  <c r="C560" i="18"/>
  <c r="D560" i="18"/>
  <c r="E560" i="18"/>
  <c r="F560" i="18"/>
  <c r="A561" i="18"/>
  <c r="B561" i="18"/>
  <c r="C561" i="18"/>
  <c r="D561" i="18"/>
  <c r="E561" i="18"/>
  <c r="F561" i="18"/>
  <c r="A562" i="18"/>
  <c r="B562" i="18"/>
  <c r="C562" i="18"/>
  <c r="D562" i="18"/>
  <c r="E562" i="18"/>
  <c r="F562" i="18"/>
  <c r="A563" i="18"/>
  <c r="B563" i="18"/>
  <c r="C563" i="18"/>
  <c r="D563" i="18"/>
  <c r="E563" i="18"/>
  <c r="F563" i="18"/>
  <c r="A564" i="18"/>
  <c r="B564" i="18"/>
  <c r="C564" i="18"/>
  <c r="D564" i="18"/>
  <c r="E564" i="18"/>
  <c r="F564" i="18"/>
  <c r="A565" i="18"/>
  <c r="B565" i="18"/>
  <c r="C565" i="18"/>
  <c r="D565" i="18"/>
  <c r="E565" i="18"/>
  <c r="F565" i="18"/>
  <c r="A566" i="18"/>
  <c r="B566" i="18"/>
  <c r="C566" i="18"/>
  <c r="D566" i="18"/>
  <c r="E566" i="18"/>
  <c r="F566" i="18"/>
  <c r="A567" i="18"/>
  <c r="B567" i="18"/>
  <c r="C567" i="18"/>
  <c r="D567" i="18"/>
  <c r="E567" i="18"/>
  <c r="F567" i="18"/>
  <c r="A568" i="18"/>
  <c r="B568" i="18"/>
  <c r="C568" i="18"/>
  <c r="D568" i="18"/>
  <c r="E568" i="18"/>
  <c r="F568" i="18"/>
  <c r="A569" i="18"/>
  <c r="B569" i="18"/>
  <c r="C569" i="18"/>
  <c r="D569" i="18"/>
  <c r="E569" i="18"/>
  <c r="F569" i="18"/>
  <c r="A570" i="18"/>
  <c r="B570" i="18"/>
  <c r="C570" i="18"/>
  <c r="D570" i="18"/>
  <c r="E570" i="18"/>
  <c r="F570" i="18"/>
  <c r="A571" i="18"/>
  <c r="B571" i="18"/>
  <c r="C571" i="18"/>
  <c r="D571" i="18"/>
  <c r="E571" i="18"/>
  <c r="F571" i="18"/>
  <c r="A572" i="18"/>
  <c r="B572" i="18"/>
  <c r="C572" i="18"/>
  <c r="D572" i="18"/>
  <c r="E572" i="18"/>
  <c r="F572" i="18"/>
  <c r="A573" i="18"/>
  <c r="B573" i="18"/>
  <c r="C573" i="18"/>
  <c r="D573" i="18"/>
  <c r="E573" i="18"/>
  <c r="F573" i="18"/>
  <c r="A574" i="18"/>
  <c r="B574" i="18"/>
  <c r="C574" i="18"/>
  <c r="D574" i="18"/>
  <c r="E574" i="18"/>
  <c r="F574" i="18"/>
  <c r="A575" i="18"/>
  <c r="B575" i="18"/>
  <c r="C575" i="18"/>
  <c r="D575" i="18"/>
  <c r="E575" i="18"/>
  <c r="F575" i="18"/>
  <c r="A576" i="18"/>
  <c r="B576" i="18"/>
  <c r="C576" i="18"/>
  <c r="D576" i="18"/>
  <c r="E576" i="18"/>
  <c r="F576" i="18"/>
  <c r="A577" i="18"/>
  <c r="B577" i="18"/>
  <c r="C577" i="18"/>
  <c r="D577" i="18"/>
  <c r="E577" i="18"/>
  <c r="F577" i="18"/>
  <c r="A578" i="18"/>
  <c r="B578" i="18"/>
  <c r="C578" i="18"/>
  <c r="D578" i="18"/>
  <c r="E578" i="18"/>
  <c r="F578" i="18"/>
  <c r="A579" i="18"/>
  <c r="B579" i="18"/>
  <c r="C579" i="18"/>
  <c r="D579" i="18"/>
  <c r="E579" i="18"/>
  <c r="F579" i="18"/>
  <c r="A580" i="18"/>
  <c r="B580" i="18"/>
  <c r="C580" i="18"/>
  <c r="D580" i="18"/>
  <c r="E580" i="18"/>
  <c r="F580" i="18"/>
  <c r="A581" i="18"/>
  <c r="B581" i="18"/>
  <c r="C581" i="18"/>
  <c r="D581" i="18"/>
  <c r="E581" i="18"/>
  <c r="F581" i="18"/>
  <c r="A582" i="18"/>
  <c r="B582" i="18"/>
  <c r="C582" i="18"/>
  <c r="D582" i="18"/>
  <c r="E582" i="18"/>
  <c r="F582" i="18"/>
  <c r="A583" i="18"/>
  <c r="B583" i="18"/>
  <c r="C583" i="18"/>
  <c r="D583" i="18"/>
  <c r="E583" i="18"/>
  <c r="F583" i="18"/>
  <c r="A584" i="18"/>
  <c r="B584" i="18"/>
  <c r="C584" i="18"/>
  <c r="D584" i="18"/>
  <c r="E584" i="18"/>
  <c r="F584" i="18"/>
  <c r="A585" i="18"/>
  <c r="B585" i="18"/>
  <c r="C585" i="18"/>
  <c r="D585" i="18"/>
  <c r="E585" i="18"/>
  <c r="F585" i="18"/>
  <c r="A586" i="18"/>
  <c r="B586" i="18"/>
  <c r="C586" i="18"/>
  <c r="D586" i="18"/>
  <c r="E586" i="18"/>
  <c r="F586" i="18"/>
  <c r="A587" i="18"/>
  <c r="B587" i="18"/>
  <c r="C587" i="18"/>
  <c r="D587" i="18"/>
  <c r="E587" i="18"/>
  <c r="F587" i="18"/>
  <c r="A588" i="18"/>
  <c r="B588" i="18"/>
  <c r="C588" i="18"/>
  <c r="D588" i="18"/>
  <c r="E588" i="18"/>
  <c r="F588" i="18"/>
  <c r="A589" i="18"/>
  <c r="B589" i="18"/>
  <c r="C589" i="18"/>
  <c r="D589" i="18"/>
  <c r="E589" i="18"/>
  <c r="F589" i="18"/>
  <c r="A590" i="18"/>
  <c r="B590" i="18"/>
  <c r="C590" i="18"/>
  <c r="D590" i="18"/>
  <c r="E590" i="18"/>
  <c r="F590" i="18"/>
  <c r="A591" i="18"/>
  <c r="B591" i="18"/>
  <c r="C591" i="18"/>
  <c r="D591" i="18"/>
  <c r="E591" i="18"/>
  <c r="F591" i="18"/>
  <c r="A592" i="18"/>
  <c r="B592" i="18"/>
  <c r="C592" i="18"/>
  <c r="D592" i="18"/>
  <c r="E592" i="18"/>
  <c r="F592" i="18"/>
  <c r="A593" i="18"/>
  <c r="B593" i="18"/>
  <c r="C593" i="18"/>
  <c r="D593" i="18"/>
  <c r="E593" i="18"/>
  <c r="F593" i="18"/>
  <c r="A594" i="18"/>
  <c r="B594" i="18"/>
  <c r="C594" i="18"/>
  <c r="D594" i="18"/>
  <c r="E594" i="18"/>
  <c r="F594" i="18"/>
  <c r="A595" i="18"/>
  <c r="B595" i="18"/>
  <c r="C595" i="18"/>
  <c r="D595" i="18"/>
  <c r="E595" i="18"/>
  <c r="F595" i="18"/>
  <c r="A596" i="18"/>
  <c r="B596" i="18"/>
  <c r="C596" i="18"/>
  <c r="D596" i="18"/>
  <c r="E596" i="18"/>
  <c r="F596" i="18"/>
  <c r="A597" i="18"/>
  <c r="B597" i="18"/>
  <c r="C597" i="18"/>
  <c r="D597" i="18"/>
  <c r="E597" i="18"/>
  <c r="F597" i="18"/>
  <c r="A598" i="18"/>
  <c r="B598" i="18"/>
  <c r="C598" i="18"/>
  <c r="D598" i="18"/>
  <c r="E598" i="18"/>
  <c r="F598" i="18"/>
  <c r="A599" i="18"/>
  <c r="B599" i="18"/>
  <c r="C599" i="18"/>
  <c r="D599" i="18"/>
  <c r="E599" i="18"/>
  <c r="F599" i="18"/>
  <c r="A600" i="18"/>
  <c r="B600" i="18"/>
  <c r="C600" i="18"/>
  <c r="D600" i="18"/>
  <c r="E600" i="18"/>
  <c r="F600" i="18"/>
  <c r="A601" i="18"/>
  <c r="B601" i="18"/>
  <c r="C601" i="18"/>
  <c r="D601" i="18"/>
  <c r="E601" i="18"/>
  <c r="F601" i="18"/>
  <c r="A602" i="18"/>
  <c r="B602" i="18"/>
  <c r="C602" i="18"/>
  <c r="D602" i="18"/>
  <c r="E602" i="18"/>
  <c r="F602" i="18"/>
  <c r="A603" i="18"/>
  <c r="B603" i="18"/>
  <c r="C603" i="18"/>
  <c r="D603" i="18"/>
  <c r="E603" i="18"/>
  <c r="F603" i="18"/>
  <c r="A604" i="18"/>
  <c r="B604" i="18"/>
  <c r="C604" i="18"/>
  <c r="D604" i="18"/>
  <c r="E604" i="18"/>
  <c r="F604" i="18"/>
  <c r="A605" i="18"/>
  <c r="B605" i="18"/>
  <c r="C605" i="18"/>
  <c r="D605" i="18"/>
  <c r="E605" i="18"/>
  <c r="F605" i="18"/>
  <c r="A606" i="18"/>
  <c r="B606" i="18"/>
  <c r="C606" i="18"/>
  <c r="D606" i="18"/>
  <c r="E606" i="18"/>
  <c r="F606" i="18"/>
  <c r="A607" i="18"/>
  <c r="B607" i="18"/>
  <c r="C607" i="18"/>
  <c r="D607" i="18"/>
  <c r="E607" i="18"/>
  <c r="F607" i="18"/>
  <c r="A608" i="18"/>
  <c r="B608" i="18"/>
  <c r="C608" i="18"/>
  <c r="D608" i="18"/>
  <c r="E608" i="18"/>
  <c r="F608" i="18"/>
  <c r="A609" i="18"/>
  <c r="B609" i="18"/>
  <c r="C609" i="18"/>
  <c r="D609" i="18"/>
  <c r="E609" i="18"/>
  <c r="F609" i="18"/>
  <c r="A610" i="18"/>
  <c r="B610" i="18"/>
  <c r="C610" i="18"/>
  <c r="D610" i="18"/>
  <c r="E610" i="18"/>
  <c r="F610" i="18"/>
  <c r="A611" i="18"/>
  <c r="B611" i="18"/>
  <c r="C611" i="18"/>
  <c r="D611" i="18"/>
  <c r="E611" i="18"/>
  <c r="F611" i="18"/>
  <c r="A612" i="18"/>
  <c r="B612" i="18"/>
  <c r="C612" i="18"/>
  <c r="D612" i="18"/>
  <c r="E612" i="18"/>
  <c r="F612" i="18"/>
  <c r="A613" i="18"/>
  <c r="B613" i="18"/>
  <c r="C613" i="18"/>
  <c r="D613" i="18"/>
  <c r="E613" i="18"/>
  <c r="F613" i="18"/>
  <c r="A614" i="18"/>
  <c r="B614" i="18"/>
  <c r="C614" i="18"/>
  <c r="D614" i="18"/>
  <c r="E614" i="18"/>
  <c r="F614" i="18"/>
  <c r="A615" i="18"/>
  <c r="B615" i="18"/>
  <c r="C615" i="18"/>
  <c r="D615" i="18"/>
  <c r="E615" i="18"/>
  <c r="F615" i="18"/>
  <c r="A616" i="18"/>
  <c r="B616" i="18"/>
  <c r="C616" i="18"/>
  <c r="D616" i="18"/>
  <c r="E616" i="18"/>
  <c r="F616" i="18"/>
  <c r="A617" i="18"/>
  <c r="B617" i="18"/>
  <c r="C617" i="18"/>
  <c r="D617" i="18"/>
  <c r="E617" i="18"/>
  <c r="F617" i="18"/>
  <c r="A618" i="18"/>
  <c r="B618" i="18"/>
  <c r="C618" i="18"/>
  <c r="D618" i="18"/>
  <c r="E618" i="18"/>
  <c r="F618" i="18"/>
  <c r="A619" i="18"/>
  <c r="B619" i="18"/>
  <c r="C619" i="18"/>
  <c r="D619" i="18"/>
  <c r="E619" i="18"/>
  <c r="F619" i="18"/>
  <c r="A620" i="18"/>
  <c r="B620" i="18"/>
  <c r="C620" i="18"/>
  <c r="D620" i="18"/>
  <c r="E620" i="18"/>
  <c r="F620" i="18"/>
  <c r="A621" i="18"/>
  <c r="B621" i="18"/>
  <c r="C621" i="18"/>
  <c r="D621" i="18"/>
  <c r="E621" i="18"/>
  <c r="F621" i="18"/>
  <c r="A622" i="18"/>
  <c r="B622" i="18"/>
  <c r="C622" i="18"/>
  <c r="D622" i="18"/>
  <c r="E622" i="18"/>
  <c r="F622" i="18"/>
  <c r="A623" i="18"/>
  <c r="B623" i="18"/>
  <c r="C623" i="18"/>
  <c r="D623" i="18"/>
  <c r="E623" i="18"/>
  <c r="F623" i="18"/>
  <c r="A624" i="18"/>
  <c r="B624" i="18"/>
  <c r="C624" i="18"/>
  <c r="D624" i="18"/>
  <c r="E624" i="18"/>
  <c r="F624" i="18"/>
  <c r="A625" i="18"/>
  <c r="B625" i="18"/>
  <c r="C625" i="18"/>
  <c r="D625" i="18"/>
  <c r="E625" i="18"/>
  <c r="F625" i="18"/>
  <c r="A626" i="18"/>
  <c r="B626" i="18"/>
  <c r="C626" i="18"/>
  <c r="D626" i="18"/>
  <c r="E626" i="18"/>
  <c r="F626" i="18"/>
  <c r="A627" i="18"/>
  <c r="B627" i="18"/>
  <c r="C627" i="18"/>
  <c r="D627" i="18"/>
  <c r="E627" i="18"/>
  <c r="F627" i="18"/>
  <c r="A628" i="18"/>
  <c r="B628" i="18"/>
  <c r="C628" i="18"/>
  <c r="D628" i="18"/>
  <c r="E628" i="18"/>
  <c r="F628" i="18"/>
  <c r="A629" i="18"/>
  <c r="B629" i="18"/>
  <c r="C629" i="18"/>
  <c r="D629" i="18"/>
  <c r="E629" i="18"/>
  <c r="F629" i="18"/>
  <c r="A630" i="18"/>
  <c r="B630" i="18"/>
  <c r="C630" i="18"/>
  <c r="D630" i="18"/>
  <c r="E630" i="18"/>
  <c r="F630" i="18"/>
  <c r="A631" i="18"/>
  <c r="B631" i="18"/>
  <c r="C631" i="18"/>
  <c r="D631" i="18"/>
  <c r="E631" i="18"/>
  <c r="F631" i="18"/>
  <c r="A632" i="18"/>
  <c r="B632" i="18"/>
  <c r="C632" i="18"/>
  <c r="D632" i="18"/>
  <c r="E632" i="18"/>
  <c r="F632" i="18"/>
  <c r="A633" i="18"/>
  <c r="B633" i="18"/>
  <c r="C633" i="18"/>
  <c r="D633" i="18"/>
  <c r="E633" i="18"/>
  <c r="F633" i="18"/>
  <c r="A634" i="18"/>
  <c r="B634" i="18"/>
  <c r="C634" i="18"/>
  <c r="D634" i="18"/>
  <c r="E634" i="18"/>
  <c r="F634" i="18"/>
  <c r="A635" i="18"/>
  <c r="B635" i="18"/>
  <c r="C635" i="18"/>
  <c r="D635" i="18"/>
  <c r="E635" i="18"/>
  <c r="F635" i="18"/>
  <c r="A636" i="18"/>
  <c r="B636" i="18"/>
  <c r="C636" i="18"/>
  <c r="D636" i="18"/>
  <c r="E636" i="18"/>
  <c r="F636" i="18"/>
  <c r="A637" i="18"/>
  <c r="B637" i="18"/>
  <c r="C637" i="18"/>
  <c r="D637" i="18"/>
  <c r="E637" i="18"/>
  <c r="F637" i="18"/>
  <c r="A638" i="18"/>
  <c r="B638" i="18"/>
  <c r="C638" i="18"/>
  <c r="D638" i="18"/>
  <c r="E638" i="18"/>
  <c r="F638" i="18"/>
  <c r="A639" i="18"/>
  <c r="B639" i="18"/>
  <c r="C639" i="18"/>
  <c r="D639" i="18"/>
  <c r="E639" i="18"/>
  <c r="F639" i="18"/>
  <c r="A640" i="18"/>
  <c r="B640" i="18"/>
  <c r="C640" i="18"/>
  <c r="D640" i="18"/>
  <c r="E640" i="18"/>
  <c r="F640" i="18"/>
  <c r="A641" i="18"/>
  <c r="B641" i="18"/>
  <c r="C641" i="18"/>
  <c r="D641" i="18"/>
  <c r="E641" i="18"/>
  <c r="F641" i="18"/>
  <c r="A642" i="18"/>
  <c r="B642" i="18"/>
  <c r="C642" i="18"/>
  <c r="D642" i="18"/>
  <c r="E642" i="18"/>
  <c r="F642" i="18"/>
  <c r="A643" i="18"/>
  <c r="B643" i="18"/>
  <c r="C643" i="18"/>
  <c r="D643" i="18"/>
  <c r="E643" i="18"/>
  <c r="F643" i="18"/>
  <c r="A644" i="18"/>
  <c r="B644" i="18"/>
  <c r="C644" i="18"/>
  <c r="D644" i="18"/>
  <c r="E644" i="18"/>
  <c r="F644" i="18"/>
  <c r="A645" i="18"/>
  <c r="B645" i="18"/>
  <c r="C645" i="18"/>
  <c r="D645" i="18"/>
  <c r="E645" i="18"/>
  <c r="F645" i="18"/>
  <c r="A646" i="18"/>
  <c r="B646" i="18"/>
  <c r="C646" i="18"/>
  <c r="D646" i="18"/>
  <c r="E646" i="18"/>
  <c r="F646" i="18"/>
  <c r="A647" i="18"/>
  <c r="B647" i="18"/>
  <c r="C647" i="18"/>
  <c r="D647" i="18"/>
  <c r="E647" i="18"/>
  <c r="F647" i="18"/>
  <c r="A648" i="18"/>
  <c r="B648" i="18"/>
  <c r="C648" i="18"/>
  <c r="D648" i="18"/>
  <c r="E648" i="18"/>
  <c r="F648" i="18"/>
  <c r="A649" i="18"/>
  <c r="B649" i="18"/>
  <c r="C649" i="18"/>
  <c r="D649" i="18"/>
  <c r="E649" i="18"/>
  <c r="F649" i="18"/>
  <c r="A650" i="18"/>
  <c r="B650" i="18"/>
  <c r="C650" i="18"/>
  <c r="D650" i="18"/>
  <c r="E650" i="18"/>
  <c r="F650" i="18"/>
  <c r="A651" i="18"/>
  <c r="B651" i="18"/>
  <c r="C651" i="18"/>
  <c r="D651" i="18"/>
  <c r="E651" i="18"/>
  <c r="F651" i="18"/>
  <c r="A652" i="18"/>
  <c r="B652" i="18"/>
  <c r="C652" i="18"/>
  <c r="D652" i="18"/>
  <c r="E652" i="18"/>
  <c r="F652" i="18"/>
  <c r="A653" i="18"/>
  <c r="B653" i="18"/>
  <c r="C653" i="18"/>
  <c r="D653" i="18"/>
  <c r="E653" i="18"/>
  <c r="F653" i="18"/>
  <c r="A654" i="18"/>
  <c r="B654" i="18"/>
  <c r="C654" i="18"/>
  <c r="D654" i="18"/>
  <c r="E654" i="18"/>
  <c r="F654" i="18"/>
  <c r="A655" i="18"/>
  <c r="B655" i="18"/>
  <c r="C655" i="18"/>
  <c r="D655" i="18"/>
  <c r="E655" i="18"/>
  <c r="F655" i="18"/>
  <c r="A656" i="18"/>
  <c r="B656" i="18"/>
  <c r="C656" i="18"/>
  <c r="D656" i="18"/>
  <c r="E656" i="18"/>
  <c r="F656" i="18"/>
  <c r="A657" i="18"/>
  <c r="B657" i="18"/>
  <c r="C657" i="18"/>
  <c r="D657" i="18"/>
  <c r="E657" i="18"/>
  <c r="F657" i="18"/>
  <c r="A658" i="18"/>
  <c r="B658" i="18"/>
  <c r="C658" i="18"/>
  <c r="D658" i="18"/>
  <c r="E658" i="18"/>
  <c r="F658" i="18"/>
  <c r="A659" i="18"/>
  <c r="B659" i="18"/>
  <c r="C659" i="18"/>
  <c r="D659" i="18"/>
  <c r="E659" i="18"/>
  <c r="F659" i="18"/>
  <c r="A660" i="18"/>
  <c r="B660" i="18"/>
  <c r="C660" i="18"/>
  <c r="D660" i="18"/>
  <c r="E660" i="18"/>
  <c r="F660" i="18"/>
  <c r="A661" i="18"/>
  <c r="B661" i="18"/>
  <c r="C661" i="18"/>
  <c r="D661" i="18"/>
  <c r="E661" i="18"/>
  <c r="F661" i="18"/>
  <c r="A662" i="18"/>
  <c r="B662" i="18"/>
  <c r="C662" i="18"/>
  <c r="D662" i="18"/>
  <c r="E662" i="18"/>
  <c r="F662" i="18"/>
  <c r="A663" i="18"/>
  <c r="B663" i="18"/>
  <c r="C663" i="18"/>
  <c r="D663" i="18"/>
  <c r="E663" i="18"/>
  <c r="F663" i="18"/>
  <c r="A664" i="18"/>
  <c r="B664" i="18"/>
  <c r="C664" i="18"/>
  <c r="D664" i="18"/>
  <c r="E664" i="18"/>
  <c r="F664" i="18"/>
  <c r="A665" i="18"/>
  <c r="B665" i="18"/>
  <c r="C665" i="18"/>
  <c r="D665" i="18"/>
  <c r="E665" i="18"/>
  <c r="F665" i="18"/>
  <c r="A666" i="18"/>
  <c r="B666" i="18"/>
  <c r="C666" i="18"/>
  <c r="D666" i="18"/>
  <c r="E666" i="18"/>
  <c r="F666" i="18"/>
  <c r="A667" i="18"/>
  <c r="B667" i="18"/>
  <c r="C667" i="18"/>
  <c r="D667" i="18"/>
  <c r="E667" i="18"/>
  <c r="F667" i="18"/>
  <c r="A668" i="18"/>
  <c r="B668" i="18"/>
  <c r="C668" i="18"/>
  <c r="D668" i="18"/>
  <c r="E668" i="18"/>
  <c r="F668" i="18"/>
  <c r="A669" i="18"/>
  <c r="B669" i="18"/>
  <c r="C669" i="18"/>
  <c r="D669" i="18"/>
  <c r="E669" i="18"/>
  <c r="F669" i="18"/>
  <c r="A670" i="18"/>
  <c r="B670" i="18"/>
  <c r="C670" i="18"/>
  <c r="D670" i="18"/>
  <c r="E670" i="18"/>
  <c r="F670" i="18"/>
  <c r="A671" i="18"/>
  <c r="B671" i="18"/>
  <c r="C671" i="18"/>
  <c r="D671" i="18"/>
  <c r="E671" i="18"/>
  <c r="F671" i="18"/>
  <c r="A672" i="18"/>
  <c r="B672" i="18"/>
  <c r="C672" i="18"/>
  <c r="D672" i="18"/>
  <c r="E672" i="18"/>
  <c r="F672" i="18"/>
  <c r="A673" i="18"/>
  <c r="B673" i="18"/>
  <c r="C673" i="18"/>
  <c r="D673" i="18"/>
  <c r="E673" i="18"/>
  <c r="F673" i="18"/>
  <c r="A674" i="18"/>
  <c r="B674" i="18"/>
  <c r="C674" i="18"/>
  <c r="D674" i="18"/>
  <c r="E674" i="18"/>
  <c r="F674" i="18"/>
  <c r="A675" i="18"/>
  <c r="B675" i="18"/>
  <c r="C675" i="18"/>
  <c r="D675" i="18"/>
  <c r="E675" i="18"/>
  <c r="F675" i="18"/>
  <c r="A676" i="18"/>
  <c r="B676" i="18"/>
  <c r="C676" i="18"/>
  <c r="D676" i="18"/>
  <c r="E676" i="18"/>
  <c r="F676" i="18"/>
  <c r="A677" i="18"/>
  <c r="B677" i="18"/>
  <c r="C677" i="18"/>
  <c r="D677" i="18"/>
  <c r="E677" i="18"/>
  <c r="F677" i="18"/>
  <c r="A678" i="18"/>
  <c r="B678" i="18"/>
  <c r="C678" i="18"/>
  <c r="D678" i="18"/>
  <c r="E678" i="18"/>
  <c r="F678" i="18"/>
  <c r="A679" i="18"/>
  <c r="B679" i="18"/>
  <c r="C679" i="18"/>
  <c r="D679" i="18"/>
  <c r="E679" i="18"/>
  <c r="F679" i="18"/>
  <c r="A680" i="18"/>
  <c r="B680" i="18"/>
  <c r="C680" i="18"/>
  <c r="D680" i="18"/>
  <c r="E680" i="18"/>
  <c r="F680" i="18"/>
  <c r="A681" i="18"/>
  <c r="B681" i="18"/>
  <c r="C681" i="18"/>
  <c r="D681" i="18"/>
  <c r="E681" i="18"/>
  <c r="F681" i="18"/>
  <c r="A682" i="18"/>
  <c r="B682" i="18"/>
  <c r="C682" i="18"/>
  <c r="D682" i="18"/>
  <c r="E682" i="18"/>
  <c r="F682" i="18"/>
  <c r="A683" i="18"/>
  <c r="B683" i="18"/>
  <c r="C683" i="18"/>
  <c r="D683" i="18"/>
  <c r="E683" i="18"/>
  <c r="F683" i="18"/>
  <c r="A684" i="18"/>
  <c r="B684" i="18"/>
  <c r="C684" i="18"/>
  <c r="D684" i="18"/>
  <c r="E684" i="18"/>
  <c r="F684" i="18"/>
  <c r="A685" i="18"/>
  <c r="B685" i="18"/>
  <c r="C685" i="18"/>
  <c r="D685" i="18"/>
  <c r="E685" i="18"/>
  <c r="F685" i="18"/>
  <c r="A686" i="18"/>
  <c r="B686" i="18"/>
  <c r="C686" i="18"/>
  <c r="D686" i="18"/>
  <c r="E686" i="18"/>
  <c r="F686" i="18"/>
  <c r="A687" i="18"/>
  <c r="B687" i="18"/>
  <c r="C687" i="18"/>
  <c r="D687" i="18"/>
  <c r="E687" i="18"/>
  <c r="F687" i="18"/>
  <c r="A688" i="18"/>
  <c r="B688" i="18"/>
  <c r="C688" i="18"/>
  <c r="D688" i="18"/>
  <c r="E688" i="18"/>
  <c r="F688" i="18"/>
  <c r="A689" i="18"/>
  <c r="B689" i="18"/>
  <c r="C689" i="18"/>
  <c r="D689" i="18"/>
  <c r="E689" i="18"/>
  <c r="F689" i="18"/>
  <c r="A690" i="18"/>
  <c r="B690" i="18"/>
  <c r="C690" i="18"/>
  <c r="D690" i="18"/>
  <c r="E690" i="18"/>
  <c r="F690" i="18"/>
  <c r="A691" i="18"/>
  <c r="B691" i="18"/>
  <c r="C691" i="18"/>
  <c r="D691" i="18"/>
  <c r="E691" i="18"/>
  <c r="F691" i="18"/>
  <c r="A692" i="18"/>
  <c r="B692" i="18"/>
  <c r="C692" i="18"/>
  <c r="D692" i="18"/>
  <c r="E692" i="18"/>
  <c r="F692" i="18"/>
  <c r="A693" i="18"/>
  <c r="B693" i="18"/>
  <c r="C693" i="18"/>
  <c r="D693" i="18"/>
  <c r="E693" i="18"/>
  <c r="F693" i="18"/>
  <c r="A694" i="18"/>
  <c r="B694" i="18"/>
  <c r="C694" i="18"/>
  <c r="D694" i="18"/>
  <c r="E694" i="18"/>
  <c r="F694" i="18"/>
  <c r="A695" i="18"/>
  <c r="B695" i="18"/>
  <c r="C695" i="18"/>
  <c r="D695" i="18"/>
  <c r="E695" i="18"/>
  <c r="F695" i="18"/>
  <c r="A696" i="18"/>
  <c r="B696" i="18"/>
  <c r="C696" i="18"/>
  <c r="D696" i="18"/>
  <c r="E696" i="18"/>
  <c r="F696" i="18"/>
  <c r="A697" i="18"/>
  <c r="B697" i="18"/>
  <c r="C697" i="18"/>
  <c r="D697" i="18"/>
  <c r="E697" i="18"/>
  <c r="F697" i="18"/>
  <c r="A698" i="18"/>
  <c r="B698" i="18"/>
  <c r="C698" i="18"/>
  <c r="D698" i="18"/>
  <c r="E698" i="18"/>
  <c r="F698" i="18"/>
  <c r="A699" i="18"/>
  <c r="B699" i="18"/>
  <c r="C699" i="18"/>
  <c r="D699" i="18"/>
  <c r="E699" i="18"/>
  <c r="F699" i="18"/>
  <c r="A700" i="18"/>
  <c r="B700" i="18"/>
  <c r="C700" i="18"/>
  <c r="D700" i="18"/>
  <c r="E700" i="18"/>
  <c r="F700" i="18"/>
  <c r="A701" i="18"/>
  <c r="B701" i="18"/>
  <c r="C701" i="18"/>
  <c r="D701" i="18"/>
  <c r="E701" i="18"/>
  <c r="F701" i="18"/>
  <c r="A702" i="18"/>
  <c r="B702" i="18"/>
  <c r="C702" i="18"/>
  <c r="D702" i="18"/>
  <c r="E702" i="18"/>
  <c r="F702" i="18"/>
  <c r="A703" i="18"/>
  <c r="B703" i="18"/>
  <c r="C703" i="18"/>
  <c r="D703" i="18"/>
  <c r="E703" i="18"/>
  <c r="F703" i="18"/>
  <c r="A704" i="18"/>
  <c r="B704" i="18"/>
  <c r="C704" i="18"/>
  <c r="D704" i="18"/>
  <c r="E704" i="18"/>
  <c r="F704" i="18"/>
  <c r="A705" i="18"/>
  <c r="B705" i="18"/>
  <c r="C705" i="18"/>
  <c r="D705" i="18"/>
  <c r="E705" i="18"/>
  <c r="F705" i="18"/>
  <c r="A706" i="18"/>
  <c r="B706" i="18"/>
  <c r="C706" i="18"/>
  <c r="D706" i="18"/>
  <c r="E706" i="18"/>
  <c r="F706" i="18"/>
  <c r="A707" i="18"/>
  <c r="B707" i="18"/>
  <c r="C707" i="18"/>
  <c r="D707" i="18"/>
  <c r="E707" i="18"/>
  <c r="F707" i="18"/>
  <c r="A708" i="18"/>
  <c r="B708" i="18"/>
  <c r="C708" i="18"/>
  <c r="D708" i="18"/>
  <c r="E708" i="18"/>
  <c r="F708" i="18"/>
  <c r="A709" i="18"/>
  <c r="B709" i="18"/>
  <c r="C709" i="18"/>
  <c r="D709" i="18"/>
  <c r="E709" i="18"/>
  <c r="F709" i="18"/>
  <c r="A710" i="18"/>
  <c r="B710" i="18"/>
  <c r="C710" i="18"/>
  <c r="D710" i="18"/>
  <c r="E710" i="18"/>
  <c r="F710" i="18"/>
  <c r="A711" i="18"/>
  <c r="B711" i="18"/>
  <c r="C711" i="18"/>
  <c r="D711" i="18"/>
  <c r="E711" i="18"/>
  <c r="F711" i="18"/>
  <c r="A712" i="18"/>
  <c r="B712" i="18"/>
  <c r="C712" i="18"/>
  <c r="D712" i="18"/>
  <c r="E712" i="18"/>
  <c r="F712" i="18"/>
  <c r="A713" i="18"/>
  <c r="B713" i="18"/>
  <c r="C713" i="18"/>
  <c r="D713" i="18"/>
  <c r="E713" i="18"/>
  <c r="F713" i="18"/>
  <c r="A714" i="18"/>
  <c r="B714" i="18"/>
  <c r="C714" i="18"/>
  <c r="D714" i="18"/>
  <c r="E714" i="18"/>
  <c r="F714" i="18"/>
  <c r="A715" i="18"/>
  <c r="B715" i="18"/>
  <c r="C715" i="18"/>
  <c r="D715" i="18"/>
  <c r="E715" i="18"/>
  <c r="F715" i="18"/>
  <c r="A716" i="18"/>
  <c r="B716" i="18"/>
  <c r="C716" i="18"/>
  <c r="D716" i="18"/>
  <c r="E716" i="18"/>
  <c r="F716" i="18"/>
  <c r="A717" i="18"/>
  <c r="B717" i="18"/>
  <c r="C717" i="18"/>
  <c r="D717" i="18"/>
  <c r="E717" i="18"/>
  <c r="F717" i="18"/>
  <c r="A718" i="18"/>
  <c r="B718" i="18"/>
  <c r="C718" i="18"/>
  <c r="D718" i="18"/>
  <c r="E718" i="18"/>
  <c r="F718" i="18"/>
  <c r="A719" i="18"/>
  <c r="B719" i="18"/>
  <c r="C719" i="18"/>
  <c r="D719" i="18"/>
  <c r="E719" i="18"/>
  <c r="F719" i="18"/>
  <c r="A720" i="18"/>
  <c r="B720" i="18"/>
  <c r="C720" i="18"/>
  <c r="D720" i="18"/>
  <c r="E720" i="18"/>
  <c r="F720" i="18"/>
  <c r="A721" i="18"/>
  <c r="B721" i="18"/>
  <c r="C721" i="18"/>
  <c r="D721" i="18"/>
  <c r="E721" i="18"/>
  <c r="F721" i="18"/>
  <c r="A722" i="18"/>
  <c r="B722" i="18"/>
  <c r="C722" i="18"/>
  <c r="D722" i="18"/>
  <c r="E722" i="18"/>
  <c r="F722" i="18"/>
  <c r="A723" i="18"/>
  <c r="B723" i="18"/>
  <c r="C723" i="18"/>
  <c r="D723" i="18"/>
  <c r="E723" i="18"/>
  <c r="F723" i="18"/>
  <c r="A724" i="18"/>
  <c r="B724" i="18"/>
  <c r="C724" i="18"/>
  <c r="D724" i="18"/>
  <c r="E724" i="18"/>
  <c r="F724" i="18"/>
  <c r="A725" i="18"/>
  <c r="B725" i="18"/>
  <c r="C725" i="18"/>
  <c r="D725" i="18"/>
  <c r="E725" i="18"/>
  <c r="F725" i="18"/>
  <c r="A726" i="18"/>
  <c r="B726" i="18"/>
  <c r="C726" i="18"/>
  <c r="D726" i="18"/>
  <c r="E726" i="18"/>
  <c r="F726" i="18"/>
  <c r="A727" i="18"/>
  <c r="B727" i="18"/>
  <c r="C727" i="18"/>
  <c r="D727" i="18"/>
  <c r="E727" i="18"/>
  <c r="F727" i="18"/>
  <c r="A728" i="18"/>
  <c r="B728" i="18"/>
  <c r="C728" i="18"/>
  <c r="D728" i="18"/>
  <c r="E728" i="18"/>
  <c r="F728" i="18"/>
  <c r="A729" i="18"/>
  <c r="B729" i="18"/>
  <c r="C729" i="18"/>
  <c r="D729" i="18"/>
  <c r="E729" i="18"/>
  <c r="F729" i="18"/>
  <c r="A730" i="18"/>
  <c r="B730" i="18"/>
  <c r="C730" i="18"/>
  <c r="D730" i="18"/>
  <c r="E730" i="18"/>
  <c r="F730" i="18"/>
  <c r="A731" i="18"/>
  <c r="B731" i="18"/>
  <c r="C731" i="18"/>
  <c r="D731" i="18"/>
  <c r="E731" i="18"/>
  <c r="F731" i="18"/>
  <c r="A732" i="18"/>
  <c r="B732" i="18"/>
  <c r="C732" i="18"/>
  <c r="D732" i="18"/>
  <c r="E732" i="18"/>
  <c r="F732" i="18"/>
  <c r="A733" i="18"/>
  <c r="B733" i="18"/>
  <c r="C733" i="18"/>
  <c r="D733" i="18"/>
  <c r="E733" i="18"/>
  <c r="F733" i="18"/>
  <c r="A734" i="18"/>
  <c r="B734" i="18"/>
  <c r="C734" i="18"/>
  <c r="D734" i="18"/>
  <c r="E734" i="18"/>
  <c r="F734" i="18"/>
  <c r="A735" i="18"/>
  <c r="B735" i="18"/>
  <c r="C735" i="18"/>
  <c r="D735" i="18"/>
  <c r="E735" i="18"/>
  <c r="F735" i="18"/>
  <c r="A736" i="18"/>
  <c r="B736" i="18"/>
  <c r="C736" i="18"/>
  <c r="D736" i="18"/>
  <c r="E736" i="18"/>
  <c r="F736" i="18"/>
  <c r="A737" i="18"/>
  <c r="B737" i="18"/>
  <c r="C737" i="18"/>
  <c r="D737" i="18"/>
  <c r="E737" i="18"/>
  <c r="F737" i="18"/>
  <c r="A738" i="18"/>
  <c r="B738" i="18"/>
  <c r="C738" i="18"/>
  <c r="D738" i="18"/>
  <c r="E738" i="18"/>
  <c r="F738" i="18"/>
  <c r="A739" i="18"/>
  <c r="B739" i="18"/>
  <c r="C739" i="18"/>
  <c r="D739" i="18"/>
  <c r="E739" i="18"/>
  <c r="F739" i="18"/>
  <c r="A740" i="18"/>
  <c r="B740" i="18"/>
  <c r="C740" i="18"/>
  <c r="D740" i="18"/>
  <c r="E740" i="18"/>
  <c r="F740" i="18"/>
  <c r="A741" i="18"/>
  <c r="B741" i="18"/>
  <c r="C741" i="18"/>
  <c r="D741" i="18"/>
  <c r="E741" i="18"/>
  <c r="F741" i="18"/>
  <c r="A742" i="18"/>
  <c r="B742" i="18"/>
  <c r="C742" i="18"/>
  <c r="D742" i="18"/>
  <c r="E742" i="18"/>
  <c r="F742" i="18"/>
  <c r="A743" i="18"/>
  <c r="B743" i="18"/>
  <c r="C743" i="18"/>
  <c r="D743" i="18"/>
  <c r="E743" i="18"/>
  <c r="F743" i="18"/>
  <c r="A744" i="18"/>
  <c r="B744" i="18"/>
  <c r="C744" i="18"/>
  <c r="D744" i="18"/>
  <c r="E744" i="18"/>
  <c r="F744" i="18"/>
  <c r="A745" i="18"/>
  <c r="B745" i="18"/>
  <c r="C745" i="18"/>
  <c r="D745" i="18"/>
  <c r="E745" i="18"/>
  <c r="F745" i="18"/>
  <c r="A746" i="18"/>
  <c r="B746" i="18"/>
  <c r="C746" i="18"/>
  <c r="D746" i="18"/>
  <c r="E746" i="18"/>
  <c r="F746" i="18"/>
  <c r="A747" i="18"/>
  <c r="B747" i="18"/>
  <c r="C747" i="18"/>
  <c r="D747" i="18"/>
  <c r="E747" i="18"/>
  <c r="F747" i="18"/>
  <c r="A748" i="18"/>
  <c r="B748" i="18"/>
  <c r="C748" i="18"/>
  <c r="D748" i="18"/>
  <c r="E748" i="18"/>
  <c r="F748" i="18"/>
  <c r="A749" i="18"/>
  <c r="B749" i="18"/>
  <c r="C749" i="18"/>
  <c r="D749" i="18"/>
  <c r="E749" i="18"/>
  <c r="F749" i="18"/>
  <c r="A750" i="18"/>
  <c r="B750" i="18"/>
  <c r="C750" i="18"/>
  <c r="D750" i="18"/>
  <c r="E750" i="18"/>
  <c r="F750" i="18"/>
  <c r="A751" i="18"/>
  <c r="B751" i="18"/>
  <c r="C751" i="18"/>
  <c r="D751" i="18"/>
  <c r="E751" i="18"/>
  <c r="F751" i="18"/>
  <c r="A752" i="18"/>
  <c r="B752" i="18"/>
  <c r="C752" i="18"/>
  <c r="D752" i="18"/>
  <c r="E752" i="18"/>
  <c r="F752" i="18"/>
  <c r="A753" i="18"/>
  <c r="B753" i="18"/>
  <c r="C753" i="18"/>
  <c r="D753" i="18"/>
  <c r="E753" i="18"/>
  <c r="F753" i="18"/>
  <c r="A754" i="18"/>
  <c r="B754" i="18"/>
  <c r="C754" i="18"/>
  <c r="D754" i="18"/>
  <c r="E754" i="18"/>
  <c r="F754" i="18"/>
  <c r="A755" i="18"/>
  <c r="B755" i="18"/>
  <c r="C755" i="18"/>
  <c r="D755" i="18"/>
  <c r="E755" i="18"/>
  <c r="F755" i="18"/>
  <c r="A756" i="18"/>
  <c r="B756" i="18"/>
  <c r="C756" i="18"/>
  <c r="D756" i="18"/>
  <c r="E756" i="18"/>
  <c r="F756" i="18"/>
  <c r="A757" i="18"/>
  <c r="B757" i="18"/>
  <c r="C757" i="18"/>
  <c r="D757" i="18"/>
  <c r="E757" i="18"/>
  <c r="F757" i="18"/>
  <c r="A758" i="18"/>
  <c r="B758" i="18"/>
  <c r="C758" i="18"/>
  <c r="D758" i="18"/>
  <c r="E758" i="18"/>
  <c r="F758" i="18"/>
  <c r="A759" i="18"/>
  <c r="B759" i="18"/>
  <c r="C759" i="18"/>
  <c r="D759" i="18"/>
  <c r="E759" i="18"/>
  <c r="F759" i="18"/>
  <c r="A760" i="18"/>
  <c r="B760" i="18"/>
  <c r="C760" i="18"/>
  <c r="D760" i="18"/>
  <c r="E760" i="18"/>
  <c r="F760" i="18"/>
  <c r="A761" i="18"/>
  <c r="B761" i="18"/>
  <c r="C761" i="18"/>
  <c r="D761" i="18"/>
  <c r="E761" i="18"/>
  <c r="F761" i="18"/>
  <c r="A762" i="18"/>
  <c r="B762" i="18"/>
  <c r="C762" i="18"/>
  <c r="D762" i="18"/>
  <c r="E762" i="18"/>
  <c r="F762" i="18"/>
  <c r="A763" i="18"/>
  <c r="B763" i="18"/>
  <c r="C763" i="18"/>
  <c r="D763" i="18"/>
  <c r="E763" i="18"/>
  <c r="F763" i="18"/>
  <c r="A764" i="18"/>
  <c r="B764" i="18"/>
  <c r="C764" i="18"/>
  <c r="D764" i="18"/>
  <c r="E764" i="18"/>
  <c r="F764" i="18"/>
  <c r="A765" i="18"/>
  <c r="B765" i="18"/>
  <c r="C765" i="18"/>
  <c r="D765" i="18"/>
  <c r="E765" i="18"/>
  <c r="F765" i="18"/>
  <c r="A766" i="18"/>
  <c r="B766" i="18"/>
  <c r="C766" i="18"/>
  <c r="D766" i="18"/>
  <c r="E766" i="18"/>
  <c r="F766" i="18"/>
  <c r="A767" i="18"/>
  <c r="B767" i="18"/>
  <c r="C767" i="18"/>
  <c r="D767" i="18"/>
  <c r="E767" i="18"/>
  <c r="F767" i="18"/>
  <c r="A768" i="18"/>
  <c r="B768" i="18"/>
  <c r="C768" i="18"/>
  <c r="D768" i="18"/>
  <c r="E768" i="18"/>
  <c r="F768" i="18"/>
  <c r="A769" i="18"/>
  <c r="B769" i="18"/>
  <c r="C769" i="18"/>
  <c r="D769" i="18"/>
  <c r="E769" i="18"/>
  <c r="F769" i="18"/>
  <c r="A770" i="18"/>
  <c r="B770" i="18"/>
  <c r="C770" i="18"/>
  <c r="D770" i="18"/>
  <c r="E770" i="18"/>
  <c r="F770" i="18"/>
  <c r="A771" i="18"/>
  <c r="B771" i="18"/>
  <c r="C771" i="18"/>
  <c r="D771" i="18"/>
  <c r="E771" i="18"/>
  <c r="F771" i="18"/>
  <c r="A772" i="18"/>
  <c r="B772" i="18"/>
  <c r="C772" i="18"/>
  <c r="D772" i="18"/>
  <c r="E772" i="18"/>
  <c r="F772" i="18"/>
  <c r="A773" i="18"/>
  <c r="B773" i="18"/>
  <c r="C773" i="18"/>
  <c r="D773" i="18"/>
  <c r="E773" i="18"/>
  <c r="F773" i="18"/>
  <c r="A774" i="18"/>
  <c r="B774" i="18"/>
  <c r="C774" i="18"/>
  <c r="D774" i="18"/>
  <c r="E774" i="18"/>
  <c r="F774" i="18"/>
  <c r="A775" i="18"/>
  <c r="B775" i="18"/>
  <c r="C775" i="18"/>
  <c r="D775" i="18"/>
  <c r="E775" i="18"/>
  <c r="F775" i="18"/>
  <c r="A776" i="18"/>
  <c r="B776" i="18"/>
  <c r="C776" i="18"/>
  <c r="D776" i="18"/>
  <c r="E776" i="18"/>
  <c r="F776" i="18"/>
  <c r="A777" i="18"/>
  <c r="B777" i="18"/>
  <c r="C777" i="18"/>
  <c r="D777" i="18"/>
  <c r="E777" i="18"/>
  <c r="F777" i="18"/>
  <c r="A778" i="18"/>
  <c r="B778" i="18"/>
  <c r="C778" i="18"/>
  <c r="D778" i="18"/>
  <c r="E778" i="18"/>
  <c r="F778" i="18"/>
  <c r="A779" i="18"/>
  <c r="B779" i="18"/>
  <c r="C779" i="18"/>
  <c r="D779" i="18"/>
  <c r="E779" i="18"/>
  <c r="F779" i="18"/>
  <c r="A780" i="18"/>
  <c r="B780" i="18"/>
  <c r="C780" i="18"/>
  <c r="D780" i="18"/>
  <c r="E780" i="18"/>
  <c r="F780" i="18"/>
  <c r="A781" i="18"/>
  <c r="B781" i="18"/>
  <c r="C781" i="18"/>
  <c r="D781" i="18"/>
  <c r="E781" i="18"/>
  <c r="F781" i="18"/>
  <c r="A782" i="18"/>
  <c r="B782" i="18"/>
  <c r="C782" i="18"/>
  <c r="D782" i="18"/>
  <c r="E782" i="18"/>
  <c r="F782" i="18"/>
  <c r="A783" i="18"/>
  <c r="B783" i="18"/>
  <c r="C783" i="18"/>
  <c r="D783" i="18"/>
  <c r="E783" i="18"/>
  <c r="F783" i="18"/>
  <c r="A784" i="18"/>
  <c r="B784" i="18"/>
  <c r="C784" i="18"/>
  <c r="D784" i="18"/>
  <c r="E784" i="18"/>
  <c r="F784" i="18"/>
  <c r="A785" i="18"/>
  <c r="B785" i="18"/>
  <c r="C785" i="18"/>
  <c r="D785" i="18"/>
  <c r="E785" i="18"/>
  <c r="F785" i="18"/>
  <c r="A786" i="18"/>
  <c r="B786" i="18"/>
  <c r="C786" i="18"/>
  <c r="D786" i="18"/>
  <c r="E786" i="18"/>
  <c r="F786" i="18"/>
  <c r="A787" i="18"/>
  <c r="B787" i="18"/>
  <c r="C787" i="18"/>
  <c r="D787" i="18"/>
  <c r="E787" i="18"/>
  <c r="F787" i="18"/>
  <c r="A788" i="18"/>
  <c r="B788" i="18"/>
  <c r="C788" i="18"/>
  <c r="D788" i="18"/>
  <c r="E788" i="18"/>
  <c r="F788" i="18"/>
  <c r="A789" i="18"/>
  <c r="B789" i="18"/>
  <c r="C789" i="18"/>
  <c r="D789" i="18"/>
  <c r="E789" i="18"/>
  <c r="F789" i="18"/>
  <c r="A790" i="18"/>
  <c r="B790" i="18"/>
  <c r="C790" i="18"/>
  <c r="D790" i="18"/>
  <c r="E790" i="18"/>
  <c r="F790" i="18"/>
  <c r="A791" i="18"/>
  <c r="B791" i="18"/>
  <c r="C791" i="18"/>
  <c r="D791" i="18"/>
  <c r="E791" i="18"/>
  <c r="F791" i="18"/>
  <c r="A792" i="18"/>
  <c r="B792" i="18"/>
  <c r="C792" i="18"/>
  <c r="D792" i="18"/>
  <c r="E792" i="18"/>
  <c r="F792" i="18"/>
  <c r="A793" i="18"/>
  <c r="B793" i="18"/>
  <c r="C793" i="18"/>
  <c r="D793" i="18"/>
  <c r="E793" i="18"/>
  <c r="F793" i="18"/>
  <c r="A794" i="18"/>
  <c r="B794" i="18"/>
  <c r="C794" i="18"/>
  <c r="D794" i="18"/>
  <c r="E794" i="18"/>
  <c r="F794" i="18"/>
  <c r="A795" i="18"/>
  <c r="B795" i="18"/>
  <c r="C795" i="18"/>
  <c r="D795" i="18"/>
  <c r="E795" i="18"/>
  <c r="F795" i="18"/>
  <c r="A796" i="18"/>
  <c r="B796" i="18"/>
  <c r="C796" i="18"/>
  <c r="D796" i="18"/>
  <c r="E796" i="18"/>
  <c r="F796" i="18"/>
  <c r="A797" i="18"/>
  <c r="B797" i="18"/>
  <c r="C797" i="18"/>
  <c r="D797" i="18"/>
  <c r="E797" i="18"/>
  <c r="F797" i="18"/>
  <c r="A798" i="18"/>
  <c r="B798" i="18"/>
  <c r="C798" i="18"/>
  <c r="D798" i="18"/>
  <c r="E798" i="18"/>
  <c r="F798" i="18"/>
  <c r="A799" i="18"/>
  <c r="B799" i="18"/>
  <c r="C799" i="18"/>
  <c r="D799" i="18"/>
  <c r="E799" i="18"/>
  <c r="F799" i="18"/>
  <c r="A800" i="18"/>
  <c r="B800" i="18"/>
  <c r="C800" i="18"/>
  <c r="D800" i="18"/>
  <c r="E800" i="18"/>
  <c r="F800" i="18"/>
  <c r="A801" i="18"/>
  <c r="B801" i="18"/>
  <c r="C801" i="18"/>
  <c r="D801" i="18"/>
  <c r="E801" i="18"/>
  <c r="F801" i="18"/>
  <c r="A802" i="18"/>
  <c r="B802" i="18"/>
  <c r="C802" i="18"/>
  <c r="D802" i="18"/>
  <c r="E802" i="18"/>
  <c r="F802" i="18"/>
  <c r="A803" i="18"/>
  <c r="B803" i="18"/>
  <c r="C803" i="18"/>
  <c r="D803" i="18"/>
  <c r="E803" i="18"/>
  <c r="F803" i="18"/>
  <c r="A804" i="18"/>
  <c r="B804" i="18"/>
  <c r="C804" i="18"/>
  <c r="D804" i="18"/>
  <c r="E804" i="18"/>
  <c r="F804" i="18"/>
  <c r="A805" i="18"/>
  <c r="B805" i="18"/>
  <c r="C805" i="18"/>
  <c r="D805" i="18"/>
  <c r="E805" i="18"/>
  <c r="F805" i="18"/>
  <c r="A806" i="18"/>
  <c r="B806" i="18"/>
  <c r="C806" i="18"/>
  <c r="D806" i="18"/>
  <c r="E806" i="18"/>
  <c r="F806" i="18"/>
  <c r="A807" i="18"/>
  <c r="B807" i="18"/>
  <c r="C807" i="18"/>
  <c r="D807" i="18"/>
  <c r="E807" i="18"/>
  <c r="F807" i="18"/>
  <c r="A808" i="18"/>
  <c r="B808" i="18"/>
  <c r="C808" i="18"/>
  <c r="D808" i="18"/>
  <c r="E808" i="18"/>
  <c r="F808" i="18"/>
  <c r="A809" i="18"/>
  <c r="B809" i="18"/>
  <c r="C809" i="18"/>
  <c r="D809" i="18"/>
  <c r="E809" i="18"/>
  <c r="F809" i="18"/>
  <c r="A810" i="18"/>
  <c r="B810" i="18"/>
  <c r="C810" i="18"/>
  <c r="D810" i="18"/>
  <c r="E810" i="18"/>
  <c r="F810" i="18"/>
  <c r="A811" i="18"/>
  <c r="B811" i="18"/>
  <c r="C811" i="18"/>
  <c r="D811" i="18"/>
  <c r="E811" i="18"/>
  <c r="F811" i="18"/>
  <c r="A812" i="18"/>
  <c r="B812" i="18"/>
  <c r="C812" i="18"/>
  <c r="D812" i="18"/>
  <c r="E812" i="18"/>
  <c r="F812" i="18"/>
  <c r="A813" i="18"/>
  <c r="B813" i="18"/>
  <c r="C813" i="18"/>
  <c r="D813" i="18"/>
  <c r="E813" i="18"/>
  <c r="F813" i="18"/>
  <c r="A814" i="18"/>
  <c r="B814" i="18"/>
  <c r="C814" i="18"/>
  <c r="D814" i="18"/>
  <c r="E814" i="18"/>
  <c r="F814" i="18"/>
  <c r="A815" i="18"/>
  <c r="B815" i="18"/>
  <c r="C815" i="18"/>
  <c r="D815" i="18"/>
  <c r="E815" i="18"/>
  <c r="F815" i="18"/>
  <c r="A816" i="18"/>
  <c r="B816" i="18"/>
  <c r="C816" i="18"/>
  <c r="D816" i="18"/>
  <c r="E816" i="18"/>
  <c r="F816" i="18"/>
  <c r="A817" i="18"/>
  <c r="B817" i="18"/>
  <c r="C817" i="18"/>
  <c r="D817" i="18"/>
  <c r="E817" i="18"/>
  <c r="F817" i="18"/>
  <c r="A818" i="18"/>
  <c r="B818" i="18"/>
  <c r="C818" i="18"/>
  <c r="D818" i="18"/>
  <c r="E818" i="18"/>
  <c r="F818" i="18"/>
  <c r="A819" i="18"/>
  <c r="B819" i="18"/>
  <c r="C819" i="18"/>
  <c r="D819" i="18"/>
  <c r="E819" i="18"/>
  <c r="F819" i="18"/>
  <c r="A820" i="18"/>
  <c r="B820" i="18"/>
  <c r="C820" i="18"/>
  <c r="D820" i="18"/>
  <c r="E820" i="18"/>
  <c r="F820" i="18"/>
  <c r="A821" i="18"/>
  <c r="B821" i="18"/>
  <c r="C821" i="18"/>
  <c r="D821" i="18"/>
  <c r="E821" i="18"/>
  <c r="F821" i="18"/>
  <c r="A822" i="18"/>
  <c r="B822" i="18"/>
  <c r="C822" i="18"/>
  <c r="D822" i="18"/>
  <c r="E822" i="18"/>
  <c r="F822" i="18"/>
  <c r="A823" i="18"/>
  <c r="B823" i="18"/>
  <c r="C823" i="18"/>
  <c r="D823" i="18"/>
  <c r="E823" i="18"/>
  <c r="F823" i="18"/>
  <c r="A824" i="18"/>
  <c r="B824" i="18"/>
  <c r="C824" i="18"/>
  <c r="D824" i="18"/>
  <c r="E824" i="18"/>
  <c r="F824" i="18"/>
  <c r="A825" i="18"/>
  <c r="B825" i="18"/>
  <c r="C825" i="18"/>
  <c r="D825" i="18"/>
  <c r="E825" i="18"/>
  <c r="F825" i="18"/>
  <c r="A826" i="18"/>
  <c r="B826" i="18"/>
  <c r="C826" i="18"/>
  <c r="D826" i="18"/>
  <c r="E826" i="18"/>
  <c r="F826" i="18"/>
  <c r="A827" i="18"/>
  <c r="B827" i="18"/>
  <c r="C827" i="18"/>
  <c r="D827" i="18"/>
  <c r="E827" i="18"/>
  <c r="F827" i="18"/>
  <c r="A828" i="18"/>
  <c r="B828" i="18"/>
  <c r="C828" i="18"/>
  <c r="D828" i="18"/>
  <c r="E828" i="18"/>
  <c r="F828" i="18"/>
  <c r="A829" i="18"/>
  <c r="B829" i="18"/>
  <c r="C829" i="18"/>
  <c r="D829" i="18"/>
  <c r="E829" i="18"/>
  <c r="F829" i="18"/>
  <c r="A830" i="18"/>
  <c r="B830" i="18"/>
  <c r="C830" i="18"/>
  <c r="D830" i="18"/>
  <c r="E830" i="18"/>
  <c r="F830" i="18"/>
  <c r="A831" i="18"/>
  <c r="B831" i="18"/>
  <c r="C831" i="18"/>
  <c r="D831" i="18"/>
  <c r="E831" i="18"/>
  <c r="F831" i="18"/>
  <c r="A832" i="18"/>
  <c r="B832" i="18"/>
  <c r="C832" i="18"/>
  <c r="D832" i="18"/>
  <c r="E832" i="18"/>
  <c r="F832" i="18"/>
  <c r="A833" i="18"/>
  <c r="B833" i="18"/>
  <c r="C833" i="18"/>
  <c r="D833" i="18"/>
  <c r="E833" i="18"/>
  <c r="F833" i="18"/>
  <c r="A834" i="18"/>
  <c r="B834" i="18"/>
  <c r="C834" i="18"/>
  <c r="D834" i="18"/>
  <c r="E834" i="18"/>
  <c r="F834" i="18"/>
  <c r="A835" i="18"/>
  <c r="B835" i="18"/>
  <c r="C835" i="18"/>
  <c r="D835" i="18"/>
  <c r="E835" i="18"/>
  <c r="F835" i="18"/>
  <c r="A836" i="18"/>
  <c r="B836" i="18"/>
  <c r="C836" i="18"/>
  <c r="D836" i="18"/>
  <c r="E836" i="18"/>
  <c r="F836" i="18"/>
  <c r="A837" i="18"/>
  <c r="B837" i="18"/>
  <c r="C837" i="18"/>
  <c r="D837" i="18"/>
  <c r="E837" i="18"/>
  <c r="F837" i="18"/>
  <c r="A838" i="18"/>
  <c r="B838" i="18"/>
  <c r="C838" i="18"/>
  <c r="D838" i="18"/>
  <c r="E838" i="18"/>
  <c r="F838" i="18"/>
  <c r="A839" i="18"/>
  <c r="B839" i="18"/>
  <c r="C839" i="18"/>
  <c r="D839" i="18"/>
  <c r="E839" i="18"/>
  <c r="F839" i="18"/>
  <c r="A840" i="18"/>
  <c r="B840" i="18"/>
  <c r="C840" i="18"/>
  <c r="D840" i="18"/>
  <c r="E840" i="18"/>
  <c r="F840" i="18"/>
  <c r="A841" i="18"/>
  <c r="B841" i="18"/>
  <c r="C841" i="18"/>
  <c r="D841" i="18"/>
  <c r="E841" i="18"/>
  <c r="F841" i="18"/>
  <c r="A842" i="18"/>
  <c r="B842" i="18"/>
  <c r="C842" i="18"/>
  <c r="D842" i="18"/>
  <c r="E842" i="18"/>
  <c r="F842" i="18"/>
  <c r="A843" i="18"/>
  <c r="B843" i="18"/>
  <c r="C843" i="18"/>
  <c r="D843" i="18"/>
  <c r="E843" i="18"/>
  <c r="F843" i="18"/>
  <c r="A844" i="18"/>
  <c r="B844" i="18"/>
  <c r="C844" i="18"/>
  <c r="D844" i="18"/>
  <c r="E844" i="18"/>
  <c r="F844" i="18"/>
  <c r="A845" i="18"/>
  <c r="B845" i="18"/>
  <c r="C845" i="18"/>
  <c r="D845" i="18"/>
  <c r="E845" i="18"/>
  <c r="F845" i="18"/>
  <c r="A846" i="18"/>
  <c r="B846" i="18"/>
  <c r="C846" i="18"/>
  <c r="D846" i="18"/>
  <c r="E846" i="18"/>
  <c r="F846" i="18"/>
  <c r="A847" i="18"/>
  <c r="B847" i="18"/>
  <c r="C847" i="18"/>
  <c r="D847" i="18"/>
  <c r="E847" i="18"/>
  <c r="F847" i="18"/>
  <c r="A848" i="18"/>
  <c r="B848" i="18"/>
  <c r="C848" i="18"/>
  <c r="D848" i="18"/>
  <c r="E848" i="18"/>
  <c r="F848" i="18"/>
  <c r="A849" i="18"/>
  <c r="B849" i="18"/>
  <c r="C849" i="18"/>
  <c r="D849" i="18"/>
  <c r="E849" i="18"/>
  <c r="F849" i="18"/>
  <c r="A850" i="18"/>
  <c r="B850" i="18"/>
  <c r="C850" i="18"/>
  <c r="D850" i="18"/>
  <c r="E850" i="18"/>
  <c r="F850" i="18"/>
  <c r="A851" i="18"/>
  <c r="B851" i="18"/>
  <c r="C851" i="18"/>
  <c r="D851" i="18"/>
  <c r="E851" i="18"/>
  <c r="F851" i="18"/>
  <c r="A852" i="18"/>
  <c r="B852" i="18"/>
  <c r="C852" i="18"/>
  <c r="D852" i="18"/>
  <c r="E852" i="18"/>
  <c r="F852" i="18"/>
  <c r="A853" i="18"/>
  <c r="B853" i="18"/>
  <c r="C853" i="18"/>
  <c r="D853" i="18"/>
  <c r="E853" i="18"/>
  <c r="F853" i="18"/>
  <c r="A854" i="18"/>
  <c r="B854" i="18"/>
  <c r="C854" i="18"/>
  <c r="D854" i="18"/>
  <c r="E854" i="18"/>
  <c r="F854" i="18"/>
  <c r="A855" i="18"/>
  <c r="B855" i="18"/>
  <c r="C855" i="18"/>
  <c r="D855" i="18"/>
  <c r="E855" i="18"/>
  <c r="F855" i="18"/>
  <c r="A856" i="18"/>
  <c r="B856" i="18"/>
  <c r="C856" i="18"/>
  <c r="D856" i="18"/>
  <c r="E856" i="18"/>
  <c r="F856" i="18"/>
  <c r="A857" i="18"/>
  <c r="B857" i="18"/>
  <c r="C857" i="18"/>
  <c r="D857" i="18"/>
  <c r="E857" i="18"/>
  <c r="F857" i="18"/>
  <c r="A858" i="18"/>
  <c r="B858" i="18"/>
  <c r="C858" i="18"/>
  <c r="D858" i="18"/>
  <c r="E858" i="18"/>
  <c r="F858" i="18"/>
  <c r="A859" i="18"/>
  <c r="B859" i="18"/>
  <c r="C859" i="18"/>
  <c r="D859" i="18"/>
  <c r="E859" i="18"/>
  <c r="F859" i="18"/>
  <c r="A860" i="18"/>
  <c r="B860" i="18"/>
  <c r="C860" i="18"/>
  <c r="D860" i="18"/>
  <c r="E860" i="18"/>
  <c r="F860" i="18"/>
  <c r="A861" i="18"/>
  <c r="B861" i="18"/>
  <c r="C861" i="18"/>
  <c r="D861" i="18"/>
  <c r="E861" i="18"/>
  <c r="F861" i="18"/>
  <c r="A862" i="18"/>
  <c r="B862" i="18"/>
  <c r="C862" i="18"/>
  <c r="D862" i="18"/>
  <c r="E862" i="18"/>
  <c r="F862" i="18"/>
  <c r="A863" i="18"/>
  <c r="B863" i="18"/>
  <c r="C863" i="18"/>
  <c r="D863" i="18"/>
  <c r="E863" i="18"/>
  <c r="F863" i="18"/>
  <c r="A864" i="18"/>
  <c r="B864" i="18"/>
  <c r="C864" i="18"/>
  <c r="D864" i="18"/>
  <c r="E864" i="18"/>
  <c r="F864" i="18"/>
  <c r="A865" i="18"/>
  <c r="B865" i="18"/>
  <c r="C865" i="18"/>
  <c r="D865" i="18"/>
  <c r="E865" i="18"/>
  <c r="F865" i="18"/>
  <c r="A866" i="18"/>
  <c r="B866" i="18"/>
  <c r="C866" i="18"/>
  <c r="D866" i="18"/>
  <c r="E866" i="18"/>
  <c r="F866" i="18"/>
  <c r="A867" i="18"/>
  <c r="B867" i="18"/>
  <c r="C867" i="18"/>
  <c r="D867" i="18"/>
  <c r="E867" i="18"/>
  <c r="F867" i="18"/>
  <c r="A868" i="18"/>
  <c r="B868" i="18"/>
  <c r="C868" i="18"/>
  <c r="D868" i="18"/>
  <c r="E868" i="18"/>
  <c r="F868" i="18"/>
  <c r="A869" i="18"/>
  <c r="B869" i="18"/>
  <c r="C869" i="18"/>
  <c r="D869" i="18"/>
  <c r="E869" i="18"/>
  <c r="F869" i="18"/>
  <c r="A870" i="18"/>
  <c r="B870" i="18"/>
  <c r="C870" i="18"/>
  <c r="D870" i="18"/>
  <c r="E870" i="18"/>
  <c r="F870" i="18"/>
  <c r="A871" i="18"/>
  <c r="B871" i="18"/>
  <c r="C871" i="18"/>
  <c r="D871" i="18"/>
  <c r="E871" i="18"/>
  <c r="F871" i="18"/>
  <c r="A872" i="18"/>
  <c r="B872" i="18"/>
  <c r="C872" i="18"/>
  <c r="D872" i="18"/>
  <c r="E872" i="18"/>
  <c r="F872" i="18"/>
  <c r="A873" i="18"/>
  <c r="B873" i="18"/>
  <c r="C873" i="18"/>
  <c r="D873" i="18"/>
  <c r="E873" i="18"/>
  <c r="F873" i="18"/>
  <c r="A874" i="18"/>
  <c r="B874" i="18"/>
  <c r="C874" i="18"/>
  <c r="D874" i="18"/>
  <c r="E874" i="18"/>
  <c r="F874" i="18"/>
  <c r="A875" i="18"/>
  <c r="B875" i="18"/>
  <c r="C875" i="18"/>
  <c r="D875" i="18"/>
  <c r="E875" i="18"/>
  <c r="F875" i="18"/>
  <c r="A876" i="18"/>
  <c r="B876" i="18"/>
  <c r="C876" i="18"/>
  <c r="D876" i="18"/>
  <c r="E876" i="18"/>
  <c r="F876" i="18"/>
  <c r="A877" i="18"/>
  <c r="B877" i="18"/>
  <c r="C877" i="18"/>
  <c r="D877" i="18"/>
  <c r="E877" i="18"/>
  <c r="F877" i="18"/>
  <c r="A878" i="18"/>
  <c r="B878" i="18"/>
  <c r="C878" i="18"/>
  <c r="D878" i="18"/>
  <c r="E878" i="18"/>
  <c r="F878" i="18"/>
  <c r="A879" i="18"/>
  <c r="B879" i="18"/>
  <c r="C879" i="18"/>
  <c r="D879" i="18"/>
  <c r="E879" i="18"/>
  <c r="F879" i="18"/>
  <c r="A880" i="18"/>
  <c r="B880" i="18"/>
  <c r="C880" i="18"/>
  <c r="D880" i="18"/>
  <c r="E880" i="18"/>
  <c r="F880" i="18"/>
  <c r="A881" i="18"/>
  <c r="B881" i="18"/>
  <c r="C881" i="18"/>
  <c r="D881" i="18"/>
  <c r="E881" i="18"/>
  <c r="F881" i="18"/>
  <c r="A882" i="18"/>
  <c r="B882" i="18"/>
  <c r="C882" i="18"/>
  <c r="D882" i="18"/>
  <c r="E882" i="18"/>
  <c r="F882" i="18"/>
  <c r="A883" i="18"/>
  <c r="B883" i="18"/>
  <c r="C883" i="18"/>
  <c r="D883" i="18"/>
  <c r="E883" i="18"/>
  <c r="F883" i="18"/>
  <c r="A884" i="18"/>
  <c r="B884" i="18"/>
  <c r="C884" i="18"/>
  <c r="D884" i="18"/>
  <c r="E884" i="18"/>
  <c r="F884" i="18"/>
  <c r="A885" i="18"/>
  <c r="B885" i="18"/>
  <c r="C885" i="18"/>
  <c r="D885" i="18"/>
  <c r="E885" i="18"/>
  <c r="F885" i="18"/>
  <c r="A886" i="18"/>
  <c r="B886" i="18"/>
  <c r="C886" i="18"/>
  <c r="D886" i="18"/>
  <c r="E886" i="18"/>
  <c r="F886" i="18"/>
  <c r="A887" i="18"/>
  <c r="B887" i="18"/>
  <c r="C887" i="18"/>
  <c r="D887" i="18"/>
  <c r="E887" i="18"/>
  <c r="F887" i="18"/>
  <c r="A888" i="18"/>
  <c r="B888" i="18"/>
  <c r="C888" i="18"/>
  <c r="D888" i="18"/>
  <c r="E888" i="18"/>
  <c r="F888" i="18"/>
  <c r="A889" i="18"/>
  <c r="B889" i="18"/>
  <c r="C889" i="18"/>
  <c r="D889" i="18"/>
  <c r="E889" i="18"/>
  <c r="F889" i="18"/>
  <c r="A890" i="18"/>
  <c r="B890" i="18"/>
  <c r="C890" i="18"/>
  <c r="D890" i="18"/>
  <c r="E890" i="18"/>
  <c r="F890" i="18"/>
  <c r="A891" i="18"/>
  <c r="B891" i="18"/>
  <c r="C891" i="18"/>
  <c r="D891" i="18"/>
  <c r="E891" i="18"/>
  <c r="F891" i="18"/>
  <c r="A892" i="18"/>
  <c r="B892" i="18"/>
  <c r="C892" i="18"/>
  <c r="D892" i="18"/>
  <c r="E892" i="18"/>
  <c r="F892" i="18"/>
  <c r="A893" i="18"/>
  <c r="B893" i="18"/>
  <c r="C893" i="18"/>
  <c r="D893" i="18"/>
  <c r="E893" i="18"/>
  <c r="F893" i="18"/>
  <c r="A894" i="18"/>
  <c r="B894" i="18"/>
  <c r="C894" i="18"/>
  <c r="D894" i="18"/>
  <c r="E894" i="18"/>
  <c r="F894" i="18"/>
  <c r="A895" i="18"/>
  <c r="B895" i="18"/>
  <c r="C895" i="18"/>
  <c r="D895" i="18"/>
  <c r="E895" i="18"/>
  <c r="F895" i="18"/>
  <c r="A896" i="18"/>
  <c r="B896" i="18"/>
  <c r="C896" i="18"/>
  <c r="D896" i="18"/>
  <c r="E896" i="18"/>
  <c r="F896" i="18"/>
  <c r="A897" i="18"/>
  <c r="B897" i="18"/>
  <c r="C897" i="18"/>
  <c r="D897" i="18"/>
  <c r="E897" i="18"/>
  <c r="F897" i="18"/>
  <c r="A898" i="18"/>
  <c r="B898" i="18"/>
  <c r="C898" i="18"/>
  <c r="D898" i="18"/>
  <c r="E898" i="18"/>
  <c r="F898" i="18"/>
  <c r="A899" i="18"/>
  <c r="B899" i="18"/>
  <c r="C899" i="18"/>
  <c r="D899" i="18"/>
  <c r="E899" i="18"/>
  <c r="F899" i="18"/>
  <c r="A900" i="18"/>
  <c r="B900" i="18"/>
  <c r="C900" i="18"/>
  <c r="D900" i="18"/>
  <c r="E900" i="18"/>
  <c r="F900" i="18"/>
  <c r="A901" i="18"/>
  <c r="B901" i="18"/>
  <c r="C901" i="18"/>
  <c r="D901" i="18"/>
  <c r="E901" i="18"/>
  <c r="F901" i="18"/>
  <c r="A902" i="18"/>
  <c r="B902" i="18"/>
  <c r="C902" i="18"/>
  <c r="D902" i="18"/>
  <c r="E902" i="18"/>
  <c r="F902" i="18"/>
  <c r="A903" i="18"/>
  <c r="B903" i="18"/>
  <c r="C903" i="18"/>
  <c r="D903" i="18"/>
  <c r="E903" i="18"/>
  <c r="F903" i="18"/>
  <c r="A904" i="18"/>
  <c r="B904" i="18"/>
  <c r="C904" i="18"/>
  <c r="D904" i="18"/>
  <c r="E904" i="18"/>
  <c r="F904" i="18"/>
  <c r="A905" i="18"/>
  <c r="B905" i="18"/>
  <c r="C905" i="18"/>
  <c r="D905" i="18"/>
  <c r="E905" i="18"/>
  <c r="F905" i="18"/>
  <c r="A906" i="18"/>
  <c r="B906" i="18"/>
  <c r="C906" i="18"/>
  <c r="D906" i="18"/>
  <c r="E906" i="18"/>
  <c r="F906" i="18"/>
  <c r="A907" i="18"/>
  <c r="B907" i="18"/>
  <c r="C907" i="18"/>
  <c r="D907" i="18"/>
  <c r="E907" i="18"/>
  <c r="F907" i="18"/>
  <c r="A908" i="18"/>
  <c r="B908" i="18"/>
  <c r="C908" i="18"/>
  <c r="D908" i="18"/>
  <c r="E908" i="18"/>
  <c r="F908" i="18"/>
  <c r="A909" i="18"/>
  <c r="B909" i="18"/>
  <c r="C909" i="18"/>
  <c r="D909" i="18"/>
  <c r="E909" i="18"/>
  <c r="F909" i="18"/>
  <c r="A910" i="18"/>
  <c r="B910" i="18"/>
  <c r="C910" i="18"/>
  <c r="D910" i="18"/>
  <c r="E910" i="18"/>
  <c r="F910" i="18"/>
  <c r="A911" i="18"/>
  <c r="B911" i="18"/>
  <c r="C911" i="18"/>
  <c r="D911" i="18"/>
  <c r="E911" i="18"/>
  <c r="F911" i="18"/>
  <c r="A912" i="18"/>
  <c r="B912" i="18"/>
  <c r="C912" i="18"/>
  <c r="D912" i="18"/>
  <c r="E912" i="18"/>
  <c r="F912" i="18"/>
  <c r="A913" i="18"/>
  <c r="B913" i="18"/>
  <c r="C913" i="18"/>
  <c r="D913" i="18"/>
  <c r="E913" i="18"/>
  <c r="F913" i="18"/>
  <c r="A914" i="18"/>
  <c r="B914" i="18"/>
  <c r="C914" i="18"/>
  <c r="D914" i="18"/>
  <c r="E914" i="18"/>
  <c r="F914" i="18"/>
  <c r="A915" i="18"/>
  <c r="B915" i="18"/>
  <c r="C915" i="18"/>
  <c r="D915" i="18"/>
  <c r="E915" i="18"/>
  <c r="F915" i="18"/>
  <c r="A916" i="18"/>
  <c r="B916" i="18"/>
  <c r="C916" i="18"/>
  <c r="D916" i="18"/>
  <c r="E916" i="18"/>
  <c r="F916" i="18"/>
  <c r="A917" i="18"/>
  <c r="B917" i="18"/>
  <c r="C917" i="18"/>
  <c r="D917" i="18"/>
  <c r="E917" i="18"/>
  <c r="F917" i="18"/>
  <c r="A918" i="18"/>
  <c r="B918" i="18"/>
  <c r="C918" i="18"/>
  <c r="D918" i="18"/>
  <c r="E918" i="18"/>
  <c r="F918" i="18"/>
  <c r="A919" i="18"/>
  <c r="B919" i="18"/>
  <c r="C919" i="18"/>
  <c r="D919" i="18"/>
  <c r="E919" i="18"/>
  <c r="F919" i="18"/>
  <c r="A920" i="18"/>
  <c r="B920" i="18"/>
  <c r="C920" i="18"/>
  <c r="D920" i="18"/>
  <c r="E920" i="18"/>
  <c r="F920" i="18"/>
  <c r="A921" i="18"/>
  <c r="B921" i="18"/>
  <c r="C921" i="18"/>
  <c r="D921" i="18"/>
  <c r="E921" i="18"/>
  <c r="F921" i="18"/>
  <c r="A922" i="18"/>
  <c r="B922" i="18"/>
  <c r="C922" i="18"/>
  <c r="D922" i="18"/>
  <c r="E922" i="18"/>
  <c r="F922" i="18"/>
  <c r="A923" i="18"/>
  <c r="B923" i="18"/>
  <c r="C923" i="18"/>
  <c r="D923" i="18"/>
  <c r="E923" i="18"/>
  <c r="F923" i="18"/>
  <c r="A924" i="18"/>
  <c r="B924" i="18"/>
  <c r="C924" i="18"/>
  <c r="D924" i="18"/>
  <c r="E924" i="18"/>
  <c r="F924" i="18"/>
  <c r="A925" i="18"/>
  <c r="B925" i="18"/>
  <c r="C925" i="18"/>
  <c r="D925" i="18"/>
  <c r="E925" i="18"/>
  <c r="F925" i="18"/>
  <c r="A926" i="18"/>
  <c r="B926" i="18"/>
  <c r="C926" i="18"/>
  <c r="D926" i="18"/>
  <c r="E926" i="18"/>
  <c r="F926" i="18"/>
  <c r="A927" i="18"/>
  <c r="B927" i="18"/>
  <c r="C927" i="18"/>
  <c r="D927" i="18"/>
  <c r="E927" i="18"/>
  <c r="F927" i="18"/>
  <c r="A928" i="18"/>
  <c r="B928" i="18"/>
  <c r="C928" i="18"/>
  <c r="D928" i="18"/>
  <c r="E928" i="18"/>
  <c r="F928" i="18"/>
  <c r="A929" i="18"/>
  <c r="B929" i="18"/>
  <c r="C929" i="18"/>
  <c r="D929" i="18"/>
  <c r="E929" i="18"/>
  <c r="F929" i="18"/>
  <c r="A930" i="18"/>
  <c r="B930" i="18"/>
  <c r="C930" i="18"/>
  <c r="D930" i="18"/>
  <c r="E930" i="18"/>
  <c r="F930" i="18"/>
  <c r="A931" i="18"/>
  <c r="B931" i="18"/>
  <c r="C931" i="18"/>
  <c r="D931" i="18"/>
  <c r="E931" i="18"/>
  <c r="F931" i="18"/>
  <c r="A932" i="18"/>
  <c r="B932" i="18"/>
  <c r="C932" i="18"/>
  <c r="D932" i="18"/>
  <c r="E932" i="18"/>
  <c r="F932" i="18"/>
  <c r="A933" i="18"/>
  <c r="B933" i="18"/>
  <c r="C933" i="18"/>
  <c r="D933" i="18"/>
  <c r="E933" i="18"/>
  <c r="F933" i="18"/>
  <c r="A934" i="18"/>
  <c r="B934" i="18"/>
  <c r="C934" i="18"/>
  <c r="D934" i="18"/>
  <c r="E934" i="18"/>
  <c r="F934" i="18"/>
  <c r="A935" i="18"/>
  <c r="B935" i="18"/>
  <c r="C935" i="18"/>
  <c r="D935" i="18"/>
  <c r="E935" i="18"/>
  <c r="F935" i="18"/>
  <c r="A936" i="18"/>
  <c r="B936" i="18"/>
  <c r="C936" i="18"/>
  <c r="D936" i="18"/>
  <c r="E936" i="18"/>
  <c r="F936" i="18"/>
  <c r="A937" i="18"/>
  <c r="B937" i="18"/>
  <c r="C937" i="18"/>
  <c r="D937" i="18"/>
  <c r="E937" i="18"/>
  <c r="F937" i="18"/>
  <c r="A938" i="18"/>
  <c r="B938" i="18"/>
  <c r="C938" i="18"/>
  <c r="D938" i="18"/>
  <c r="E938" i="18"/>
  <c r="F938" i="18"/>
  <c r="A939" i="18"/>
  <c r="B939" i="18"/>
  <c r="C939" i="18"/>
  <c r="D939" i="18"/>
  <c r="E939" i="18"/>
  <c r="F939" i="18"/>
  <c r="A940" i="18"/>
  <c r="B940" i="18"/>
  <c r="C940" i="18"/>
  <c r="D940" i="18"/>
  <c r="E940" i="18"/>
  <c r="F940" i="18"/>
  <c r="A941" i="18"/>
  <c r="B941" i="18"/>
  <c r="C941" i="18"/>
  <c r="D941" i="18"/>
  <c r="E941" i="18"/>
  <c r="F941" i="18"/>
  <c r="A942" i="18"/>
  <c r="B942" i="18"/>
  <c r="C942" i="18"/>
  <c r="D942" i="18"/>
  <c r="E942" i="18"/>
  <c r="F942" i="18"/>
  <c r="A943" i="18"/>
  <c r="B943" i="18"/>
  <c r="C943" i="18"/>
  <c r="D943" i="18"/>
  <c r="E943" i="18"/>
  <c r="F943" i="18"/>
  <c r="A944" i="18"/>
  <c r="B944" i="18"/>
  <c r="C944" i="18"/>
  <c r="D944" i="18"/>
  <c r="E944" i="18"/>
  <c r="F944" i="18"/>
  <c r="A945" i="18"/>
  <c r="B945" i="18"/>
  <c r="C945" i="18"/>
  <c r="D945" i="18"/>
  <c r="E945" i="18"/>
  <c r="F945" i="18"/>
  <c r="A946" i="18"/>
  <c r="B946" i="18"/>
  <c r="C946" i="18"/>
  <c r="D946" i="18"/>
  <c r="E946" i="18"/>
  <c r="F946" i="18"/>
  <c r="A947" i="18"/>
  <c r="B947" i="18"/>
  <c r="C947" i="18"/>
  <c r="D947" i="18"/>
  <c r="E947" i="18"/>
  <c r="F947" i="18"/>
  <c r="A948" i="18"/>
  <c r="B948" i="18"/>
  <c r="C948" i="18"/>
  <c r="D948" i="18"/>
  <c r="E948" i="18"/>
  <c r="F948" i="18"/>
  <c r="A949" i="18"/>
  <c r="B949" i="18"/>
  <c r="C949" i="18"/>
  <c r="D949" i="18"/>
  <c r="E949" i="18"/>
  <c r="F949" i="18"/>
  <c r="A950" i="18"/>
  <c r="B950" i="18"/>
  <c r="C950" i="18"/>
  <c r="D950" i="18"/>
  <c r="E950" i="18"/>
  <c r="F950" i="18"/>
  <c r="A951" i="18"/>
  <c r="B951" i="18"/>
  <c r="C951" i="18"/>
  <c r="D951" i="18"/>
  <c r="E951" i="18"/>
  <c r="F951" i="18"/>
  <c r="A952" i="18"/>
  <c r="B952" i="18"/>
  <c r="C952" i="18"/>
  <c r="D952" i="18"/>
  <c r="E952" i="18"/>
  <c r="F952" i="18"/>
  <c r="A953" i="18"/>
  <c r="B953" i="18"/>
  <c r="C953" i="18"/>
  <c r="D953" i="18"/>
  <c r="E953" i="18"/>
  <c r="F953" i="18"/>
  <c r="A954" i="18"/>
  <c r="B954" i="18"/>
  <c r="C954" i="18"/>
  <c r="D954" i="18"/>
  <c r="E954" i="18"/>
  <c r="F954" i="18"/>
  <c r="A955" i="18"/>
  <c r="B955" i="18"/>
  <c r="C955" i="18"/>
  <c r="D955" i="18"/>
  <c r="E955" i="18"/>
  <c r="F955" i="18"/>
  <c r="A956" i="18"/>
  <c r="B956" i="18"/>
  <c r="C956" i="18"/>
  <c r="D956" i="18"/>
  <c r="E956" i="18"/>
  <c r="F956" i="18"/>
  <c r="A957" i="18"/>
  <c r="B957" i="18"/>
  <c r="C957" i="18"/>
  <c r="D957" i="18"/>
  <c r="E957" i="18"/>
  <c r="F957" i="18"/>
  <c r="A958" i="18"/>
  <c r="B958" i="18"/>
  <c r="C958" i="18"/>
  <c r="D958" i="18"/>
  <c r="E958" i="18"/>
  <c r="F958" i="18"/>
  <c r="A959" i="18"/>
  <c r="B959" i="18"/>
  <c r="C959" i="18"/>
  <c r="D959" i="18"/>
  <c r="E959" i="18"/>
  <c r="F959" i="18"/>
  <c r="A960" i="18"/>
  <c r="B960" i="18"/>
  <c r="C960" i="18"/>
  <c r="D960" i="18"/>
  <c r="E960" i="18"/>
  <c r="F960" i="18"/>
  <c r="A961" i="18"/>
  <c r="B961" i="18"/>
  <c r="C961" i="18"/>
  <c r="D961" i="18"/>
  <c r="E961" i="18"/>
  <c r="F961" i="18"/>
  <c r="A962" i="18"/>
  <c r="B962" i="18"/>
  <c r="C962" i="18"/>
  <c r="D962" i="18"/>
  <c r="E962" i="18"/>
  <c r="F962" i="18"/>
  <c r="A963" i="18"/>
  <c r="B963" i="18"/>
  <c r="C963" i="18"/>
  <c r="D963" i="18"/>
  <c r="E963" i="18"/>
  <c r="F963" i="18"/>
  <c r="A964" i="18"/>
  <c r="B964" i="18"/>
  <c r="C964" i="18"/>
  <c r="D964" i="18"/>
  <c r="E964" i="18"/>
  <c r="F964" i="18"/>
  <c r="A965" i="18"/>
  <c r="B965" i="18"/>
  <c r="C965" i="18"/>
  <c r="D965" i="18"/>
  <c r="E965" i="18"/>
  <c r="F965" i="18"/>
  <c r="A966" i="18"/>
  <c r="B966" i="18"/>
  <c r="C966" i="18"/>
  <c r="D966" i="18"/>
  <c r="E966" i="18"/>
  <c r="F966" i="18"/>
  <c r="A967" i="18"/>
  <c r="B967" i="18"/>
  <c r="C967" i="18"/>
  <c r="D967" i="18"/>
  <c r="E967" i="18"/>
  <c r="F967" i="18"/>
  <c r="A968" i="18"/>
  <c r="B968" i="18"/>
  <c r="C968" i="18"/>
  <c r="D968" i="18"/>
  <c r="E968" i="18"/>
  <c r="F968" i="18"/>
  <c r="A969" i="18"/>
  <c r="B969" i="18"/>
  <c r="C969" i="18"/>
  <c r="D969" i="18"/>
  <c r="E969" i="18"/>
  <c r="F969" i="18"/>
  <c r="A970" i="18"/>
  <c r="B970" i="18"/>
  <c r="C970" i="18"/>
  <c r="D970" i="18"/>
  <c r="E970" i="18"/>
  <c r="F970" i="18"/>
  <c r="A971" i="18"/>
  <c r="B971" i="18"/>
  <c r="C971" i="18"/>
  <c r="D971" i="18"/>
  <c r="E971" i="18"/>
  <c r="F971" i="18"/>
  <c r="A972" i="18"/>
  <c r="B972" i="18"/>
  <c r="C972" i="18"/>
  <c r="D972" i="18"/>
  <c r="E972" i="18"/>
  <c r="F972" i="18"/>
  <c r="A973" i="18"/>
  <c r="B973" i="18"/>
  <c r="C973" i="18"/>
  <c r="D973" i="18"/>
  <c r="E973" i="18"/>
  <c r="F973" i="18"/>
  <c r="A974" i="18"/>
  <c r="B974" i="18"/>
  <c r="C974" i="18"/>
  <c r="D974" i="18"/>
  <c r="E974" i="18"/>
  <c r="F974" i="18"/>
  <c r="A975" i="18"/>
  <c r="B975" i="18"/>
  <c r="C975" i="18"/>
  <c r="D975" i="18"/>
  <c r="E975" i="18"/>
  <c r="F975" i="18"/>
  <c r="A976" i="18"/>
  <c r="B976" i="18"/>
  <c r="C976" i="18"/>
  <c r="D976" i="18"/>
  <c r="E976" i="18"/>
  <c r="F976" i="18"/>
  <c r="A977" i="18"/>
  <c r="B977" i="18"/>
  <c r="C977" i="18"/>
  <c r="D977" i="18"/>
  <c r="E977" i="18"/>
  <c r="F977" i="18"/>
  <c r="A978" i="18"/>
  <c r="B978" i="18"/>
  <c r="C978" i="18"/>
  <c r="D978" i="18"/>
  <c r="E978" i="18"/>
  <c r="F978" i="18"/>
  <c r="A979" i="18"/>
  <c r="B979" i="18"/>
  <c r="C979" i="18"/>
  <c r="D979" i="18"/>
  <c r="E979" i="18"/>
  <c r="F979" i="18"/>
  <c r="A980" i="18"/>
  <c r="B980" i="18"/>
  <c r="C980" i="18"/>
  <c r="D980" i="18"/>
  <c r="E980" i="18"/>
  <c r="F980" i="18"/>
  <c r="A981" i="18"/>
  <c r="B981" i="18"/>
  <c r="C981" i="18"/>
  <c r="D981" i="18"/>
  <c r="E981" i="18"/>
  <c r="F981" i="18"/>
  <c r="A982" i="18"/>
  <c r="B982" i="18"/>
  <c r="C982" i="18"/>
  <c r="D982" i="18"/>
  <c r="E982" i="18"/>
  <c r="F982" i="18"/>
  <c r="A983" i="18"/>
  <c r="B983" i="18"/>
  <c r="C983" i="18"/>
  <c r="D983" i="18"/>
  <c r="E983" i="18"/>
  <c r="F983" i="18"/>
  <c r="A984" i="18"/>
  <c r="B984" i="18"/>
  <c r="C984" i="18"/>
  <c r="D984" i="18"/>
  <c r="E984" i="18"/>
  <c r="F984" i="18"/>
  <c r="A985" i="18"/>
  <c r="B985" i="18"/>
  <c r="C985" i="18"/>
  <c r="D985" i="18"/>
  <c r="E985" i="18"/>
  <c r="F985" i="18"/>
  <c r="A986" i="18"/>
  <c r="B986" i="18"/>
  <c r="C986" i="18"/>
  <c r="D986" i="18"/>
  <c r="E986" i="18"/>
  <c r="F986" i="18"/>
  <c r="A987" i="18"/>
  <c r="B987" i="18"/>
  <c r="C987" i="18"/>
  <c r="D987" i="18"/>
  <c r="E987" i="18"/>
  <c r="F987" i="18"/>
  <c r="A988" i="18"/>
  <c r="B988" i="18"/>
  <c r="C988" i="18"/>
  <c r="D988" i="18"/>
  <c r="E988" i="18"/>
  <c r="F988" i="18"/>
  <c r="A989" i="18"/>
  <c r="B989" i="18"/>
  <c r="C989" i="18"/>
  <c r="D989" i="18"/>
  <c r="E989" i="18"/>
  <c r="F989" i="18"/>
  <c r="A990" i="18"/>
  <c r="B990" i="18"/>
  <c r="C990" i="18"/>
  <c r="D990" i="18"/>
  <c r="E990" i="18"/>
  <c r="F990" i="18"/>
  <c r="A991" i="18"/>
  <c r="B991" i="18"/>
  <c r="C991" i="18"/>
  <c r="D991" i="18"/>
  <c r="E991" i="18"/>
  <c r="F991" i="18"/>
  <c r="A992" i="18"/>
  <c r="B992" i="18"/>
  <c r="C992" i="18"/>
  <c r="D992" i="18"/>
  <c r="E992" i="18"/>
  <c r="F992" i="18"/>
  <c r="A993" i="18"/>
  <c r="B993" i="18"/>
  <c r="C993" i="18"/>
  <c r="D993" i="18"/>
  <c r="E993" i="18"/>
  <c r="F993" i="18"/>
  <c r="A994" i="18"/>
  <c r="B994" i="18"/>
  <c r="C994" i="18"/>
  <c r="D994" i="18"/>
  <c r="E994" i="18"/>
  <c r="F994" i="18"/>
  <c r="A995" i="18"/>
  <c r="B995" i="18"/>
  <c r="C995" i="18"/>
  <c r="D995" i="18"/>
  <c r="E995" i="18"/>
  <c r="F995" i="18"/>
  <c r="A996" i="18"/>
  <c r="B996" i="18"/>
  <c r="C996" i="18"/>
  <c r="D996" i="18"/>
  <c r="E996" i="18"/>
  <c r="F996" i="18"/>
  <c r="A997" i="18"/>
  <c r="B997" i="18"/>
  <c r="C997" i="18"/>
  <c r="D997" i="18"/>
  <c r="E997" i="18"/>
  <c r="F997" i="18"/>
  <c r="A998" i="18"/>
  <c r="B998" i="18"/>
  <c r="C998" i="18"/>
  <c r="D998" i="18"/>
  <c r="E998" i="18"/>
  <c r="F998" i="18"/>
  <c r="A999" i="18"/>
  <c r="B999" i="18"/>
  <c r="C999" i="18"/>
  <c r="D999" i="18"/>
  <c r="E999" i="18"/>
  <c r="F999" i="18"/>
  <c r="A1000" i="18"/>
  <c r="B1000" i="18"/>
  <c r="C1000" i="18"/>
  <c r="D1000" i="18"/>
  <c r="E1000" i="18"/>
  <c r="F1000" i="18"/>
  <c r="O2" i="15" l="1"/>
  <c r="O1" i="15"/>
  <c r="O6" i="15" s="1"/>
  <c r="AM21" i="15"/>
  <c r="A6" i="18" l="1"/>
  <c r="B6" i="18"/>
  <c r="P2" i="15"/>
  <c r="P1" i="15"/>
  <c r="P6" i="15" s="1"/>
  <c r="F5" i="18" l="1"/>
  <c r="C4" i="18"/>
  <c r="A4" i="18"/>
  <c r="A5" i="18"/>
  <c r="E4" i="18"/>
  <c r="D5" i="18"/>
  <c r="E5" i="18" l="1"/>
  <c r="F4" i="18"/>
  <c r="AM20" i="15" s="1"/>
  <c r="C5" i="18"/>
  <c r="D4" i="18"/>
  <c r="AL20" i="15" s="1"/>
  <c r="AM22" i="15" l="1"/>
  <c r="AM23" i="15" s="1"/>
  <c r="AL22" i="15"/>
  <c r="AL23" i="15" s="1"/>
  <c r="AK22" i="15" l="1"/>
  <c r="AK23" i="15" s="1"/>
  <c r="Q2" i="15"/>
  <c r="Q1" i="15"/>
  <c r="AM26" i="15"/>
  <c r="AL26" i="15"/>
  <c r="AL21" i="15" s="1"/>
  <c r="AK26" i="15"/>
  <c r="AK25" i="15"/>
  <c r="AL25" i="15"/>
  <c r="AM25" i="15"/>
  <c r="N4" i="15" l="1"/>
  <c r="B4" i="18" l="1"/>
  <c r="B5" i="18"/>
  <c r="AK20" i="15" l="1"/>
  <c r="AK21" i="15" s="1"/>
  <c r="AD41" i="15"/>
  <c r="JY2" i="4"/>
  <c r="JY1" i="4"/>
  <c r="JX3" i="4"/>
  <c r="JX2" i="4"/>
  <c r="JW2" i="4"/>
  <c r="JW1" i="4"/>
  <c r="JV3" i="4"/>
  <c r="JV2" i="4"/>
  <c r="JU2" i="4"/>
  <c r="JU1" i="4"/>
  <c r="JT3" i="4"/>
  <c r="JT2" i="4"/>
  <c r="JS2" i="4"/>
  <c r="JS1" i="4"/>
  <c r="JR3" i="4"/>
  <c r="JR2" i="4"/>
  <c r="JQ2" i="4"/>
  <c r="JQ1" i="4"/>
  <c r="JP3" i="4"/>
  <c r="JP2" i="4"/>
  <c r="JO2" i="4"/>
  <c r="JO1" i="4"/>
  <c r="JN3" i="4"/>
  <c r="JN2" i="4"/>
  <c r="JM2" i="4"/>
  <c r="JM1" i="4"/>
  <c r="JL3" i="4"/>
  <c r="JL2" i="4"/>
  <c r="JK2" i="4"/>
  <c r="JK1" i="4"/>
  <c r="JJ3" i="4"/>
  <c r="JJ2" i="4"/>
  <c r="JI2" i="4"/>
  <c r="JI1" i="4"/>
  <c r="JH3" i="4"/>
  <c r="JH2" i="4"/>
  <c r="JG2" i="4"/>
  <c r="JG1" i="4"/>
  <c r="JF3" i="4"/>
  <c r="JF2" i="4"/>
  <c r="A8" i="15" l="1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114" i="15"/>
  <c r="A115" i="15"/>
  <c r="A116" i="15"/>
  <c r="A117" i="15"/>
  <c r="A118" i="15"/>
  <c r="A119" i="15"/>
  <c r="A120" i="15"/>
  <c r="A121" i="15"/>
  <c r="A122" i="15"/>
  <c r="A123" i="15"/>
  <c r="A124" i="15"/>
  <c r="A125" i="15"/>
  <c r="A126" i="15"/>
  <c r="A127" i="15"/>
  <c r="A128" i="15"/>
  <c r="A129" i="15"/>
  <c r="A130" i="15"/>
  <c r="A131" i="15"/>
  <c r="A132" i="15"/>
  <c r="A133" i="15"/>
  <c r="A134" i="15"/>
  <c r="A135" i="15"/>
  <c r="A136" i="15"/>
  <c r="A137" i="15"/>
  <c r="A138" i="15"/>
  <c r="A139" i="15"/>
  <c r="A140" i="15"/>
  <c r="A141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168" i="15"/>
  <c r="A169" i="15"/>
  <c r="A170" i="15"/>
  <c r="A171" i="15"/>
  <c r="A172" i="15"/>
  <c r="A173" i="15"/>
  <c r="A174" i="15"/>
  <c r="A175" i="15"/>
  <c r="A176" i="15"/>
  <c r="A177" i="15"/>
  <c r="A178" i="15"/>
  <c r="A179" i="15"/>
  <c r="A180" i="15"/>
  <c r="A181" i="15"/>
  <c r="A182" i="15"/>
  <c r="A183" i="15"/>
  <c r="A184" i="15"/>
  <c r="A185" i="15"/>
  <c r="A186" i="15"/>
  <c r="A187" i="15"/>
  <c r="A188" i="15"/>
  <c r="A189" i="15"/>
  <c r="A190" i="15"/>
  <c r="A191" i="15"/>
  <c r="A192" i="15"/>
  <c r="A193" i="15"/>
  <c r="A194" i="15"/>
  <c r="A195" i="15"/>
  <c r="A196" i="15"/>
  <c r="A197" i="15"/>
  <c r="A198" i="15"/>
  <c r="A199" i="15"/>
  <c r="A200" i="15"/>
  <c r="A201" i="15"/>
  <c r="A202" i="15"/>
  <c r="A203" i="15"/>
  <c r="A204" i="15"/>
  <c r="A205" i="15"/>
  <c r="A206" i="15"/>
  <c r="A207" i="15"/>
  <c r="A7" i="15"/>
  <c r="JE6" i="4" l="1"/>
  <c r="JE5" i="4"/>
  <c r="JE4" i="4"/>
  <c r="JE3" i="4"/>
  <c r="JE1" i="4"/>
  <c r="JD6" i="4"/>
  <c r="JD5" i="4"/>
  <c r="JD4" i="4"/>
  <c r="JD3" i="4"/>
  <c r="JD1" i="4"/>
  <c r="JC6" i="4"/>
  <c r="JC5" i="4"/>
  <c r="JC4" i="4"/>
  <c r="JC3" i="4"/>
  <c r="JC1" i="4"/>
  <c r="JB6" i="4"/>
  <c r="JB5" i="4"/>
  <c r="JB4" i="4"/>
  <c r="JB3" i="4"/>
  <c r="JB1" i="4"/>
  <c r="JC7" i="4"/>
  <c r="JB7" i="4"/>
  <c r="JE2" i="4" s="1"/>
  <c r="JA6" i="4"/>
  <c r="JA5" i="4"/>
  <c r="JA4" i="4"/>
  <c r="JA3" i="4"/>
  <c r="JA1" i="4"/>
  <c r="IZ6" i="4"/>
  <c r="IZ5" i="4"/>
  <c r="IZ4" i="4"/>
  <c r="IZ3" i="4"/>
  <c r="IZ1" i="4"/>
  <c r="JA7" i="4"/>
  <c r="IZ7" i="4"/>
  <c r="JA2" i="4" s="1"/>
  <c r="IX1" i="4"/>
  <c r="IV1" i="4"/>
  <c r="IT1" i="4"/>
  <c r="IR1" i="4"/>
  <c r="IP1" i="4"/>
  <c r="IN1" i="4"/>
  <c r="IL1" i="4"/>
  <c r="IJ1" i="4"/>
  <c r="IH1" i="4"/>
  <c r="IF1" i="4"/>
  <c r="ID1" i="4"/>
  <c r="IB1" i="4"/>
  <c r="HZ1" i="4"/>
  <c r="HY6" i="4"/>
  <c r="HY5" i="4"/>
  <c r="HY4" i="4"/>
  <c r="HY3" i="4"/>
  <c r="HY1" i="4"/>
  <c r="HX6" i="4"/>
  <c r="HX5" i="4"/>
  <c r="HX4" i="4"/>
  <c r="HX3" i="4"/>
  <c r="HX1" i="4"/>
  <c r="HY7" i="4"/>
  <c r="HX7" i="4"/>
  <c r="HY2" i="4" s="1"/>
  <c r="HW6" i="4"/>
  <c r="HW5" i="4"/>
  <c r="HW4" i="4"/>
  <c r="HW3" i="4"/>
  <c r="HW1" i="4"/>
  <c r="HV6" i="4"/>
  <c r="HV5" i="4"/>
  <c r="HV4" i="4"/>
  <c r="HV3" i="4"/>
  <c r="HV1" i="4"/>
  <c r="HW7" i="4"/>
  <c r="HV7" i="4"/>
  <c r="HW2" i="4" s="1"/>
  <c r="HT1" i="4"/>
  <c r="HR1" i="4"/>
  <c r="HP1" i="4"/>
  <c r="HN6" i="4"/>
  <c r="HN5" i="4"/>
  <c r="HN4" i="4"/>
  <c r="HN3" i="4"/>
  <c r="HN1" i="4"/>
  <c r="HO7" i="4"/>
  <c r="HN7" i="4"/>
  <c r="HN2" i="4" s="1"/>
  <c r="HM6" i="4"/>
  <c r="HM5" i="4"/>
  <c r="HM4" i="4"/>
  <c r="HM3" i="4"/>
  <c r="HM1" i="4"/>
  <c r="HL6" i="4"/>
  <c r="HL5" i="4"/>
  <c r="HL4" i="4"/>
  <c r="HL3" i="4"/>
  <c r="HL1" i="4"/>
  <c r="HM7" i="4"/>
  <c r="HL7" i="4"/>
  <c r="HM2" i="4" s="1"/>
  <c r="HK6" i="4"/>
  <c r="HK5" i="4"/>
  <c r="HK4" i="4"/>
  <c r="HK3" i="4"/>
  <c r="HK1" i="4"/>
  <c r="HJ6" i="4"/>
  <c r="HJ5" i="4"/>
  <c r="HJ4" i="4"/>
  <c r="HJ3" i="4"/>
  <c r="HJ1" i="4"/>
  <c r="HK7" i="4"/>
  <c r="HJ7" i="4"/>
  <c r="HK2" i="4" s="1"/>
  <c r="HI6" i="4"/>
  <c r="HI5" i="4"/>
  <c r="HI4" i="4"/>
  <c r="HI3" i="4"/>
  <c r="HI1" i="4"/>
  <c r="HH6" i="4"/>
  <c r="HH5" i="4"/>
  <c r="HH4" i="4"/>
  <c r="HH3" i="4"/>
  <c r="HH1" i="4"/>
  <c r="HI7" i="4"/>
  <c r="HH7" i="4"/>
  <c r="HI2" i="4" s="1"/>
  <c r="HG6" i="4"/>
  <c r="HG5" i="4"/>
  <c r="HG4" i="4"/>
  <c r="HG3" i="4"/>
  <c r="HG1" i="4"/>
  <c r="HF6" i="4"/>
  <c r="HF5" i="4"/>
  <c r="HF4" i="4"/>
  <c r="HF3" i="4"/>
  <c r="HF1" i="4"/>
  <c r="HG7" i="4"/>
  <c r="HF7" i="4"/>
  <c r="HG2" i="4" s="1"/>
  <c r="HE6" i="4"/>
  <c r="HE5" i="4"/>
  <c r="HE4" i="4"/>
  <c r="HE3" i="4"/>
  <c r="HE1" i="4"/>
  <c r="HD6" i="4"/>
  <c r="HD5" i="4"/>
  <c r="HD4" i="4"/>
  <c r="HD3" i="4"/>
  <c r="HD1" i="4"/>
  <c r="HE7" i="4"/>
  <c r="HD7" i="4"/>
  <c r="HE2" i="4" s="1"/>
  <c r="HC6" i="4"/>
  <c r="HC5" i="4"/>
  <c r="HC4" i="4"/>
  <c r="HC3" i="4"/>
  <c r="HC1" i="4"/>
  <c r="HB6" i="4"/>
  <c r="HB5" i="4"/>
  <c r="HB4" i="4"/>
  <c r="HB3" i="4"/>
  <c r="HB1" i="4"/>
  <c r="HC7" i="4"/>
  <c r="HB7" i="4"/>
  <c r="HC2" i="4" s="1"/>
  <c r="HA6" i="4"/>
  <c r="HA5" i="4"/>
  <c r="HA4" i="4"/>
  <c r="HA3" i="4"/>
  <c r="HA1" i="4"/>
  <c r="GZ6" i="4"/>
  <c r="GZ5" i="4"/>
  <c r="GZ4" i="4"/>
  <c r="GZ3" i="4"/>
  <c r="GZ1" i="4"/>
  <c r="HA7" i="4"/>
  <c r="GZ7" i="4"/>
  <c r="HA2" i="4" s="1"/>
  <c r="GY6" i="4"/>
  <c r="GY5" i="4"/>
  <c r="GY4" i="4"/>
  <c r="GY3" i="4"/>
  <c r="GY1" i="4"/>
  <c r="GX6" i="4"/>
  <c r="GX5" i="4"/>
  <c r="GX4" i="4"/>
  <c r="GX3" i="4"/>
  <c r="GX1" i="4"/>
  <c r="GY7" i="4"/>
  <c r="GX7" i="4"/>
  <c r="GY2" i="4" s="1"/>
  <c r="GW6" i="4"/>
  <c r="GW5" i="4"/>
  <c r="GW4" i="4"/>
  <c r="GW3" i="4"/>
  <c r="GW1" i="4"/>
  <c r="GV6" i="4"/>
  <c r="GV5" i="4"/>
  <c r="GV4" i="4"/>
  <c r="GV3" i="4"/>
  <c r="GV1" i="4"/>
  <c r="GW7" i="4"/>
  <c r="GV7" i="4"/>
  <c r="GW2" i="4" s="1"/>
  <c r="GU6" i="4"/>
  <c r="GU5" i="4"/>
  <c r="GU4" i="4"/>
  <c r="GU3" i="4"/>
  <c r="GU1" i="4"/>
  <c r="GT6" i="4"/>
  <c r="GT5" i="4"/>
  <c r="GT4" i="4"/>
  <c r="GT3" i="4"/>
  <c r="GT1" i="4"/>
  <c r="GU7" i="4"/>
  <c r="GT7" i="4"/>
  <c r="GU2" i="4" s="1"/>
  <c r="GS6" i="4"/>
  <c r="GS5" i="4"/>
  <c r="GS4" i="4"/>
  <c r="GS3" i="4"/>
  <c r="GS1" i="4"/>
  <c r="GR6" i="4"/>
  <c r="GR5" i="4"/>
  <c r="GR4" i="4"/>
  <c r="GR3" i="4"/>
  <c r="GR1" i="4"/>
  <c r="GS7" i="4"/>
  <c r="GR7" i="4"/>
  <c r="GS2" i="4" s="1"/>
  <c r="GP6" i="4"/>
  <c r="GP5" i="4"/>
  <c r="GP4" i="4"/>
  <c r="GP3" i="4"/>
  <c r="GP1" i="4"/>
  <c r="GQ7" i="4"/>
  <c r="GP7" i="4"/>
  <c r="GP2" i="4" s="1"/>
  <c r="GO6" i="4"/>
  <c r="GO5" i="4"/>
  <c r="GO4" i="4"/>
  <c r="GO3" i="4"/>
  <c r="GO1" i="4"/>
  <c r="GN6" i="4"/>
  <c r="GN5" i="4"/>
  <c r="GN4" i="4"/>
  <c r="GN3" i="4"/>
  <c r="GN1" i="4"/>
  <c r="GO7" i="4"/>
  <c r="GN7" i="4"/>
  <c r="GO2" i="4" s="1"/>
  <c r="GL6" i="4"/>
  <c r="GL5" i="4"/>
  <c r="GL4" i="4"/>
  <c r="GL3" i="4"/>
  <c r="GL1" i="4"/>
  <c r="GM7" i="4"/>
  <c r="GL7" i="4"/>
  <c r="GL2" i="4" s="1"/>
  <c r="GJ6" i="4"/>
  <c r="GJ5" i="4"/>
  <c r="GJ4" i="4"/>
  <c r="GJ3" i="4"/>
  <c r="GJ1" i="4"/>
  <c r="GK7" i="4"/>
  <c r="GJ7" i="4"/>
  <c r="GJ2" i="4" s="1"/>
  <c r="GI6" i="4"/>
  <c r="GI5" i="4"/>
  <c r="GI4" i="4"/>
  <c r="GI3" i="4"/>
  <c r="GI1" i="4"/>
  <c r="GH6" i="4"/>
  <c r="GH5" i="4"/>
  <c r="GH4" i="4"/>
  <c r="GH3" i="4"/>
  <c r="GH1" i="4"/>
  <c r="GI7" i="4"/>
  <c r="GH7" i="4"/>
  <c r="GI2" i="4" s="1"/>
  <c r="GG6" i="4"/>
  <c r="GG5" i="4"/>
  <c r="GG4" i="4"/>
  <c r="GG3" i="4"/>
  <c r="GG1" i="4"/>
  <c r="GF6" i="4"/>
  <c r="GF5" i="4"/>
  <c r="GF4" i="4"/>
  <c r="GF3" i="4"/>
  <c r="GF1" i="4"/>
  <c r="GG7" i="4"/>
  <c r="GF7" i="4"/>
  <c r="GG2" i="4" s="1"/>
  <c r="GD6" i="4"/>
  <c r="GD5" i="4"/>
  <c r="GD4" i="4"/>
  <c r="GD3" i="4"/>
  <c r="GD1" i="4"/>
  <c r="GE7" i="4"/>
  <c r="GD7" i="4"/>
  <c r="GD2" i="4" s="1"/>
  <c r="GB6" i="4"/>
  <c r="GB5" i="4"/>
  <c r="GB4" i="4"/>
  <c r="GB3" i="4"/>
  <c r="GB1" i="4"/>
  <c r="GC7" i="4"/>
  <c r="GB7" i="4"/>
  <c r="GB2" i="4" s="1"/>
  <c r="GA10" i="4"/>
  <c r="FZ10" i="4"/>
  <c r="GA9" i="4"/>
  <c r="FZ9" i="4"/>
  <c r="GA8" i="4"/>
  <c r="FZ8" i="4"/>
  <c r="GA7" i="4"/>
  <c r="FZ7" i="4"/>
  <c r="GA6" i="4"/>
  <c r="FZ6" i="4"/>
  <c r="GA5" i="4"/>
  <c r="FZ5" i="4"/>
  <c r="GA4" i="4"/>
  <c r="FZ4" i="4"/>
  <c r="GA3" i="4"/>
  <c r="FZ3" i="4"/>
  <c r="GA2" i="4"/>
  <c r="FZ2" i="4"/>
  <c r="GA1" i="4"/>
  <c r="FZ1" i="4"/>
  <c r="FY10" i="4"/>
  <c r="FX10" i="4"/>
  <c r="FY9" i="4"/>
  <c r="FX9" i="4"/>
  <c r="FY8" i="4"/>
  <c r="FX8" i="4"/>
  <c r="FY7" i="4"/>
  <c r="FX7" i="4"/>
  <c r="FY6" i="4"/>
  <c r="FX6" i="4"/>
  <c r="FY5" i="4"/>
  <c r="FX5" i="4"/>
  <c r="FY4" i="4"/>
  <c r="FX4" i="4"/>
  <c r="FY3" i="4"/>
  <c r="FX3" i="4"/>
  <c r="FY2" i="4"/>
  <c r="FX2" i="4"/>
  <c r="FY1" i="4"/>
  <c r="FX1" i="4"/>
  <c r="FW6" i="4"/>
  <c r="FV6" i="4"/>
  <c r="FW5" i="4"/>
  <c r="FV5" i="4"/>
  <c r="FW4" i="4"/>
  <c r="FV4" i="4"/>
  <c r="FW3" i="4"/>
  <c r="FV3" i="4"/>
  <c r="FW2" i="4"/>
  <c r="FV2" i="4"/>
  <c r="FW1" i="4"/>
  <c r="FV1" i="4"/>
  <c r="FU10" i="4"/>
  <c r="FT10" i="4"/>
  <c r="FU9" i="4"/>
  <c r="FT9" i="4"/>
  <c r="FU8" i="4"/>
  <c r="FT8" i="4"/>
  <c r="FU7" i="4"/>
  <c r="FT7" i="4"/>
  <c r="FU6" i="4"/>
  <c r="FT6" i="4"/>
  <c r="FU5" i="4"/>
  <c r="FT5" i="4"/>
  <c r="FU4" i="4"/>
  <c r="FT4" i="4"/>
  <c r="FU3" i="4"/>
  <c r="FT3" i="4"/>
  <c r="FU2" i="4"/>
  <c r="FT2" i="4"/>
  <c r="FU1" i="4"/>
  <c r="FT1" i="4"/>
  <c r="FS10" i="4"/>
  <c r="FR10" i="4"/>
  <c r="FS9" i="4"/>
  <c r="FR9" i="4"/>
  <c r="FS8" i="4"/>
  <c r="FR8" i="4"/>
  <c r="FS7" i="4"/>
  <c r="FR7" i="4"/>
  <c r="FS6" i="4"/>
  <c r="FR6" i="4"/>
  <c r="FS5" i="4"/>
  <c r="FR5" i="4"/>
  <c r="FS4" i="4"/>
  <c r="FR4" i="4"/>
  <c r="FS3" i="4"/>
  <c r="FR3" i="4"/>
  <c r="FS2" i="4"/>
  <c r="FR2" i="4"/>
  <c r="FS1" i="4"/>
  <c r="FR1" i="4"/>
  <c r="FQ10" i="4"/>
  <c r="FP10" i="4"/>
  <c r="FQ9" i="4"/>
  <c r="FP9" i="4"/>
  <c r="FQ8" i="4"/>
  <c r="FP8" i="4"/>
  <c r="FQ7" i="4"/>
  <c r="FP7" i="4"/>
  <c r="FQ6" i="4"/>
  <c r="FP6" i="4"/>
  <c r="FQ5" i="4"/>
  <c r="FP5" i="4"/>
  <c r="FQ4" i="4"/>
  <c r="FP4" i="4"/>
  <c r="FQ3" i="4"/>
  <c r="FP3" i="4"/>
  <c r="FQ2" i="4"/>
  <c r="FP2" i="4"/>
  <c r="FQ1" i="4"/>
  <c r="FP1" i="4"/>
  <c r="FO10" i="4"/>
  <c r="FN10" i="4"/>
  <c r="FO9" i="4"/>
  <c r="FN9" i="4"/>
  <c r="FO8" i="4"/>
  <c r="FN8" i="4"/>
  <c r="FO7" i="4"/>
  <c r="FN7" i="4"/>
  <c r="FO6" i="4"/>
  <c r="FN6" i="4"/>
  <c r="FO5" i="4"/>
  <c r="FN5" i="4"/>
  <c r="FO4" i="4"/>
  <c r="FN4" i="4"/>
  <c r="FO3" i="4"/>
  <c r="FN3" i="4"/>
  <c r="FO2" i="4"/>
  <c r="FN2" i="4"/>
  <c r="FO1" i="4"/>
  <c r="FN1" i="4"/>
  <c r="FM10" i="4"/>
  <c r="FL10" i="4"/>
  <c r="FM9" i="4"/>
  <c r="FL9" i="4"/>
  <c r="FM8" i="4"/>
  <c r="FL8" i="4"/>
  <c r="FM7" i="4"/>
  <c r="FL7" i="4"/>
  <c r="FM6" i="4"/>
  <c r="FL6" i="4"/>
  <c r="FM5" i="4"/>
  <c r="FL5" i="4"/>
  <c r="FM4" i="4"/>
  <c r="FL4" i="4"/>
  <c r="FM3" i="4"/>
  <c r="FL3" i="4"/>
  <c r="FM2" i="4"/>
  <c r="FL2" i="4"/>
  <c r="FM1" i="4"/>
  <c r="FL1" i="4"/>
  <c r="FK10" i="4"/>
  <c r="FJ10" i="4"/>
  <c r="FK9" i="4"/>
  <c r="FJ9" i="4"/>
  <c r="FK8" i="4"/>
  <c r="FJ8" i="4"/>
  <c r="FK7" i="4"/>
  <c r="FJ7" i="4"/>
  <c r="FK6" i="4"/>
  <c r="FJ6" i="4"/>
  <c r="FK5" i="4"/>
  <c r="FJ5" i="4"/>
  <c r="FK4" i="4"/>
  <c r="FJ4" i="4"/>
  <c r="FK3" i="4"/>
  <c r="FJ3" i="4"/>
  <c r="FK2" i="4"/>
  <c r="FJ2" i="4"/>
  <c r="FK1" i="4"/>
  <c r="FJ1" i="4"/>
  <c r="FI10" i="4"/>
  <c r="FH10" i="4"/>
  <c r="FI9" i="4"/>
  <c r="FH9" i="4"/>
  <c r="FI8" i="4"/>
  <c r="FH8" i="4"/>
  <c r="FI7" i="4"/>
  <c r="FH7" i="4"/>
  <c r="FI6" i="4"/>
  <c r="FH6" i="4"/>
  <c r="FI5" i="4"/>
  <c r="FH5" i="4"/>
  <c r="FI4" i="4"/>
  <c r="FH4" i="4"/>
  <c r="FI3" i="4"/>
  <c r="FH3" i="4"/>
  <c r="FI2" i="4"/>
  <c r="FH2" i="4"/>
  <c r="FI1" i="4"/>
  <c r="FH1" i="4"/>
  <c r="FG6" i="4"/>
  <c r="FF6" i="4"/>
  <c r="FG5" i="4"/>
  <c r="FF5" i="4"/>
  <c r="FG4" i="4"/>
  <c r="FF4" i="4"/>
  <c r="FG3" i="4"/>
  <c r="FF3" i="4"/>
  <c r="FG2" i="4"/>
  <c r="FF2" i="4"/>
  <c r="FG1" i="4"/>
  <c r="FF1" i="4"/>
  <c r="FE10" i="4"/>
  <c r="FD10" i="4"/>
  <c r="FE9" i="4"/>
  <c r="FD9" i="4"/>
  <c r="FE8" i="4"/>
  <c r="FD8" i="4"/>
  <c r="FE7" i="4"/>
  <c r="FD7" i="4"/>
  <c r="FE6" i="4"/>
  <c r="FD6" i="4"/>
  <c r="FE5" i="4"/>
  <c r="FD5" i="4"/>
  <c r="FE4" i="4"/>
  <c r="FD4" i="4"/>
  <c r="FE3" i="4"/>
  <c r="FD3" i="4"/>
  <c r="FE2" i="4"/>
  <c r="FD2" i="4"/>
  <c r="FE1" i="4"/>
  <c r="FD1" i="4"/>
  <c r="FC10" i="4"/>
  <c r="FB10" i="4"/>
  <c r="FC9" i="4"/>
  <c r="FB9" i="4"/>
  <c r="FC8" i="4"/>
  <c r="FB8" i="4"/>
  <c r="FC7" i="4"/>
  <c r="FB7" i="4"/>
  <c r="FC6" i="4"/>
  <c r="FB6" i="4"/>
  <c r="FC5" i="4"/>
  <c r="FB5" i="4"/>
  <c r="FC4" i="4"/>
  <c r="FB4" i="4"/>
  <c r="FC3" i="4"/>
  <c r="FB3" i="4"/>
  <c r="FC2" i="4"/>
  <c r="FB2" i="4"/>
  <c r="FC1" i="4"/>
  <c r="FB1" i="4"/>
  <c r="FA10" i="4"/>
  <c r="EZ10" i="4"/>
  <c r="FA9" i="4"/>
  <c r="EZ9" i="4"/>
  <c r="FA8" i="4"/>
  <c r="EZ8" i="4"/>
  <c r="FA7" i="4"/>
  <c r="EZ7" i="4"/>
  <c r="FA6" i="4"/>
  <c r="EZ6" i="4"/>
  <c r="FA5" i="4"/>
  <c r="EZ5" i="4"/>
  <c r="FA4" i="4"/>
  <c r="EZ4" i="4"/>
  <c r="FA3" i="4"/>
  <c r="EZ3" i="4"/>
  <c r="FA2" i="4"/>
  <c r="EZ2" i="4"/>
  <c r="FA1" i="4"/>
  <c r="EZ1" i="4"/>
  <c r="EY10" i="4"/>
  <c r="EX10" i="4"/>
  <c r="EY9" i="4"/>
  <c r="EX9" i="4"/>
  <c r="EY8" i="4"/>
  <c r="EX8" i="4"/>
  <c r="EY7" i="4"/>
  <c r="EX7" i="4"/>
  <c r="EY6" i="4"/>
  <c r="EX6" i="4"/>
  <c r="EY5" i="4"/>
  <c r="EX5" i="4"/>
  <c r="EY4" i="4"/>
  <c r="EX4" i="4"/>
  <c r="EY3" i="4"/>
  <c r="EX3" i="4"/>
  <c r="EY2" i="4"/>
  <c r="EX2" i="4"/>
  <c r="EY1" i="4"/>
  <c r="EX1" i="4"/>
  <c r="EW10" i="4"/>
  <c r="EV10" i="4"/>
  <c r="EW9" i="4"/>
  <c r="EV9" i="4"/>
  <c r="EW8" i="4"/>
  <c r="EV8" i="4"/>
  <c r="EW7" i="4"/>
  <c r="EV7" i="4"/>
  <c r="EW6" i="4"/>
  <c r="EV6" i="4"/>
  <c r="EW5" i="4"/>
  <c r="EV5" i="4"/>
  <c r="EW4" i="4"/>
  <c r="EV4" i="4"/>
  <c r="EW3" i="4"/>
  <c r="EV3" i="4"/>
  <c r="EW2" i="4"/>
  <c r="EV2" i="4"/>
  <c r="EW1" i="4"/>
  <c r="EV1" i="4"/>
  <c r="EU6" i="4"/>
  <c r="ET6" i="4"/>
  <c r="EU5" i="4"/>
  <c r="ET5" i="4"/>
  <c r="EU4" i="4"/>
  <c r="ET4" i="4"/>
  <c r="EU3" i="4"/>
  <c r="ET3" i="4"/>
  <c r="EU2" i="4"/>
  <c r="ET2" i="4"/>
  <c r="EU1" i="4"/>
  <c r="ET1" i="4"/>
  <c r="ES10" i="4"/>
  <c r="ER10" i="4"/>
  <c r="ES9" i="4"/>
  <c r="ER9" i="4"/>
  <c r="ES8" i="4"/>
  <c r="ER8" i="4"/>
  <c r="ES7" i="4"/>
  <c r="ER7" i="4"/>
  <c r="ES6" i="4"/>
  <c r="ER6" i="4"/>
  <c r="ES5" i="4"/>
  <c r="ER5" i="4"/>
  <c r="ES4" i="4"/>
  <c r="ER4" i="4"/>
  <c r="ES3" i="4"/>
  <c r="ER3" i="4"/>
  <c r="ES2" i="4"/>
  <c r="ER2" i="4"/>
  <c r="ES1" i="4"/>
  <c r="ER1" i="4"/>
  <c r="EQ10" i="4"/>
  <c r="EP10" i="4"/>
  <c r="EQ9" i="4"/>
  <c r="EP9" i="4"/>
  <c r="EQ8" i="4"/>
  <c r="EP8" i="4"/>
  <c r="EQ7" i="4"/>
  <c r="EP7" i="4"/>
  <c r="EQ6" i="4"/>
  <c r="EP6" i="4"/>
  <c r="EQ5" i="4"/>
  <c r="EP5" i="4"/>
  <c r="EQ4" i="4"/>
  <c r="EP4" i="4"/>
  <c r="EQ3" i="4"/>
  <c r="EP3" i="4"/>
  <c r="EQ2" i="4"/>
  <c r="EP2" i="4"/>
  <c r="EQ1" i="4"/>
  <c r="EP1" i="4"/>
  <c r="EO10" i="4"/>
  <c r="EN10" i="4"/>
  <c r="EO9" i="4"/>
  <c r="EN9" i="4"/>
  <c r="EO8" i="4"/>
  <c r="EN8" i="4"/>
  <c r="EO7" i="4"/>
  <c r="EN7" i="4"/>
  <c r="EO6" i="4"/>
  <c r="EN6" i="4"/>
  <c r="EO5" i="4"/>
  <c r="EN5" i="4"/>
  <c r="EO4" i="4"/>
  <c r="EN4" i="4"/>
  <c r="EO3" i="4"/>
  <c r="EN3" i="4"/>
  <c r="EO2" i="4"/>
  <c r="EN2" i="4"/>
  <c r="EO1" i="4"/>
  <c r="EN1" i="4"/>
  <c r="EM10" i="4"/>
  <c r="EL10" i="4"/>
  <c r="EM9" i="4"/>
  <c r="EL9" i="4"/>
  <c r="EM8" i="4"/>
  <c r="EL8" i="4"/>
  <c r="EM7" i="4"/>
  <c r="EL7" i="4"/>
  <c r="EM6" i="4"/>
  <c r="EL6" i="4"/>
  <c r="EM5" i="4"/>
  <c r="EL5" i="4"/>
  <c r="EM4" i="4"/>
  <c r="EL4" i="4"/>
  <c r="EM3" i="4"/>
  <c r="EL3" i="4"/>
  <c r="EM2" i="4"/>
  <c r="EL2" i="4"/>
  <c r="EM1" i="4"/>
  <c r="EL1" i="4"/>
  <c r="EK6" i="4"/>
  <c r="EJ6" i="4"/>
  <c r="EK5" i="4"/>
  <c r="EJ5" i="4"/>
  <c r="EK4" i="4"/>
  <c r="EJ4" i="4"/>
  <c r="EK3" i="4"/>
  <c r="EJ3" i="4"/>
  <c r="EK2" i="4"/>
  <c r="EJ2" i="4"/>
  <c r="EK1" i="4"/>
  <c r="EJ1" i="4"/>
  <c r="EI10" i="4"/>
  <c r="EH10" i="4"/>
  <c r="EI9" i="4"/>
  <c r="EH9" i="4"/>
  <c r="EI8" i="4"/>
  <c r="EH8" i="4"/>
  <c r="EI7" i="4"/>
  <c r="EH7" i="4"/>
  <c r="EI6" i="4"/>
  <c r="EH6" i="4"/>
  <c r="EI5" i="4"/>
  <c r="EH5" i="4"/>
  <c r="EI4" i="4"/>
  <c r="EH4" i="4"/>
  <c r="EI3" i="4"/>
  <c r="EH3" i="4"/>
  <c r="EI2" i="4"/>
  <c r="EH2" i="4"/>
  <c r="EI1" i="4"/>
  <c r="EH1" i="4"/>
  <c r="EG10" i="4"/>
  <c r="EF10" i="4"/>
  <c r="EG9" i="4"/>
  <c r="EF9" i="4"/>
  <c r="EG8" i="4"/>
  <c r="EF8" i="4"/>
  <c r="EG7" i="4"/>
  <c r="EF7" i="4"/>
  <c r="EG6" i="4"/>
  <c r="EF6" i="4"/>
  <c r="EG5" i="4"/>
  <c r="EF5" i="4"/>
  <c r="EG4" i="4"/>
  <c r="EF4" i="4"/>
  <c r="EG3" i="4"/>
  <c r="EF3" i="4"/>
  <c r="EG2" i="4"/>
  <c r="EF2" i="4"/>
  <c r="EG1" i="4"/>
  <c r="EF1" i="4"/>
  <c r="EE10" i="4"/>
  <c r="ED10" i="4"/>
  <c r="EE9" i="4"/>
  <c r="ED9" i="4"/>
  <c r="EE8" i="4"/>
  <c r="ED8" i="4"/>
  <c r="EE7" i="4"/>
  <c r="ED7" i="4"/>
  <c r="EE6" i="4"/>
  <c r="ED6" i="4"/>
  <c r="EE5" i="4"/>
  <c r="ED5" i="4"/>
  <c r="EE4" i="4"/>
  <c r="ED4" i="4"/>
  <c r="EE3" i="4"/>
  <c r="ED3" i="4"/>
  <c r="EE2" i="4"/>
  <c r="ED2" i="4"/>
  <c r="EE1" i="4"/>
  <c r="ED1" i="4"/>
  <c r="EC10" i="4"/>
  <c r="EB10" i="4"/>
  <c r="EC9" i="4"/>
  <c r="EB9" i="4"/>
  <c r="EC8" i="4"/>
  <c r="EB8" i="4"/>
  <c r="EC7" i="4"/>
  <c r="EB7" i="4"/>
  <c r="EC6" i="4"/>
  <c r="EB6" i="4"/>
  <c r="EC5" i="4"/>
  <c r="EB5" i="4"/>
  <c r="EC4" i="4"/>
  <c r="EB4" i="4"/>
  <c r="EC3" i="4"/>
  <c r="EB3" i="4"/>
  <c r="EC2" i="4"/>
  <c r="EB2" i="4"/>
  <c r="EC1" i="4"/>
  <c r="EB1" i="4"/>
  <c r="EA10" i="4"/>
  <c r="DZ10" i="4"/>
  <c r="EA9" i="4"/>
  <c r="DZ9" i="4"/>
  <c r="EA8" i="4"/>
  <c r="DZ8" i="4"/>
  <c r="EA7" i="4"/>
  <c r="DZ7" i="4"/>
  <c r="EA6" i="4"/>
  <c r="DZ6" i="4"/>
  <c r="EA5" i="4"/>
  <c r="DZ5" i="4"/>
  <c r="EA4" i="4"/>
  <c r="DZ4" i="4"/>
  <c r="EA3" i="4"/>
  <c r="DZ3" i="4"/>
  <c r="EA2" i="4"/>
  <c r="DZ2" i="4"/>
  <c r="EA1" i="4"/>
  <c r="DZ1" i="4"/>
  <c r="DY10" i="4"/>
  <c r="DX10" i="4"/>
  <c r="DY9" i="4"/>
  <c r="DX9" i="4"/>
  <c r="DY8" i="4"/>
  <c r="DX8" i="4"/>
  <c r="DY7" i="4"/>
  <c r="DX7" i="4"/>
  <c r="DY6" i="4"/>
  <c r="DX6" i="4"/>
  <c r="DY5" i="4"/>
  <c r="DX5" i="4"/>
  <c r="DY4" i="4"/>
  <c r="DX4" i="4"/>
  <c r="DY3" i="4"/>
  <c r="DX3" i="4"/>
  <c r="DY2" i="4"/>
  <c r="DX2" i="4"/>
  <c r="DY1" i="4"/>
  <c r="DX1" i="4"/>
  <c r="DW10" i="4"/>
  <c r="DV10" i="4"/>
  <c r="DW9" i="4"/>
  <c r="DV9" i="4"/>
  <c r="DW8" i="4"/>
  <c r="DV8" i="4"/>
  <c r="DW7" i="4"/>
  <c r="DV7" i="4"/>
  <c r="DW6" i="4"/>
  <c r="DV6" i="4"/>
  <c r="DW5" i="4"/>
  <c r="DV5" i="4"/>
  <c r="DW4" i="4"/>
  <c r="DV4" i="4"/>
  <c r="DW3" i="4"/>
  <c r="DV3" i="4"/>
  <c r="DW2" i="4"/>
  <c r="DV2" i="4"/>
  <c r="DW1" i="4"/>
  <c r="DV1" i="4"/>
  <c r="DU10" i="4"/>
  <c r="DT10" i="4"/>
  <c r="DU9" i="4"/>
  <c r="DT9" i="4"/>
  <c r="DU8" i="4"/>
  <c r="DT8" i="4"/>
  <c r="DU7" i="4"/>
  <c r="DT7" i="4"/>
  <c r="DU6" i="4"/>
  <c r="DT6" i="4"/>
  <c r="DU5" i="4"/>
  <c r="DT5" i="4"/>
  <c r="DU4" i="4"/>
  <c r="DT4" i="4"/>
  <c r="DU3" i="4"/>
  <c r="DT3" i="4"/>
  <c r="DU2" i="4"/>
  <c r="DT2" i="4"/>
  <c r="DU1" i="4"/>
  <c r="DT1" i="4"/>
  <c r="DS10" i="4"/>
  <c r="DR10" i="4"/>
  <c r="DS9" i="4"/>
  <c r="DR9" i="4"/>
  <c r="DS8" i="4"/>
  <c r="DR8" i="4"/>
  <c r="DS7" i="4"/>
  <c r="DR7" i="4"/>
  <c r="DS6" i="4"/>
  <c r="DR6" i="4"/>
  <c r="DS5" i="4"/>
  <c r="DR5" i="4"/>
  <c r="DS4" i="4"/>
  <c r="DR4" i="4"/>
  <c r="DS3" i="4"/>
  <c r="DR3" i="4"/>
  <c r="DS2" i="4"/>
  <c r="DR2" i="4"/>
  <c r="DS1" i="4"/>
  <c r="DR1" i="4"/>
  <c r="DQ10" i="4"/>
  <c r="DP10" i="4"/>
  <c r="DQ9" i="4"/>
  <c r="DP9" i="4"/>
  <c r="DQ8" i="4"/>
  <c r="DP8" i="4"/>
  <c r="DQ7" i="4"/>
  <c r="DP7" i="4"/>
  <c r="DQ6" i="4"/>
  <c r="DP6" i="4"/>
  <c r="DQ5" i="4"/>
  <c r="DP5" i="4"/>
  <c r="DQ4" i="4"/>
  <c r="DP4" i="4"/>
  <c r="DQ3" i="4"/>
  <c r="DP3" i="4"/>
  <c r="DQ2" i="4"/>
  <c r="DP2" i="4"/>
  <c r="DQ1" i="4"/>
  <c r="DP1" i="4"/>
  <c r="DO6" i="4"/>
  <c r="DN6" i="4"/>
  <c r="DO5" i="4"/>
  <c r="DN5" i="4"/>
  <c r="DO4" i="4"/>
  <c r="DN4" i="4"/>
  <c r="DO3" i="4"/>
  <c r="DN3" i="4"/>
  <c r="DO2" i="4"/>
  <c r="DN2" i="4"/>
  <c r="DO1" i="4"/>
  <c r="DN1" i="4"/>
  <c r="DM6" i="4"/>
  <c r="DL6" i="4"/>
  <c r="DM5" i="4"/>
  <c r="DL5" i="4"/>
  <c r="DM4" i="4"/>
  <c r="DL4" i="4"/>
  <c r="DM3" i="4"/>
  <c r="DL3" i="4"/>
  <c r="DM2" i="4"/>
  <c r="DL2" i="4"/>
  <c r="DM1" i="4"/>
  <c r="DL1" i="4"/>
  <c r="DK6" i="4"/>
  <c r="DJ6" i="4"/>
  <c r="DK5" i="4"/>
  <c r="DJ5" i="4"/>
  <c r="DK4" i="4"/>
  <c r="DJ4" i="4"/>
  <c r="DK3" i="4"/>
  <c r="DJ3" i="4"/>
  <c r="DK2" i="4"/>
  <c r="DJ2" i="4"/>
  <c r="DK1" i="4"/>
  <c r="DJ1" i="4"/>
  <c r="DI6" i="4"/>
  <c r="DH6" i="4"/>
  <c r="DI5" i="4"/>
  <c r="DH5" i="4"/>
  <c r="DI4" i="4"/>
  <c r="DH4" i="4"/>
  <c r="DI3" i="4"/>
  <c r="DH3" i="4"/>
  <c r="DI2" i="4"/>
  <c r="DH2" i="4"/>
  <c r="DI1" i="4"/>
  <c r="DH1" i="4"/>
  <c r="DG6" i="4"/>
  <c r="DF6" i="4"/>
  <c r="DG5" i="4"/>
  <c r="DF5" i="4"/>
  <c r="DG4" i="4"/>
  <c r="DF4" i="4"/>
  <c r="DG3" i="4"/>
  <c r="DF3" i="4"/>
  <c r="DG2" i="4"/>
  <c r="DF2" i="4"/>
  <c r="DG1" i="4"/>
  <c r="DF1" i="4"/>
  <c r="DE10" i="4"/>
  <c r="DD10" i="4"/>
  <c r="DE9" i="4"/>
  <c r="DD9" i="4"/>
  <c r="DE8" i="4"/>
  <c r="DD8" i="4"/>
  <c r="DE7" i="4"/>
  <c r="DD7" i="4"/>
  <c r="DE6" i="4"/>
  <c r="DD6" i="4"/>
  <c r="DE5" i="4"/>
  <c r="DD5" i="4"/>
  <c r="DE4" i="4"/>
  <c r="DD4" i="4"/>
  <c r="DE3" i="4"/>
  <c r="DD3" i="4"/>
  <c r="DE2" i="4"/>
  <c r="DD2" i="4"/>
  <c r="DE1" i="4"/>
  <c r="DD1" i="4"/>
  <c r="DC10" i="4"/>
  <c r="DB10" i="4"/>
  <c r="DC9" i="4"/>
  <c r="DB9" i="4"/>
  <c r="DC8" i="4"/>
  <c r="DB8" i="4"/>
  <c r="DC7" i="4"/>
  <c r="DB7" i="4"/>
  <c r="DC6" i="4"/>
  <c r="DB6" i="4"/>
  <c r="DC5" i="4"/>
  <c r="DB5" i="4"/>
  <c r="DC4" i="4"/>
  <c r="DB4" i="4"/>
  <c r="DC3" i="4"/>
  <c r="DB3" i="4"/>
  <c r="DC2" i="4"/>
  <c r="DB2" i="4"/>
  <c r="DC1" i="4"/>
  <c r="DB1" i="4"/>
  <c r="DA10" i="4"/>
  <c r="CZ10" i="4"/>
  <c r="DA9" i="4"/>
  <c r="CZ9" i="4"/>
  <c r="DA8" i="4"/>
  <c r="CZ8" i="4"/>
  <c r="DA7" i="4"/>
  <c r="CZ7" i="4"/>
  <c r="DA6" i="4"/>
  <c r="CZ6" i="4"/>
  <c r="DA5" i="4"/>
  <c r="CZ5" i="4"/>
  <c r="DA4" i="4"/>
  <c r="CZ4" i="4"/>
  <c r="DA3" i="4"/>
  <c r="CZ3" i="4"/>
  <c r="DA2" i="4"/>
  <c r="CZ2" i="4"/>
  <c r="DA1" i="4"/>
  <c r="CZ1" i="4"/>
  <c r="CY6" i="4"/>
  <c r="CX6" i="4"/>
  <c r="CY5" i="4"/>
  <c r="CX5" i="4"/>
  <c r="CY4" i="4"/>
  <c r="CX4" i="4"/>
  <c r="CY3" i="4"/>
  <c r="CX3" i="4"/>
  <c r="CY2" i="4"/>
  <c r="CX2" i="4"/>
  <c r="CY1" i="4"/>
  <c r="CX1" i="4"/>
  <c r="CW6" i="4"/>
  <c r="CV6" i="4"/>
  <c r="CW5" i="4"/>
  <c r="CV5" i="4"/>
  <c r="CW4" i="4"/>
  <c r="CV4" i="4"/>
  <c r="CW3" i="4"/>
  <c r="CV3" i="4"/>
  <c r="CW2" i="4"/>
  <c r="CV2" i="4"/>
  <c r="CW1" i="4"/>
  <c r="CV1" i="4"/>
  <c r="CU10" i="4"/>
  <c r="CT10" i="4"/>
  <c r="CU9" i="4"/>
  <c r="CT9" i="4"/>
  <c r="CU8" i="4"/>
  <c r="CT8" i="4"/>
  <c r="CU7" i="4"/>
  <c r="CT7" i="4"/>
  <c r="CU6" i="4"/>
  <c r="CT6" i="4"/>
  <c r="CU5" i="4"/>
  <c r="CT5" i="4"/>
  <c r="CU4" i="4"/>
  <c r="CT4" i="4"/>
  <c r="CU3" i="4"/>
  <c r="CT3" i="4"/>
  <c r="CU2" i="4"/>
  <c r="CT2" i="4"/>
  <c r="CU1" i="4"/>
  <c r="CT1" i="4"/>
  <c r="CS10" i="4"/>
  <c r="CR10" i="4"/>
  <c r="CS9" i="4"/>
  <c r="CR9" i="4"/>
  <c r="CS8" i="4"/>
  <c r="CR8" i="4"/>
  <c r="CS7" i="4"/>
  <c r="CR7" i="4"/>
  <c r="CS6" i="4"/>
  <c r="CR6" i="4"/>
  <c r="CS5" i="4"/>
  <c r="CR5" i="4"/>
  <c r="CS4" i="4"/>
  <c r="CR4" i="4"/>
  <c r="CS3" i="4"/>
  <c r="CR3" i="4"/>
  <c r="CS2" i="4"/>
  <c r="CR2" i="4"/>
  <c r="CS1" i="4"/>
  <c r="CR1" i="4"/>
  <c r="CQ10" i="4"/>
  <c r="CP10" i="4"/>
  <c r="CQ9" i="4"/>
  <c r="CP9" i="4"/>
  <c r="CQ8" i="4"/>
  <c r="CP8" i="4"/>
  <c r="CQ7" i="4"/>
  <c r="CP7" i="4"/>
  <c r="CQ6" i="4"/>
  <c r="CP6" i="4"/>
  <c r="CQ5" i="4"/>
  <c r="CP5" i="4"/>
  <c r="CQ4" i="4"/>
  <c r="CP4" i="4"/>
  <c r="CQ3" i="4"/>
  <c r="CP3" i="4"/>
  <c r="CQ2" i="4"/>
  <c r="CP2" i="4"/>
  <c r="CQ1" i="4"/>
  <c r="CP1" i="4"/>
  <c r="CO10" i="4"/>
  <c r="CN10" i="4"/>
  <c r="CO9" i="4"/>
  <c r="CN9" i="4"/>
  <c r="CO8" i="4"/>
  <c r="CN8" i="4"/>
  <c r="CO7" i="4"/>
  <c r="CN7" i="4"/>
  <c r="CO6" i="4"/>
  <c r="CN6" i="4"/>
  <c r="CO5" i="4"/>
  <c r="CN5" i="4"/>
  <c r="CO4" i="4"/>
  <c r="CN4" i="4"/>
  <c r="CO3" i="4"/>
  <c r="CN3" i="4"/>
  <c r="CO2" i="4"/>
  <c r="CN2" i="4"/>
  <c r="CO1" i="4"/>
  <c r="CN1" i="4"/>
  <c r="CM6" i="4"/>
  <c r="CL6" i="4"/>
  <c r="CM5" i="4"/>
  <c r="CL5" i="4"/>
  <c r="CM4" i="4"/>
  <c r="CL4" i="4"/>
  <c r="CM3" i="4"/>
  <c r="CL3" i="4"/>
  <c r="CM2" i="4"/>
  <c r="CL2" i="4"/>
  <c r="CM1" i="4"/>
  <c r="CL1" i="4"/>
  <c r="CK6" i="4"/>
  <c r="CJ6" i="4"/>
  <c r="CK5" i="4"/>
  <c r="CJ5" i="4"/>
  <c r="CK4" i="4"/>
  <c r="CJ4" i="4"/>
  <c r="CK3" i="4"/>
  <c r="CJ3" i="4"/>
  <c r="CK2" i="4"/>
  <c r="CJ2" i="4"/>
  <c r="CK1" i="4"/>
  <c r="CJ1" i="4"/>
  <c r="CI10" i="4"/>
  <c r="CH10" i="4"/>
  <c r="CI9" i="4"/>
  <c r="CH9" i="4"/>
  <c r="CI8" i="4"/>
  <c r="CH8" i="4"/>
  <c r="CI7" i="4"/>
  <c r="CH7" i="4"/>
  <c r="CI6" i="4"/>
  <c r="CH6" i="4"/>
  <c r="CI5" i="4"/>
  <c r="CH5" i="4"/>
  <c r="CI4" i="4"/>
  <c r="CH4" i="4"/>
  <c r="CI3" i="4"/>
  <c r="CH3" i="4"/>
  <c r="CI2" i="4"/>
  <c r="CH2" i="4"/>
  <c r="CI1" i="4"/>
  <c r="CH1" i="4"/>
  <c r="CG10" i="4"/>
  <c r="CF10" i="4"/>
  <c r="CG9" i="4"/>
  <c r="CF9" i="4"/>
  <c r="CG8" i="4"/>
  <c r="CF8" i="4"/>
  <c r="CG7" i="4"/>
  <c r="CF7" i="4"/>
  <c r="CG6" i="4"/>
  <c r="CF6" i="4"/>
  <c r="CG5" i="4"/>
  <c r="CF5" i="4"/>
  <c r="CG4" i="4"/>
  <c r="CF4" i="4"/>
  <c r="CG3" i="4"/>
  <c r="CF3" i="4"/>
  <c r="CG2" i="4"/>
  <c r="CF2" i="4"/>
  <c r="CG1" i="4"/>
  <c r="CF1" i="4"/>
  <c r="CE6" i="4"/>
  <c r="CD6" i="4"/>
  <c r="CE5" i="4"/>
  <c r="CD5" i="4"/>
  <c r="CE4" i="4"/>
  <c r="CD4" i="4"/>
  <c r="CE3" i="4"/>
  <c r="CD3" i="4"/>
  <c r="CE2" i="4"/>
  <c r="CD2" i="4"/>
  <c r="CE1" i="4"/>
  <c r="CD1" i="4"/>
  <c r="CC10" i="4"/>
  <c r="CB10" i="4"/>
  <c r="CC9" i="4"/>
  <c r="CB9" i="4"/>
  <c r="CC8" i="4"/>
  <c r="CB8" i="4"/>
  <c r="CC7" i="4"/>
  <c r="CB7" i="4"/>
  <c r="CC6" i="4"/>
  <c r="CB6" i="4"/>
  <c r="CC5" i="4"/>
  <c r="CB5" i="4"/>
  <c r="CC4" i="4"/>
  <c r="CB4" i="4"/>
  <c r="CC3" i="4"/>
  <c r="CB3" i="4"/>
  <c r="CC2" i="4"/>
  <c r="CB2" i="4"/>
  <c r="CC1" i="4"/>
  <c r="CB1" i="4"/>
  <c r="CA6" i="4"/>
  <c r="BZ6" i="4"/>
  <c r="CA5" i="4"/>
  <c r="BZ5" i="4"/>
  <c r="CA4" i="4"/>
  <c r="BZ4" i="4"/>
  <c r="CA3" i="4"/>
  <c r="BZ3" i="4"/>
  <c r="CA2" i="4"/>
  <c r="BZ2" i="4"/>
  <c r="CA1" i="4"/>
  <c r="BZ1" i="4"/>
  <c r="BY6" i="4"/>
  <c r="BX6" i="4"/>
  <c r="BY5" i="4"/>
  <c r="BX5" i="4"/>
  <c r="BY4" i="4"/>
  <c r="BX4" i="4"/>
  <c r="BY3" i="4"/>
  <c r="BX3" i="4"/>
  <c r="BY2" i="4"/>
  <c r="BX2" i="4"/>
  <c r="BY1" i="4"/>
  <c r="BX1" i="4"/>
  <c r="BW10" i="4"/>
  <c r="BV10" i="4"/>
  <c r="BW9" i="4"/>
  <c r="BV9" i="4"/>
  <c r="BW8" i="4"/>
  <c r="BV8" i="4"/>
  <c r="BW7" i="4"/>
  <c r="BV7" i="4"/>
  <c r="BW6" i="4"/>
  <c r="BV6" i="4"/>
  <c r="BW5" i="4"/>
  <c r="BV5" i="4"/>
  <c r="BW4" i="4"/>
  <c r="BV4" i="4"/>
  <c r="BW3" i="4"/>
  <c r="BV3" i="4"/>
  <c r="BW2" i="4"/>
  <c r="BV2" i="4"/>
  <c r="BW1" i="4"/>
  <c r="BV1" i="4"/>
  <c r="BU10" i="4"/>
  <c r="BT10" i="4"/>
  <c r="BU9" i="4"/>
  <c r="BT9" i="4"/>
  <c r="BU8" i="4"/>
  <c r="BT8" i="4"/>
  <c r="BU7" i="4"/>
  <c r="BT7" i="4"/>
  <c r="BU6" i="4"/>
  <c r="BT6" i="4"/>
  <c r="BU5" i="4"/>
  <c r="BT5" i="4"/>
  <c r="BU4" i="4"/>
  <c r="BT4" i="4"/>
  <c r="BU3" i="4"/>
  <c r="BT3" i="4"/>
  <c r="BU2" i="4"/>
  <c r="BT2" i="4"/>
  <c r="BU1" i="4"/>
  <c r="BT1" i="4"/>
  <c r="BS10" i="4"/>
  <c r="BR10" i="4"/>
  <c r="BS9" i="4"/>
  <c r="BR9" i="4"/>
  <c r="BS8" i="4"/>
  <c r="BR8" i="4"/>
  <c r="BS7" i="4"/>
  <c r="BR7" i="4"/>
  <c r="BS6" i="4"/>
  <c r="BR6" i="4"/>
  <c r="BS5" i="4"/>
  <c r="BR5" i="4"/>
  <c r="BS4" i="4"/>
  <c r="BR4" i="4"/>
  <c r="BS3" i="4"/>
  <c r="BR3" i="4"/>
  <c r="BS2" i="4"/>
  <c r="BR2" i="4"/>
  <c r="BS1" i="4"/>
  <c r="BR1" i="4"/>
  <c r="BQ6" i="4"/>
  <c r="BP6" i="4"/>
  <c r="BQ5" i="4"/>
  <c r="BP5" i="4"/>
  <c r="BQ4" i="4"/>
  <c r="BP4" i="4"/>
  <c r="BQ3" i="4"/>
  <c r="BP3" i="4"/>
  <c r="BQ2" i="4"/>
  <c r="BP2" i="4"/>
  <c r="BQ1" i="4"/>
  <c r="BP1" i="4"/>
  <c r="BO10" i="4"/>
  <c r="BN10" i="4"/>
  <c r="BO9" i="4"/>
  <c r="BN9" i="4"/>
  <c r="BO8" i="4"/>
  <c r="BN8" i="4"/>
  <c r="BO7" i="4"/>
  <c r="BN7" i="4"/>
  <c r="BO6" i="4"/>
  <c r="BN6" i="4"/>
  <c r="BO5" i="4"/>
  <c r="BN5" i="4"/>
  <c r="BO4" i="4"/>
  <c r="BN4" i="4"/>
  <c r="BO3" i="4"/>
  <c r="BN3" i="4"/>
  <c r="BO2" i="4"/>
  <c r="BN2" i="4"/>
  <c r="BO1" i="4"/>
  <c r="BN1" i="4"/>
  <c r="BM10" i="4"/>
  <c r="BL10" i="4"/>
  <c r="BM9" i="4"/>
  <c r="BL9" i="4"/>
  <c r="BM8" i="4"/>
  <c r="BL8" i="4"/>
  <c r="BM7" i="4"/>
  <c r="BL7" i="4"/>
  <c r="BM6" i="4"/>
  <c r="BL6" i="4"/>
  <c r="BM5" i="4"/>
  <c r="BL5" i="4"/>
  <c r="BM4" i="4"/>
  <c r="BL4" i="4"/>
  <c r="BM3" i="4"/>
  <c r="BL3" i="4"/>
  <c r="BM2" i="4"/>
  <c r="BL2" i="4"/>
  <c r="BM1" i="4"/>
  <c r="BL1" i="4"/>
  <c r="BK10" i="4"/>
  <c r="BJ10" i="4"/>
  <c r="BK9" i="4"/>
  <c r="BJ9" i="4"/>
  <c r="BK8" i="4"/>
  <c r="BJ8" i="4"/>
  <c r="BK7" i="4"/>
  <c r="BJ7" i="4"/>
  <c r="BK6" i="4"/>
  <c r="BJ6" i="4"/>
  <c r="BK5" i="4"/>
  <c r="BJ5" i="4"/>
  <c r="BK4" i="4"/>
  <c r="BJ4" i="4"/>
  <c r="BK3" i="4"/>
  <c r="BJ3" i="4"/>
  <c r="BK2" i="4"/>
  <c r="BJ2" i="4"/>
  <c r="BK1" i="4"/>
  <c r="BJ1" i="4"/>
  <c r="BI10" i="4"/>
  <c r="BH10" i="4"/>
  <c r="BI9" i="4"/>
  <c r="BH9" i="4"/>
  <c r="BI8" i="4"/>
  <c r="BH8" i="4"/>
  <c r="BI7" i="4"/>
  <c r="BH7" i="4"/>
  <c r="BI6" i="4"/>
  <c r="BH6" i="4"/>
  <c r="BI5" i="4"/>
  <c r="BH5" i="4"/>
  <c r="BI4" i="4"/>
  <c r="BH4" i="4"/>
  <c r="BI3" i="4"/>
  <c r="BH3" i="4"/>
  <c r="BI2" i="4"/>
  <c r="BH2" i="4"/>
  <c r="BI1" i="4"/>
  <c r="BH1" i="4"/>
  <c r="BG10" i="4"/>
  <c r="BF10" i="4"/>
  <c r="BG9" i="4"/>
  <c r="BF9" i="4"/>
  <c r="BG8" i="4"/>
  <c r="BF8" i="4"/>
  <c r="BG7" i="4"/>
  <c r="BF7" i="4"/>
  <c r="BG6" i="4"/>
  <c r="BF6" i="4"/>
  <c r="BG5" i="4"/>
  <c r="BF5" i="4"/>
  <c r="BG4" i="4"/>
  <c r="BF4" i="4"/>
  <c r="BG3" i="4"/>
  <c r="BF3" i="4"/>
  <c r="BG2" i="4"/>
  <c r="BF2" i="4"/>
  <c r="BG1" i="4"/>
  <c r="BF1" i="4"/>
  <c r="BE10" i="4"/>
  <c r="BD10" i="4"/>
  <c r="BE9" i="4"/>
  <c r="BD9" i="4"/>
  <c r="BE8" i="4"/>
  <c r="BD8" i="4"/>
  <c r="BE7" i="4"/>
  <c r="BD7" i="4"/>
  <c r="BE6" i="4"/>
  <c r="BD6" i="4"/>
  <c r="BE5" i="4"/>
  <c r="BD5" i="4"/>
  <c r="BE4" i="4"/>
  <c r="BD4" i="4"/>
  <c r="BE3" i="4"/>
  <c r="BD3" i="4"/>
  <c r="BE2" i="4"/>
  <c r="BD2" i="4"/>
  <c r="BE1" i="4"/>
  <c r="BD1" i="4"/>
  <c r="BC10" i="4"/>
  <c r="BB10" i="4"/>
  <c r="BC9" i="4"/>
  <c r="BB9" i="4"/>
  <c r="BC8" i="4"/>
  <c r="BB8" i="4"/>
  <c r="BC7" i="4"/>
  <c r="BB7" i="4"/>
  <c r="BC6" i="4"/>
  <c r="BB6" i="4"/>
  <c r="BC5" i="4"/>
  <c r="BB5" i="4"/>
  <c r="BC4" i="4"/>
  <c r="BB4" i="4"/>
  <c r="BC3" i="4"/>
  <c r="BB3" i="4"/>
  <c r="BC2" i="4"/>
  <c r="BB2" i="4"/>
  <c r="BC1" i="4"/>
  <c r="BB1" i="4"/>
  <c r="BA10" i="4"/>
  <c r="AZ10" i="4"/>
  <c r="BA9" i="4"/>
  <c r="AZ9" i="4"/>
  <c r="BA8" i="4"/>
  <c r="AZ8" i="4"/>
  <c r="BA7" i="4"/>
  <c r="AZ7" i="4"/>
  <c r="BA6" i="4"/>
  <c r="AZ6" i="4"/>
  <c r="BA5" i="4"/>
  <c r="AZ5" i="4"/>
  <c r="BA4" i="4"/>
  <c r="AZ4" i="4"/>
  <c r="BA3" i="4"/>
  <c r="AZ3" i="4"/>
  <c r="BA2" i="4"/>
  <c r="AZ2" i="4"/>
  <c r="BA1" i="4"/>
  <c r="AZ1" i="4"/>
  <c r="AY10" i="4"/>
  <c r="AX10" i="4"/>
  <c r="AY9" i="4"/>
  <c r="AX9" i="4"/>
  <c r="AY8" i="4"/>
  <c r="AX8" i="4"/>
  <c r="AY7" i="4"/>
  <c r="AX7" i="4"/>
  <c r="AY6" i="4"/>
  <c r="AX6" i="4"/>
  <c r="AY5" i="4"/>
  <c r="AX5" i="4"/>
  <c r="AY4" i="4"/>
  <c r="AX4" i="4"/>
  <c r="AY3" i="4"/>
  <c r="AX3" i="4"/>
  <c r="AY2" i="4"/>
  <c r="AX2" i="4"/>
  <c r="AY1" i="4"/>
  <c r="AX1" i="4"/>
  <c r="AW10" i="4"/>
  <c r="AV10" i="4"/>
  <c r="AW9" i="4"/>
  <c r="AV9" i="4"/>
  <c r="AW8" i="4"/>
  <c r="AV8" i="4"/>
  <c r="AW7" i="4"/>
  <c r="AV7" i="4"/>
  <c r="AW6" i="4"/>
  <c r="AV6" i="4"/>
  <c r="AW5" i="4"/>
  <c r="AV5" i="4"/>
  <c r="AW4" i="4"/>
  <c r="AV4" i="4"/>
  <c r="AW3" i="4"/>
  <c r="AV3" i="4"/>
  <c r="AW2" i="4"/>
  <c r="AV2" i="4"/>
  <c r="AW1" i="4"/>
  <c r="AV1" i="4"/>
  <c r="AU10" i="4"/>
  <c r="AT10" i="4"/>
  <c r="AU9" i="4"/>
  <c r="AT9" i="4"/>
  <c r="AU8" i="4"/>
  <c r="AT8" i="4"/>
  <c r="AU7" i="4"/>
  <c r="AT7" i="4"/>
  <c r="AU6" i="4"/>
  <c r="AT6" i="4"/>
  <c r="AU5" i="4"/>
  <c r="AT5" i="4"/>
  <c r="AU4" i="4"/>
  <c r="AT4" i="4"/>
  <c r="AU3" i="4"/>
  <c r="AT3" i="4"/>
  <c r="AU2" i="4"/>
  <c r="AT2" i="4"/>
  <c r="AU1" i="4"/>
  <c r="AT1" i="4"/>
  <c r="AS10" i="4"/>
  <c r="AR10" i="4"/>
  <c r="AS9" i="4"/>
  <c r="AR9" i="4"/>
  <c r="AS8" i="4"/>
  <c r="AR8" i="4"/>
  <c r="AS7" i="4"/>
  <c r="AR7" i="4"/>
  <c r="AS6" i="4"/>
  <c r="AR6" i="4"/>
  <c r="AS5" i="4"/>
  <c r="AR5" i="4"/>
  <c r="AS4" i="4"/>
  <c r="AR4" i="4"/>
  <c r="AS3" i="4"/>
  <c r="AR3" i="4"/>
  <c r="AS2" i="4"/>
  <c r="AR2" i="4"/>
  <c r="AS1" i="4"/>
  <c r="AR1" i="4"/>
  <c r="AQ10" i="4"/>
  <c r="AP10" i="4"/>
  <c r="AQ9" i="4"/>
  <c r="AP9" i="4"/>
  <c r="AQ8" i="4"/>
  <c r="AP8" i="4"/>
  <c r="AQ7" i="4"/>
  <c r="AP7" i="4"/>
  <c r="AQ6" i="4"/>
  <c r="AP6" i="4"/>
  <c r="AQ5" i="4"/>
  <c r="AP5" i="4"/>
  <c r="AQ4" i="4"/>
  <c r="AP4" i="4"/>
  <c r="AQ3" i="4"/>
  <c r="AP3" i="4"/>
  <c r="AQ2" i="4"/>
  <c r="AP2" i="4"/>
  <c r="AQ1" i="4"/>
  <c r="AP1" i="4"/>
  <c r="AO6" i="4"/>
  <c r="AN6" i="4"/>
  <c r="AO5" i="4"/>
  <c r="AN5" i="4"/>
  <c r="AO4" i="4"/>
  <c r="AN4" i="4"/>
  <c r="AO3" i="4"/>
  <c r="AN3" i="4"/>
  <c r="AO2" i="4"/>
  <c r="AN2" i="4"/>
  <c r="AO1" i="4"/>
  <c r="AN1" i="4"/>
  <c r="AM6" i="4"/>
  <c r="AM5" i="4"/>
  <c r="AM4" i="4"/>
  <c r="AM3" i="4"/>
  <c r="AM1" i="4"/>
  <c r="AL6" i="4"/>
  <c r="AL5" i="4"/>
  <c r="AL4" i="4"/>
  <c r="AL3" i="4"/>
  <c r="AL1" i="4"/>
  <c r="AM7" i="4"/>
  <c r="AL7" i="4"/>
  <c r="AM2" i="4" s="1"/>
  <c r="AK6" i="4"/>
  <c r="AK5" i="4"/>
  <c r="AK4" i="4"/>
  <c r="AK3" i="4"/>
  <c r="AK1" i="4"/>
  <c r="AJ6" i="4"/>
  <c r="AJ5" i="4"/>
  <c r="AJ4" i="4"/>
  <c r="AJ3" i="4"/>
  <c r="AJ1" i="4"/>
  <c r="AK7" i="4"/>
  <c r="AJ7" i="4"/>
  <c r="AK2" i="4" s="1"/>
  <c r="AI6" i="4"/>
  <c r="AH6" i="4"/>
  <c r="AI5" i="4"/>
  <c r="AH5" i="4"/>
  <c r="AI4" i="4"/>
  <c r="AH4" i="4"/>
  <c r="AI3" i="4"/>
  <c r="AH3" i="4"/>
  <c r="AI2" i="4"/>
  <c r="AH2" i="4"/>
  <c r="AI1" i="4"/>
  <c r="AH1" i="4"/>
  <c r="AG6" i="4"/>
  <c r="AF6" i="4"/>
  <c r="AG5" i="4"/>
  <c r="AF5" i="4"/>
  <c r="AG4" i="4"/>
  <c r="AF4" i="4"/>
  <c r="AG3" i="4"/>
  <c r="AF3" i="4"/>
  <c r="AG2" i="4"/>
  <c r="AF2" i="4"/>
  <c r="AG1" i="4"/>
  <c r="AF1" i="4"/>
  <c r="AE6" i="4"/>
  <c r="AD6" i="4"/>
  <c r="AE5" i="4"/>
  <c r="AD5" i="4"/>
  <c r="AE4" i="4"/>
  <c r="AD4" i="4"/>
  <c r="AE3" i="4"/>
  <c r="AD3" i="4"/>
  <c r="AE2" i="4"/>
  <c r="AD2" i="4"/>
  <c r="AE1" i="4"/>
  <c r="AD1" i="4"/>
  <c r="AC6" i="4"/>
  <c r="AB6" i="4"/>
  <c r="AC5" i="4"/>
  <c r="AB5" i="4"/>
  <c r="AC4" i="4"/>
  <c r="AB4" i="4"/>
  <c r="AC3" i="4"/>
  <c r="AB3" i="4"/>
  <c r="AC2" i="4"/>
  <c r="AB2" i="4"/>
  <c r="AC1" i="4"/>
  <c r="AB1" i="4"/>
  <c r="AA6" i="4"/>
  <c r="AA5" i="4"/>
  <c r="AA4" i="4"/>
  <c r="AA3" i="4"/>
  <c r="AA1" i="4"/>
  <c r="Z6" i="4"/>
  <c r="Z5" i="4"/>
  <c r="Z4" i="4"/>
  <c r="Z3" i="4"/>
  <c r="Z1" i="4"/>
  <c r="AA7" i="4"/>
  <c r="Z7" i="4"/>
  <c r="AA2" i="4" s="1"/>
  <c r="X1" i="4"/>
  <c r="V1" i="4"/>
  <c r="T1" i="4"/>
  <c r="R1" i="4"/>
  <c r="Q2" i="4"/>
  <c r="Q1" i="4"/>
  <c r="P3" i="4"/>
  <c r="P2" i="4"/>
  <c r="O2" i="4"/>
  <c r="O1" i="4"/>
  <c r="N3" i="4"/>
  <c r="N2" i="4"/>
  <c r="M2" i="4"/>
  <c r="M1" i="4"/>
  <c r="L3" i="4"/>
  <c r="L2" i="4"/>
  <c r="K6" i="4"/>
  <c r="J6" i="4"/>
  <c r="K5" i="4"/>
  <c r="J5" i="4"/>
  <c r="K4" i="4"/>
  <c r="J4" i="4"/>
  <c r="K3" i="4"/>
  <c r="J3" i="4"/>
  <c r="K2" i="4"/>
  <c r="J2" i="4"/>
  <c r="K1" i="4"/>
  <c r="J1" i="4"/>
  <c r="I6" i="4"/>
  <c r="H6" i="4"/>
  <c r="I5" i="4"/>
  <c r="H5" i="4"/>
  <c r="I4" i="4"/>
  <c r="H4" i="4"/>
  <c r="I3" i="4"/>
  <c r="H3" i="4"/>
  <c r="I2" i="4"/>
  <c r="H2" i="4"/>
  <c r="I1" i="4"/>
  <c r="H1" i="4"/>
  <c r="G6" i="4"/>
  <c r="F6" i="4"/>
  <c r="G5" i="4"/>
  <c r="F5" i="4"/>
  <c r="G4" i="4"/>
  <c r="F4" i="4"/>
  <c r="G3" i="4"/>
  <c r="F3" i="4"/>
  <c r="G2" i="4"/>
  <c r="F2" i="4"/>
  <c r="G1" i="4"/>
  <c r="F1" i="4"/>
  <c r="D6" i="4"/>
  <c r="D5" i="4"/>
  <c r="D4" i="4"/>
  <c r="D3" i="4"/>
  <c r="D1" i="4"/>
  <c r="E7" i="4"/>
  <c r="D7" i="4"/>
  <c r="D2" i="4" s="1"/>
  <c r="C6" i="4"/>
  <c r="B6" i="4"/>
  <c r="C5" i="4"/>
  <c r="B5" i="4"/>
  <c r="C4" i="4"/>
  <c r="B4" i="4"/>
  <c r="C3" i="4"/>
  <c r="B3" i="4"/>
  <c r="C2" i="4"/>
  <c r="B2" i="4"/>
  <c r="C1" i="4"/>
  <c r="B1" i="4"/>
  <c r="IX5" i="4" l="1"/>
  <c r="W7" i="4"/>
  <c r="IV4" i="4"/>
  <c r="R7" i="4"/>
  <c r="R2" i="4" s="1"/>
  <c r="HP5" i="4"/>
  <c r="HR4" i="4"/>
  <c r="HT5" i="4"/>
  <c r="HZ4" i="4"/>
  <c r="IB5" i="4"/>
  <c r="ID4" i="4"/>
  <c r="IF5" i="4"/>
  <c r="IH4" i="4"/>
  <c r="IJ5" i="4"/>
  <c r="IL4" i="4"/>
  <c r="IN5" i="4"/>
  <c r="IP4" i="4"/>
  <c r="IR5" i="4"/>
  <c r="IT4" i="4"/>
  <c r="IV5" i="4"/>
  <c r="IX4" i="4"/>
  <c r="HP4" i="4"/>
  <c r="HS7" i="4"/>
  <c r="HR3" i="4"/>
  <c r="HR5" i="4"/>
  <c r="HT4" i="4"/>
  <c r="IA7" i="4"/>
  <c r="HZ3" i="4"/>
  <c r="HZ5" i="4"/>
  <c r="IB4" i="4"/>
  <c r="IE7" i="4"/>
  <c r="ID3" i="4"/>
  <c r="ID5" i="4"/>
  <c r="IF4" i="4"/>
  <c r="II7" i="4"/>
  <c r="IH3" i="4"/>
  <c r="IH5" i="4"/>
  <c r="IJ4" i="4"/>
  <c r="IM7" i="4"/>
  <c r="IL3" i="4"/>
  <c r="IL5" i="4"/>
  <c r="IN4" i="4"/>
  <c r="IQ7" i="4"/>
  <c r="IP3" i="4"/>
  <c r="IP5" i="4"/>
  <c r="IR4" i="4"/>
  <c r="IU7" i="4"/>
  <c r="IT3" i="4"/>
  <c r="IT5" i="4"/>
  <c r="IY7" i="4"/>
  <c r="GN2" i="4"/>
  <c r="GR2" i="4"/>
  <c r="GT2" i="4"/>
  <c r="GV2" i="4"/>
  <c r="GX2" i="4"/>
  <c r="GZ2" i="4"/>
  <c r="HB2" i="4"/>
  <c r="HD2" i="4"/>
  <c r="HF2" i="4"/>
  <c r="HH2" i="4"/>
  <c r="HJ2" i="4"/>
  <c r="HL2" i="4"/>
  <c r="HV2" i="4"/>
  <c r="HX2" i="4"/>
  <c r="IZ2" i="4"/>
  <c r="JB2" i="4"/>
  <c r="JC2" i="4"/>
  <c r="JD2" i="4"/>
  <c r="GH2" i="4"/>
  <c r="GF2" i="4"/>
  <c r="AL2" i="4"/>
  <c r="R3" i="4"/>
  <c r="X4" i="4"/>
  <c r="T3" i="4"/>
  <c r="V7" i="4"/>
  <c r="V2" i="4" s="1"/>
  <c r="V4" i="4"/>
  <c r="V6" i="4"/>
  <c r="T7" i="4"/>
  <c r="T4" i="4"/>
  <c r="V3" i="4"/>
  <c r="X7" i="4"/>
  <c r="X2" i="4" s="1"/>
  <c r="AJ2" i="4"/>
  <c r="Z2" i="4"/>
  <c r="R4" i="4"/>
  <c r="S7" i="4"/>
  <c r="R5" i="4" l="1"/>
  <c r="V5" i="4"/>
  <c r="X5" i="4"/>
  <c r="T5" i="4"/>
  <c r="IV7" i="4"/>
  <c r="IV2" i="4" s="1"/>
  <c r="IR6" i="4"/>
  <c r="IR7" i="4"/>
  <c r="IR2" i="4" s="1"/>
  <c r="IN6" i="4"/>
  <c r="IN7" i="4"/>
  <c r="IN2" i="4" s="1"/>
  <c r="IJ6" i="4"/>
  <c r="IJ7" i="4"/>
  <c r="IJ2" i="4" s="1"/>
  <c r="IF6" i="4"/>
  <c r="IF7" i="4"/>
  <c r="IF2" i="4" s="1"/>
  <c r="IB6" i="4"/>
  <c r="IB7" i="4"/>
  <c r="IB2" i="4" s="1"/>
  <c r="HT6" i="4"/>
  <c r="HT7" i="4"/>
  <c r="HT2" i="4" s="1"/>
  <c r="HP6" i="4"/>
  <c r="HP7" i="4"/>
  <c r="HP2" i="4" s="1"/>
  <c r="IX7" i="4"/>
  <c r="IX2" i="4" s="1"/>
  <c r="IW7" i="4"/>
  <c r="IT7" i="4"/>
  <c r="IT2" i="4" s="1"/>
  <c r="IS7" i="4"/>
  <c r="IP7" i="4"/>
  <c r="IP2" i="4" s="1"/>
  <c r="IO7" i="4"/>
  <c r="IL7" i="4"/>
  <c r="IL2" i="4" s="1"/>
  <c r="IK7" i="4"/>
  <c r="IH7" i="4"/>
  <c r="IH2" i="4" s="1"/>
  <c r="IG7" i="4"/>
  <c r="ID7" i="4"/>
  <c r="ID2" i="4" s="1"/>
  <c r="IC7" i="4"/>
  <c r="HZ7" i="4"/>
  <c r="HZ2" i="4" s="1"/>
  <c r="HU7" i="4"/>
  <c r="HR7" i="4"/>
  <c r="HR2" i="4" s="1"/>
  <c r="HQ7" i="4"/>
  <c r="U7" i="4"/>
  <c r="Y7" i="4"/>
  <c r="R6" i="4"/>
  <c r="IX3" i="4"/>
  <c r="X6" i="4"/>
  <c r="T6" i="4"/>
  <c r="T2" i="4"/>
  <c r="X3" i="4"/>
  <c r="IV6" i="4"/>
  <c r="IX6" i="4"/>
  <c r="IV3" i="4"/>
  <c r="IT6" i="4"/>
  <c r="IR3" i="4"/>
  <c r="IP6" i="4"/>
  <c r="IN3" i="4"/>
  <c r="IL6" i="4"/>
  <c r="IJ3" i="4"/>
  <c r="IH6" i="4"/>
  <c r="IF3" i="4"/>
  <c r="ID6" i="4"/>
  <c r="IB3" i="4"/>
  <c r="HZ6" i="4"/>
  <c r="HT3" i="4"/>
  <c r="HR6" i="4"/>
  <c r="HP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</authors>
  <commentList>
    <comment ref="W2" authorId="0" shapeId="0" xr:uid="{00000000-0006-0000-0100-000001000000}">
      <text>
        <r>
          <rPr>
            <sz val="9"/>
            <color indexed="81"/>
            <rFont val="Tahoma"/>
            <family val="2"/>
          </rPr>
          <t>Hvis intet angives tilpasses akserne automatisk</t>
        </r>
      </text>
    </comment>
    <comment ref="Q5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Bare skriv koordinaterne ind under x og y. så dukker punkterne frem på grafen.
De tre kolonner svarer til tre datasæt med hver deres farve.
Der kan være 1000 punkter i hver serie. Hvis der er brug for mere, må du selv ændre serien vha. 'vælg data' funktionen</t>
        </r>
      </text>
    </comment>
    <comment ref="W5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Konstanter der indgår i funktionerne kan ændres her</t>
        </r>
      </text>
    </comment>
    <comment ref="Y5" authorId="0" shapeId="0" xr:uid="{00000000-0006-0000-0100-000004000000}">
      <text>
        <r>
          <rPr>
            <sz val="9"/>
            <color indexed="81"/>
            <rFont val="Tahoma"/>
            <family val="2"/>
          </rPr>
          <t>Der kan indtastet op til 5 punkter som bliver markeret på grafen.
Når x-værdien ændres indsættes automatisk y-værdien for første funktion.</t>
        </r>
      </text>
    </comment>
    <comment ref="AJ20" authorId="0" shapeId="0" xr:uid="{78E84E70-920F-4291-89CF-98C7877938CA}">
      <text>
        <r>
          <rPr>
            <b/>
            <sz val="9"/>
            <color indexed="81"/>
            <rFont val="Tahoma"/>
            <family val="2"/>
          </rPr>
          <t xml:space="preserve">Residualspredning
</t>
        </r>
      </text>
    </comment>
    <comment ref="AJ21" authorId="0" shapeId="0" xr:uid="{848C4EAF-E7A8-4142-97AC-735F0774F9CF}">
      <text>
        <r>
          <rPr>
            <b/>
            <sz val="9"/>
            <color indexed="81"/>
            <rFont val="Tahoma"/>
            <family val="2"/>
          </rPr>
          <t xml:space="preserve">Usikkerheden på hældningskoefficienten
</t>
        </r>
        <r>
          <rPr>
            <i/>
            <sz val="9"/>
            <color indexed="81"/>
            <rFont val="Tahoma"/>
            <family val="2"/>
          </rPr>
          <t>Kun relevant for lineær regression.</t>
        </r>
        <r>
          <rPr>
            <sz val="9"/>
            <color indexed="81"/>
            <rFont val="Tahoma"/>
            <family val="2"/>
          </rPr>
          <t xml:space="preserve">
Konfidensintervallet er [a-Δa , a+Δa]</t>
        </r>
      </text>
    </comment>
    <comment ref="AJ22" authorId="0" shapeId="0" xr:uid="{424D6C39-F886-45DB-850B-16E3902EF3C4}">
      <text>
        <r>
          <rPr>
            <b/>
            <sz val="9"/>
            <color indexed="81"/>
            <rFont val="Tahoma"/>
            <family val="2"/>
          </rPr>
          <t>Korrelationskoefficient</t>
        </r>
      </text>
    </comment>
    <comment ref="AJ23" authorId="0" shapeId="0" xr:uid="{406D50D9-A9BB-42A9-807B-8878BABBA570}">
      <text>
        <r>
          <rPr>
            <b/>
            <sz val="9"/>
            <color indexed="81"/>
            <rFont val="Tahoma"/>
            <family val="2"/>
          </rPr>
          <t>Forklaringsgraden</t>
        </r>
      </text>
    </comment>
    <comment ref="AJ25" authorId="0" shapeId="0" xr:uid="{8D39FD86-A53C-442A-9A3A-E9EE051696A5}">
      <text>
        <r>
          <rPr>
            <b/>
            <sz val="9"/>
            <color indexed="81"/>
            <rFont val="Tahoma"/>
            <family val="2"/>
          </rPr>
          <t>Middelværdi af x-værdier</t>
        </r>
      </text>
    </comment>
    <comment ref="AJ26" authorId="0" shapeId="0" xr:uid="{C9BD7A82-2A32-4202-8E21-9738792CC521}">
      <text>
        <r>
          <rPr>
            <b/>
            <sz val="9"/>
            <color indexed="81"/>
            <rFont val="Tahoma"/>
            <family val="2"/>
          </rPr>
          <t>Spredning af x-værdier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<sst xmlns="http://schemas.openxmlformats.org/spreadsheetml/2006/main" count="50" uniqueCount="32">
  <si>
    <r>
      <t>X</t>
    </r>
    <r>
      <rPr>
        <b/>
        <sz val="7"/>
        <rFont val="Arial"/>
        <family val="2"/>
      </rPr>
      <t>min</t>
    </r>
  </si>
  <si>
    <r>
      <t>X</t>
    </r>
    <r>
      <rPr>
        <b/>
        <sz val="7"/>
        <rFont val="Arial"/>
        <family val="2"/>
      </rPr>
      <t>max</t>
    </r>
  </si>
  <si>
    <r>
      <t>Y</t>
    </r>
    <r>
      <rPr>
        <b/>
        <sz val="7"/>
        <rFont val="Arial"/>
        <family val="2"/>
      </rPr>
      <t>min</t>
    </r>
  </si>
  <si>
    <r>
      <t>Y</t>
    </r>
    <r>
      <rPr>
        <b/>
        <sz val="7"/>
        <rFont val="Arial"/>
        <family val="2"/>
      </rPr>
      <t>max</t>
    </r>
  </si>
  <si>
    <t>x</t>
  </si>
  <si>
    <t>f1</t>
  </si>
  <si>
    <t>f2</t>
  </si>
  <si>
    <t>f3</t>
  </si>
  <si>
    <t>f4</t>
  </si>
  <si>
    <t>f5</t>
  </si>
  <si>
    <t>f6</t>
  </si>
  <si>
    <t>y</t>
  </si>
  <si>
    <t>grad</t>
  </si>
  <si>
    <t>Residuals</t>
  </si>
  <si>
    <t>Dataset 1</t>
  </si>
  <si>
    <t>Dataset 2</t>
  </si>
  <si>
    <t>Dataset 3</t>
  </si>
  <si>
    <t>6 columns not used</t>
  </si>
  <si>
    <t>sæt 1</t>
  </si>
  <si>
    <t>sæt 2</t>
  </si>
  <si>
    <t>sæt 3</t>
  </si>
  <si>
    <r>
      <rPr>
        <sz val="11"/>
        <color theme="1"/>
        <rFont val="Calibri"/>
        <family val="2"/>
      </rPr>
      <t>μ</t>
    </r>
    <r>
      <rPr>
        <sz val="8"/>
        <color theme="1"/>
        <rFont val="Calibri"/>
        <family val="2"/>
        <scheme val="minor"/>
      </rPr>
      <t>x</t>
    </r>
  </si>
  <si>
    <r>
      <rPr>
        <sz val="11"/>
        <color theme="1"/>
        <rFont val="Calibri"/>
        <family val="2"/>
      </rPr>
      <t>σ</t>
    </r>
    <r>
      <rPr>
        <sz val="8"/>
        <color theme="1"/>
        <rFont val="Calibri"/>
        <family val="2"/>
        <scheme val="minor"/>
      </rPr>
      <t>x</t>
    </r>
  </si>
  <si>
    <t>Δa</t>
  </si>
  <si>
    <r>
      <t>R</t>
    </r>
    <r>
      <rPr>
        <vertAlign val="superscript"/>
        <sz val="11"/>
        <color theme="1"/>
        <rFont val="Calibri"/>
        <family val="2"/>
        <scheme val="minor"/>
      </rPr>
      <t>2</t>
    </r>
  </si>
  <si>
    <r>
      <t>s</t>
    </r>
    <r>
      <rPr>
        <vertAlign val="subscript"/>
        <sz val="12"/>
        <color theme="1"/>
        <rFont val="Calibri"/>
        <family val="2"/>
        <scheme val="minor"/>
      </rPr>
      <t>residual</t>
    </r>
  </si>
  <si>
    <t>R</t>
  </si>
  <si>
    <t>r</t>
  </si>
  <si>
    <t>Punkter</t>
  </si>
  <si>
    <t>Koordinatsystem</t>
  </si>
  <si>
    <t>Konstanter</t>
  </si>
  <si>
    <t>Marker punkter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</si>
</sst>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7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8"/>
      <color theme="1"/>
      <name val="Calibri"/>
      <family val="2"/>
      <scheme val="minor"/>
    </font>
    <font>
      <i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2">
    <xf numFmtId="0" fontId="0" fillId="0" borderId="0" xfId="0"/>
    <xf numFmtId="0" fontId="1" fillId="0" borderId="0" xfId="0" applyFont="1"/>
    <xf numFmtId="9" fontId="0" fillId="0" borderId="0" xfId="0" applyNumberForma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4" fillId="0" borderId="4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6" xfId="0" applyBorder="1"/>
    <xf numFmtId="0" fontId="8" fillId="0" borderId="3" xfId="0" applyFont="1" applyBorder="1" applyAlignment="1">
      <alignment horizontal="left"/>
    </xf>
    <xf numFmtId="0" fontId="8" fillId="0" borderId="8" xfId="0" applyFont="1" applyBorder="1" applyAlignment="1">
      <alignment horizontal="left"/>
    </xf>
    <xf numFmtId="0" fontId="8" fillId="0" borderId="6" xfId="0" applyFont="1" applyBorder="1" applyAlignment="1">
      <alignment horizontal="left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0" xfId="0" applyAlignment="1">
      <alignment horizontal="left"/>
    </xf>
    <xf numFmtId="0" fontId="9" fillId="0" borderId="0" xfId="0" applyFont="1"/>
    <xf numFmtId="9" fontId="11" fillId="0" borderId="0" xfId="1" applyFont="1" applyAlignment="1">
      <alignment horizontal="center"/>
    </xf>
    <xf numFmtId="0" fontId="10" fillId="0" borderId="0" xfId="0" applyFont="1"/>
    <xf numFmtId="0" fontId="11" fillId="0" borderId="0" xfId="0" applyFont="1"/>
    <xf numFmtId="0" fontId="10" fillId="0" borderId="0" xfId="0" applyFont="1" applyAlignment="1">
      <alignment wrapText="1"/>
    </xf>
    <xf numFmtId="0" fontId="0" fillId="0" borderId="20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0" xfId="0" applyAlignment="1">
      <alignment horizontal="center"/>
    </xf>
    <xf numFmtId="0" fontId="13" fillId="0" borderId="0" xfId="0" applyFont="1"/>
    <xf numFmtId="164" fontId="0" fillId="0" borderId="0" xfId="0" applyNumberFormat="1"/>
    <xf numFmtId="0" fontId="16" fillId="0" borderId="0" xfId="0" applyFont="1" applyAlignment="1">
      <alignment horizontal="left"/>
    </xf>
    <xf numFmtId="0" fontId="19" fillId="0" borderId="0" xfId="0" applyFont="1"/>
    <xf numFmtId="0" fontId="0" fillId="0" borderId="1" xfId="0" applyBorder="1"/>
    <xf numFmtId="0" fontId="0" fillId="0" borderId="3" xfId="0" applyBorder="1"/>
    <xf numFmtId="0" fontId="20" fillId="0" borderId="0" xfId="0" applyFont="1"/>
    <xf numFmtId="0" fontId="0" fillId="0" borderId="11" xfId="0" applyBorder="1" applyAlignment="1">
      <alignment horizontal="right"/>
    </xf>
    <xf numFmtId="0" fontId="0" fillId="0" borderId="12" xfId="0" applyBorder="1" applyAlignment="1">
      <alignment horizontal="right"/>
    </xf>
  </cellXfs>
  <cellStyles count="2">
    <cellStyle name="Normal" xfId="0" builtinId="0"/>
    <cellStyle name="Pro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chartsheet" Target="chartsheets/sheet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f1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Tabel!$B$7:$B$207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FA-4245-B149-D5640D1C1672}"/>
            </c:ext>
          </c:extLst>
        </c:ser>
        <c:ser>
          <c:idx val="2"/>
          <c:order val="1"/>
          <c:tx>
            <c:v>f2</c:v>
          </c:tx>
          <c:spPr>
            <a:ln w="12700">
              <a:solidFill>
                <a:srgbClr val="00B05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Tabel!$C$7:$C$207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EFA-4245-B149-D5640D1C1672}"/>
            </c:ext>
          </c:extLst>
        </c:ser>
        <c:ser>
          <c:idx val="3"/>
          <c:order val="2"/>
          <c:tx>
            <c:v>f3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Tabel!$D$7:$D$2107</c:f>
              <c:numCache>
                <c:formatCode>General</c:formatCode>
                <c:ptCount val="2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EFA-4245-B149-D5640D1C1672}"/>
            </c:ext>
          </c:extLst>
        </c:ser>
        <c:ser>
          <c:idx val="4"/>
          <c:order val="3"/>
          <c:tx>
            <c:v>f4</c:v>
          </c:tx>
          <c:spPr>
            <a:ln w="127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Tabel!$E$7:$E$207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EFA-4245-B149-D5640D1C1672}"/>
            </c:ext>
          </c:extLst>
        </c:ser>
        <c:ser>
          <c:idx val="5"/>
          <c:order val="4"/>
          <c:tx>
            <c:v>f5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Tabel!$F$7:$F$207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EFA-4245-B149-D5640D1C1672}"/>
            </c:ext>
          </c:extLst>
        </c:ser>
        <c:ser>
          <c:idx val="6"/>
          <c:order val="5"/>
          <c:tx>
            <c:v>f6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Tabel!$G$7:$G$207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EFA-4245-B149-D5640D1C1672}"/>
            </c:ext>
          </c:extLst>
        </c:ser>
        <c:ser>
          <c:idx val="9"/>
          <c:order val="9"/>
          <c:tx>
            <c:v>MarkSerie10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JRplotdata!$JH$1:$JH$3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JRplotdata!$JI$1:$JI$3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EFA-4245-B149-D5640D1C1672}"/>
            </c:ext>
          </c:extLst>
        </c:ser>
        <c:ser>
          <c:idx val="10"/>
          <c:order val="10"/>
          <c:tx>
            <c:v>MarkSerie11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JRplotdata!$JJ$1:$JJ$3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JRplotdata!$JK$1:$JK$3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EFA-4245-B149-D5640D1C1672}"/>
            </c:ext>
          </c:extLst>
        </c:ser>
        <c:ser>
          <c:idx val="11"/>
          <c:order val="11"/>
          <c:tx>
            <c:v>MarkSerie12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JRplotdata!$JL$1:$JL$3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JRplotdata!$JM$1:$JM$3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EFA-4245-B149-D5640D1C1672}"/>
            </c:ext>
          </c:extLst>
        </c:ser>
        <c:ser>
          <c:idx val="12"/>
          <c:order val="12"/>
          <c:tx>
            <c:v>MarkSerie13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JRplotdata!$JN$1:$JN$3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JRplotdata!$JO$1:$JO$3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EFA-4245-B149-D5640D1C1672}"/>
            </c:ext>
          </c:extLst>
        </c:ser>
        <c:ser>
          <c:idx val="13"/>
          <c:order val="13"/>
          <c:tx>
            <c:v>MarkSerie14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JRplotdata!$JP$1:$JP$3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JRplotdata!$JQ$1:$JQ$3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EFA-4245-B149-D5640D1C1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scatterChart>
        <c:scatterStyle val="lineMarker"/>
        <c:varyColors val="0"/>
        <c:ser>
          <c:idx val="1"/>
          <c:order val="6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Tabel!$Q$7:$Q$1000</c:f>
              <c:numCache>
                <c:formatCode>General</c:formatCode>
                <c:ptCount val="994"/>
              </c:numCache>
            </c:numRef>
          </c:xVal>
          <c:yVal>
            <c:numRef>
              <c:f>Tabel!$R$7:$R$1000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EFA-4245-B149-D5640D1C1672}"/>
            </c:ext>
          </c:extLst>
        </c:ser>
        <c:ser>
          <c:idx val="7"/>
          <c:order val="7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Tabel!$S$7:$S$1000</c:f>
              <c:numCache>
                <c:formatCode>General</c:formatCode>
                <c:ptCount val="994"/>
              </c:numCache>
            </c:numRef>
          </c:xVal>
          <c:yVal>
            <c:numRef>
              <c:f>Tabel!$T$7:$T$1000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EFA-4245-B149-D5640D1C1672}"/>
            </c:ext>
          </c:extLst>
        </c:ser>
        <c:ser>
          <c:idx val="8"/>
          <c:order val="8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Tabel!$U$7:$U$1000</c:f>
              <c:numCache>
                <c:formatCode>General</c:formatCode>
                <c:ptCount val="994"/>
              </c:numCache>
            </c:numRef>
          </c:xVal>
          <c:yVal>
            <c:numRef>
              <c:f>Tabel!$V$7:$V$1000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EFA-4245-B149-D5640D1C1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valAx>
        <c:axId val="33129609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65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  <a:alpha val="7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0296273817699746"/>
              <c:y val="0.894879467866335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7664"/>
        <c:crosses val="autoZero"/>
        <c:crossBetween val="midCat"/>
      </c:valAx>
      <c:valAx>
        <c:axId val="3312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  <a:alpha val="7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y</a:t>
                </a:r>
              </a:p>
            </c:rich>
          </c:tx>
          <c:layout>
            <c:manualLayout>
              <c:xMode val="edge"/>
              <c:yMode val="edge"/>
              <c:x val="1.2461059190031152E-2"/>
              <c:y val="5.1025115762968656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a-DK"/>
              <a:t>Residualplot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Tabel!$Q$7:$Q$1000</c:f>
              <c:numCache>
                <c:formatCode>General</c:formatCode>
                <c:ptCount val="994"/>
              </c:numCache>
            </c:numRef>
          </c:xVal>
          <c:yVal>
            <c:numRef>
              <c:f>Tabel!$N$7:$N$1000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601-4E26-A298-F365AC6D1899}"/>
            </c:ext>
          </c:extLst>
        </c:ser>
        <c:ser>
          <c:idx val="7"/>
          <c:order val="1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Tabel!$S$7:$S$1000</c:f>
              <c:numCache>
                <c:formatCode>General</c:formatCode>
                <c:ptCount val="994"/>
              </c:numCache>
            </c:numRef>
          </c:xVal>
          <c:yVal>
            <c:numRef>
              <c:f>Tabel!$O$7:$O$1000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601-4E26-A298-F365AC6D1899}"/>
            </c:ext>
          </c:extLst>
        </c:ser>
        <c:ser>
          <c:idx val="8"/>
          <c:order val="2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Tabel!$U$7:$U$1000</c:f>
              <c:numCache>
                <c:formatCode>General</c:formatCode>
                <c:ptCount val="994"/>
              </c:numCache>
            </c:numRef>
          </c:xVal>
          <c:yVal>
            <c:numRef>
              <c:f>Tabel!$P$7:$P$1000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601-4E26-A298-F365AC6D1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valAx>
        <c:axId val="33129609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65000"/>
                  <a:alpha val="75000"/>
                </a:scheme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8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0296273817699746"/>
              <c:y val="0.894879467866335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7664"/>
        <c:crosses val="autoZero"/>
        <c:crossBetween val="midCat"/>
      </c:valAx>
      <c:valAx>
        <c:axId val="3312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75000"/>
                </a:scheme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9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Residual</a:t>
                </a:r>
              </a:p>
            </c:rich>
          </c:tx>
          <c:layout>
            <c:manualLayout>
              <c:xMode val="edge"/>
              <c:yMode val="edge"/>
              <c:x val="2.0574659404896906E-2"/>
              <c:y val="0.375700438252186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a-DK"/>
              <a:t>Title</a:t>
            </a:r>
          </a:p>
        </c:rich>
      </c:tx>
      <c:overlay val="1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f1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Tabel!$B$7:$B$207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CA-4AFD-B76F-442F19D968CC}"/>
            </c:ext>
          </c:extLst>
        </c:ser>
        <c:ser>
          <c:idx val="2"/>
          <c:order val="1"/>
          <c:tx>
            <c:v>f2</c:v>
          </c:tx>
          <c:spPr>
            <a:ln w="12700">
              <a:solidFill>
                <a:srgbClr val="00B05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Tabel!$C$7:$C$207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CA-4AFD-B76F-442F19D968CC}"/>
            </c:ext>
          </c:extLst>
        </c:ser>
        <c:ser>
          <c:idx val="3"/>
          <c:order val="2"/>
          <c:tx>
            <c:v>f3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Tabel!$D$7:$D$2107</c:f>
              <c:numCache>
                <c:formatCode>General</c:formatCode>
                <c:ptCount val="2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CA-4AFD-B76F-442F19D968CC}"/>
            </c:ext>
          </c:extLst>
        </c:ser>
        <c:ser>
          <c:idx val="4"/>
          <c:order val="3"/>
          <c:tx>
            <c:v>f4</c:v>
          </c:tx>
          <c:spPr>
            <a:ln w="127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Tabel!$E$7:$E$207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CA-4AFD-B76F-442F19D968CC}"/>
            </c:ext>
          </c:extLst>
        </c:ser>
        <c:ser>
          <c:idx val="5"/>
          <c:order val="4"/>
          <c:tx>
            <c:v>f5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Tabel!$F$7:$F$207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CA-4AFD-B76F-442F19D968CC}"/>
            </c:ext>
          </c:extLst>
        </c:ser>
        <c:ser>
          <c:idx val="6"/>
          <c:order val="5"/>
          <c:tx>
            <c:v>f6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Tabel!$G$7:$G$207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CA-4AFD-B76F-442F19D968CC}"/>
            </c:ext>
          </c:extLst>
        </c:ser>
        <c:ser>
          <c:idx val="9"/>
          <c:order val="9"/>
          <c:tx>
            <c:v>MarkSerie10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JRplotdata!$JF$1:$JF$3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JRplotdata!$JG$1:$JG$3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8CA-4AFD-B76F-442F19D968CC}"/>
            </c:ext>
          </c:extLst>
        </c:ser>
        <c:ser>
          <c:idx val="10"/>
          <c:order val="10"/>
          <c:tx>
            <c:v>MarkSerie11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JRplotdata!$JR$1:$JR$3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JRplotdata!$JS$1:$JS$3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8CA-4AFD-B76F-442F19D968CC}"/>
            </c:ext>
          </c:extLst>
        </c:ser>
        <c:ser>
          <c:idx val="11"/>
          <c:order val="11"/>
          <c:tx>
            <c:v>MarkSerie12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JRplotdata!$JT$1:$JT$3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JRplotdata!$JU$1:$JU$3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8CA-4AFD-B76F-442F19D968CC}"/>
            </c:ext>
          </c:extLst>
        </c:ser>
        <c:ser>
          <c:idx val="12"/>
          <c:order val="12"/>
          <c:tx>
            <c:v>MarkSerie13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JRplotdata!$JV$1:$JV$3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JRplotdata!$JW$1:$JW$3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8CA-4AFD-B76F-442F19D968CC}"/>
            </c:ext>
          </c:extLst>
        </c:ser>
        <c:ser>
          <c:idx val="13"/>
          <c:order val="13"/>
          <c:tx>
            <c:v>MarkSerie14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JRplotdata!$JX$1:$JX$3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JRplotdata!$JY$1:$JY$3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8CA-4AFD-B76F-442F19D96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880"/>
        <c:axId val="331298056"/>
      </c:scatterChart>
      <c:scatterChart>
        <c:scatterStyle val="lineMarker"/>
        <c:varyColors val="0"/>
        <c:ser>
          <c:idx val="1"/>
          <c:order val="6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Tabel!$Q$7:$Q$57</c:f>
              <c:numCache>
                <c:formatCode>General</c:formatCode>
                <c:ptCount val="51"/>
              </c:numCache>
            </c:numRef>
          </c:xVal>
          <c:yVal>
            <c:numRef>
              <c:f>Tabel!$R$7:$R$57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8CA-4AFD-B76F-442F19D968CC}"/>
            </c:ext>
          </c:extLst>
        </c:ser>
        <c:ser>
          <c:idx val="7"/>
          <c:order val="7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Tabel!$S$7:$S$57</c:f>
              <c:numCache>
                <c:formatCode>General</c:formatCode>
                <c:ptCount val="51"/>
              </c:numCache>
            </c:numRef>
          </c:xVal>
          <c:yVal>
            <c:numRef>
              <c:f>Tabel!$T$7:$T$57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8CA-4AFD-B76F-442F19D968CC}"/>
            </c:ext>
          </c:extLst>
        </c:ser>
        <c:ser>
          <c:idx val="8"/>
          <c:order val="8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Tabel!$U$7:$U$57</c:f>
              <c:numCache>
                <c:formatCode>General</c:formatCode>
                <c:ptCount val="51"/>
              </c:numCache>
            </c:numRef>
          </c:xVal>
          <c:yVal>
            <c:numRef>
              <c:f>Tabel!$V$7:$V$57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8CA-4AFD-B76F-442F19D96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880"/>
        <c:axId val="331298056"/>
      </c:scatterChart>
      <c:valAx>
        <c:axId val="331296880"/>
        <c:scaling>
          <c:orientation val="minMax"/>
        </c:scaling>
        <c:delete val="0"/>
        <c:axPos val="b"/>
        <c:majorGridlines>
          <c:spPr>
            <a:ln>
              <a:solidFill>
                <a:sysClr val="windowText" lastClr="000000">
                  <a:alpha val="75000"/>
                </a:sys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8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2633571116610858"/>
              <c:y val="0.9292211878030782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8056"/>
        <c:crosses val="autoZero"/>
        <c:crossBetween val="midCat"/>
      </c:valAx>
      <c:valAx>
        <c:axId val="331298056"/>
        <c:scaling>
          <c:orientation val="minMax"/>
        </c:scaling>
        <c:delete val="0"/>
        <c:axPos val="l"/>
        <c:majorGridlines/>
        <c:minorGridlines>
          <c:spPr>
            <a:ln>
              <a:solidFill>
                <a:sysClr val="window" lastClr="FFFFFF">
                  <a:lumMod val="9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y</a:t>
                </a:r>
              </a:p>
            </c:rich>
          </c:tx>
          <c:layout>
            <c:manualLayout>
              <c:xMode val="edge"/>
              <c:yMode val="edge"/>
              <c:x val="1.2461059190031152E-2"/>
              <c:y val="5.1025115762968656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880"/>
        <c:crosses val="autoZero"/>
        <c:crossBetween val="midCat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Diagram1"/>
  <sheetViews>
    <sheetView zoomScale="16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1200150</xdr:colOff>
          <xdr:row>16</xdr:row>
          <xdr:rowOff>95250</xdr:rowOff>
        </xdr:from>
        <xdr:to>
          <xdr:col>37</xdr:col>
          <xdr:colOff>476250</xdr:colOff>
          <xdr:row>18</xdr:row>
          <xdr:rowOff>19050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1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Residualtabel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101599</xdr:colOff>
      <xdr:row>0</xdr:row>
      <xdr:rowOff>9525</xdr:rowOff>
    </xdr:from>
    <xdr:to>
      <xdr:col>34</xdr:col>
      <xdr:colOff>1152525</xdr:colOff>
      <xdr:row>19</xdr:row>
      <xdr:rowOff>57150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29</xdr:col>
      <xdr:colOff>504825</xdr:colOff>
      <xdr:row>17</xdr:row>
      <xdr:rowOff>41275</xdr:rowOff>
    </xdr:from>
    <xdr:ext cx="65" cy="172227"/>
    <xdr:sp macro="" textlink="">
      <xdr:nvSpPr>
        <xdr:cNvPr id="3" name="Tekstfel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286375" y="3203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da-DK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38100</xdr:rowOff>
        </xdr:from>
        <xdr:to>
          <xdr:col>19</xdr:col>
          <xdr:colOff>161925</xdr:colOff>
          <xdr:row>2</xdr:row>
          <xdr:rowOff>0</xdr:rowOff>
        </xdr:to>
        <xdr:sp macro="" textlink="">
          <xdr:nvSpPr>
            <xdr:cNvPr id="4106" name="ButtonFunctions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Rediger funktioner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28575</xdr:rowOff>
        </xdr:from>
        <xdr:to>
          <xdr:col>19</xdr:col>
          <xdr:colOff>161925</xdr:colOff>
          <xdr:row>3</xdr:row>
          <xdr:rowOff>104775</xdr:rowOff>
        </xdr:to>
        <xdr:sp macro="" textlink="">
          <xdr:nvSpPr>
            <xdr:cNvPr id="4107" name="ButtonTangent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Tangent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180975</xdr:colOff>
          <xdr:row>0</xdr:row>
          <xdr:rowOff>28575</xdr:rowOff>
        </xdr:from>
        <xdr:to>
          <xdr:col>21</xdr:col>
          <xdr:colOff>295275</xdr:colOff>
          <xdr:row>2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Regression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101599</xdr:colOff>
      <xdr:row>19</xdr:row>
      <xdr:rowOff>66674</xdr:rowOff>
    </xdr:from>
    <xdr:to>
      <xdr:col>34</xdr:col>
      <xdr:colOff>1152524</xdr:colOff>
      <xdr:row>38</xdr:row>
      <xdr:rowOff>47624</xdr:rowOff>
    </xdr:to>
    <xdr:graphicFrame macro="">
      <xdr:nvGraphicFramePr>
        <xdr:cNvPr id="7" name="Diagra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34</xdr:col>
      <xdr:colOff>1073150</xdr:colOff>
      <xdr:row>1</xdr:row>
      <xdr:rowOff>38101</xdr:rowOff>
    </xdr:from>
    <xdr:ext cx="676019" cy="248851"/>
    <xdr:sp macro="" textlink="$AJ$2">
      <xdr:nvSpPr>
        <xdr:cNvPr id="5" name="Tekstfelt 4" hidden="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9312275" y="238126"/>
          <a:ext cx="676019" cy="2488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>
          <a:spAutoFit/>
        </a:bodyPr>
        <a:lstStyle/>
        <a:p>
          <a:fld id="{D6EABBD2-918A-4143-B00F-F8459A003C46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Calibri"/>
            </a:rPr>
            <a:pPr/>
            <a:t>#VÆRDI!</a:t>
          </a:fld>
          <a:r>
            <a:rPr lang="en-US" sz="1000" b="0" i="0" u="none" strike="noStrike" baseline="0">
              <a:solidFill>
                <a:srgbClr val="000000"/>
              </a:solidFill>
              <a:latin typeface="Calibri"/>
              <a:cs typeface="Calibri"/>
            </a:rPr>
            <a:t>ˣ</a:t>
          </a:r>
          <a:endParaRPr lang="da-DK" sz="1000" baseline="0"/>
        </a:p>
      </xdr:txBody>
    </xdr:sp>
    <xdr:clientData/>
  </xdr:oneCellAnchor>
  <xdr:oneCellAnchor>
    <xdr:from>
      <xdr:col>34</xdr:col>
      <xdr:colOff>1076324</xdr:colOff>
      <xdr:row>2</xdr:row>
      <xdr:rowOff>114300</xdr:rowOff>
    </xdr:from>
    <xdr:ext cx="706604" cy="248851"/>
    <xdr:sp macro="" textlink="$AJ$3">
      <xdr:nvSpPr>
        <xdr:cNvPr id="2" name="Tekstfelt 5" hidden="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15449" y="504825"/>
          <a:ext cx="706604" cy="2488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>
          <a:spAutoFit/>
        </a:bodyPr>
        <a:lstStyle/>
        <a:p>
          <a:pPr marL="0" indent="0"/>
          <a:fld id="{A2330A6A-48C9-4627-B282-A329A0F0A37D}" type="TxLink">
            <a:rPr lang="en-US" sz="1000" b="0" i="0" u="none" strike="noStrike" baseline="0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#VÆRDI!</a:t>
          </a:fld>
          <a:r>
            <a:rPr lang="en-US" sz="1000" b="0" i="0" u="none" strike="noStrike" baseline="0">
              <a:solidFill>
                <a:srgbClr val="000000"/>
              </a:solidFill>
              <a:latin typeface="Consolas" panose="020B0609020204030204" pitchFamily="49" charset="0"/>
              <a:ea typeface="+mn-ea"/>
              <a:cs typeface="Calibri"/>
            </a:rPr>
            <a:t>ˣ</a:t>
          </a:r>
          <a:endParaRPr lang="da-DK" sz="1000" b="0" i="0" u="none" strike="noStrike" baseline="0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oneCellAnchor>
  <xdr:oneCellAnchor>
    <xdr:from>
      <xdr:col>34</xdr:col>
      <xdr:colOff>1076324</xdr:colOff>
      <xdr:row>4</xdr:row>
      <xdr:rowOff>0</xdr:rowOff>
    </xdr:from>
    <xdr:ext cx="706604" cy="248851"/>
    <xdr:sp macro="" textlink="$AJ$4">
      <xdr:nvSpPr>
        <xdr:cNvPr id="6" name="Tekstfelt 6" hidden="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9315449" y="771525"/>
          <a:ext cx="706604" cy="2488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>
          <a:spAutoFit/>
        </a:bodyPr>
        <a:lstStyle/>
        <a:p>
          <a:pPr marL="0" indent="0"/>
          <a:fld id="{0F9122DD-8D38-4CF6-8EAE-FF4C13199BF1}" type="TxLink">
            <a:rPr lang="en-US" sz="1000" b="0" i="0" u="none" strike="noStrike" baseline="0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#VÆRDI!</a:t>
          </a:fld>
          <a:r>
            <a:rPr lang="en-US" sz="1000" b="0" i="0" u="none" strike="noStrike" baseline="0">
              <a:solidFill>
                <a:srgbClr val="000000"/>
              </a:solidFill>
              <a:latin typeface="Consolas" panose="020B0609020204030204" pitchFamily="49" charset="0"/>
              <a:ea typeface="+mn-ea"/>
              <a:cs typeface="Calibri"/>
            </a:rPr>
            <a:t>ˣ</a:t>
          </a:r>
          <a:endParaRPr lang="da-DK" sz="1000" b="0" i="0" u="none" strike="noStrike" baseline="0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1574" cy="6079537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8</xdr:col>
          <xdr:colOff>85725</xdr:colOff>
          <xdr:row>2</xdr:row>
          <xdr:rowOff>28575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Kopier til Statistikark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4">
    <tabColor indexed="22"/>
  </sheetPr>
  <dimension ref="A1:JY10"/>
  <sheetViews>
    <sheetView workbookViewId="0"/>
  </sheetViews>
  <sheetFormatPr defaultRowHeight="15" x14ac:dyDescent="0.25"/>
  <sheetData>
    <row r="1" spans="1:285" x14ac:dyDescent="0.25">
      <c r="A1">
        <v>285</v>
      </c>
      <c r="B1" t="e">
        <f>#REF!</f>
        <v>#REF!</v>
      </c>
      <c r="C1" t="e">
        <f>#REF!*(#REF!-#REF!)/(#REF!-#REF!)</f>
        <v>#REF!</v>
      </c>
      <c r="D1" t="e">
        <f>#REF!</f>
        <v>#REF!</v>
      </c>
      <c r="F1" t="e">
        <f>#REF!</f>
        <v>#REF!</v>
      </c>
      <c r="G1" t="e">
        <f>#REF!*(#REF!-#REF!)/(#REF!-#REF!)</f>
        <v>#REF!</v>
      </c>
      <c r="H1" t="e">
        <f>#REF!</f>
        <v>#REF!</v>
      </c>
      <c r="I1" t="e">
        <f>#REF!*(#REF!-#REF!)/(#REF!-#REF!)</f>
        <v>#REF!</v>
      </c>
      <c r="J1" t="e">
        <f>#REF!</f>
        <v>#REF!</v>
      </c>
      <c r="K1" t="e">
        <f>#REF!*(#REF!-#REF!)/(#REF!-#REF!)</f>
        <v>#REF!</v>
      </c>
      <c r="L1">
        <v>0</v>
      </c>
      <c r="M1" t="e">
        <f>#REF!</f>
        <v>#REF!</v>
      </c>
      <c r="N1">
        <v>0</v>
      </c>
      <c r="O1" t="e">
        <f>#REF!</f>
        <v>#REF!</v>
      </c>
      <c r="P1">
        <v>0</v>
      </c>
      <c r="Q1" t="e">
        <f>#REF!</f>
        <v>#REF!</v>
      </c>
      <c r="R1" t="e">
        <f>#REF!</f>
        <v>#REF!</v>
      </c>
      <c r="T1" t="e">
        <f>#REF!</f>
        <v>#REF!</v>
      </c>
      <c r="V1" t="e">
        <f>#REF!</f>
        <v>#REF!</v>
      </c>
      <c r="X1" t="e">
        <f>#REF!</f>
        <v>#REF!</v>
      </c>
      <c r="Z1" t="e">
        <f>#REF!</f>
        <v>#REF!</v>
      </c>
      <c r="AA1" t="e">
        <f>#REF!</f>
        <v>#REF!</v>
      </c>
      <c r="AB1" t="e">
        <f>#REF!</f>
        <v>#REF!</v>
      </c>
      <c r="AC1" t="e">
        <f>#REF!*(#REF!-#REF!)/(#REF!-#REF!)</f>
        <v>#REF!</v>
      </c>
      <c r="AD1" t="e">
        <f>#REF!</f>
        <v>#REF!</v>
      </c>
      <c r="AE1" t="e">
        <f>#REF!*(#REF!-#REF!)/(#REF!-#REF!)</f>
        <v>#REF!</v>
      </c>
      <c r="AF1" t="e">
        <f>#REF!</f>
        <v>#REF!</v>
      </c>
      <c r="AG1" t="e">
        <f>#REF!*(#REF!-#REF!)/(#REF!-#REF!)</f>
        <v>#REF!</v>
      </c>
      <c r="AH1" t="e">
        <f>#REF!</f>
        <v>#REF!</v>
      </c>
      <c r="AI1" t="e">
        <f>#REF!*(#REF!-#REF!)/(#REF!-#REF!)</f>
        <v>#REF!</v>
      </c>
      <c r="AJ1" t="e">
        <f>#REF!</f>
        <v>#REF!</v>
      </c>
      <c r="AK1" t="e">
        <f>#REF!</f>
        <v>#REF!</v>
      </c>
      <c r="AL1" t="e">
        <f>#REF!</f>
        <v>#REF!</v>
      </c>
      <c r="AM1" t="e">
        <f>#REF!</f>
        <v>#REF!</v>
      </c>
      <c r="AN1" t="e">
        <f>#REF!</f>
        <v>#REF!</v>
      </c>
      <c r="AO1" t="e">
        <f>#REF!*(#REF!-#REF!)/(#REF!-#REF!)</f>
        <v>#REF!</v>
      </c>
      <c r="AP1" t="e">
        <f>#REF!</f>
        <v>#REF!</v>
      </c>
      <c r="AQ1" t="e">
        <f>#REF!*(#REF!-#REF!)/(#REF!-#REF!)</f>
        <v>#REF!</v>
      </c>
      <c r="AR1" t="e">
        <f>#REF!</f>
        <v>#REF!</v>
      </c>
      <c r="AS1" t="e">
        <f>#REF!*(#REF!-#REF!)/(#REF!-#REF!)</f>
        <v>#REF!</v>
      </c>
      <c r="AT1" t="e">
        <f>#REF!</f>
        <v>#REF!</v>
      </c>
      <c r="AU1" t="e">
        <f>#REF!*(#REF!-#REF!)/(#REF!-#REF!)</f>
        <v>#REF!</v>
      </c>
      <c r="AV1" t="e">
        <f>#REF!</f>
        <v>#REF!</v>
      </c>
      <c r="AW1" t="e">
        <f>#REF!*(#REF!-#REF!)/(#REF!-#REF!)</f>
        <v>#REF!</v>
      </c>
      <c r="AX1" t="e">
        <f>#REF!</f>
        <v>#REF!</v>
      </c>
      <c r="AY1" t="e">
        <f>#REF!*(#REF!-#REF!)/(#REF!-#REF!)</f>
        <v>#REF!</v>
      </c>
      <c r="AZ1" t="e">
        <f>#REF!</f>
        <v>#REF!</v>
      </c>
      <c r="BA1" t="e">
        <f>#REF!*(#REF!-#REF!)/(#REF!-#REF!)</f>
        <v>#REF!</v>
      </c>
      <c r="BB1" t="e">
        <f>#REF!</f>
        <v>#REF!</v>
      </c>
      <c r="BC1" t="e">
        <f>#REF!*(#REF!-#REF!)/(#REF!-#REF!)</f>
        <v>#REF!</v>
      </c>
      <c r="BD1" t="e">
        <f>#REF!</f>
        <v>#REF!</v>
      </c>
      <c r="BE1" t="e">
        <f>#REF!*(#REF!-#REF!)/(#REF!-#REF!)</f>
        <v>#REF!</v>
      </c>
      <c r="BF1" t="e">
        <f>#REF!</f>
        <v>#REF!</v>
      </c>
      <c r="BG1" t="e">
        <f>#REF!*(#REF!-#REF!)/(#REF!-#REF!)</f>
        <v>#REF!</v>
      </c>
      <c r="BH1" t="e">
        <f>#REF!</f>
        <v>#REF!</v>
      </c>
      <c r="BI1" t="e">
        <f>#REF!*(#REF!-#REF!)/(#REF!-#REF!)</f>
        <v>#REF!</v>
      </c>
      <c r="BJ1" t="e">
        <f>#REF!</f>
        <v>#REF!</v>
      </c>
      <c r="BK1" t="e">
        <f>#REF!*(#REF!-#REF!)/(#REF!-#REF!)</f>
        <v>#REF!</v>
      </c>
      <c r="BL1" t="e">
        <f>#REF!</f>
        <v>#REF!</v>
      </c>
      <c r="BM1" t="e">
        <f>#REF!*(#REF!-#REF!)/(#REF!-#REF!)</f>
        <v>#REF!</v>
      </c>
      <c r="BN1" t="e">
        <f>#REF!</f>
        <v>#REF!</v>
      </c>
      <c r="BO1" t="e">
        <f>#REF!*(#REF!-#REF!)/(#REF!-#REF!)</f>
        <v>#REF!</v>
      </c>
      <c r="BP1" t="e">
        <f>#REF!</f>
        <v>#REF!</v>
      </c>
      <c r="BQ1" t="e">
        <f>#REF!*(#REF!-#REF!)/(#REF!-#REF!)</f>
        <v>#REF!</v>
      </c>
      <c r="BR1" t="e">
        <f>#REF!</f>
        <v>#REF!</v>
      </c>
      <c r="BS1" t="e">
        <f>#REF!*(#REF!-#REF!)/(#REF!-#REF!)</f>
        <v>#REF!</v>
      </c>
      <c r="BT1" t="e">
        <f>#REF!</f>
        <v>#REF!</v>
      </c>
      <c r="BU1" t="e">
        <f>#REF!*(#REF!-#REF!)/(#REF!-#REF!)</f>
        <v>#REF!</v>
      </c>
      <c r="BV1" t="e">
        <f>#REF!</f>
        <v>#REF!</v>
      </c>
      <c r="BW1" t="e">
        <f>#REF!*(#REF!-#REF!)/(#REF!-#REF!)</f>
        <v>#REF!</v>
      </c>
      <c r="BX1" t="e">
        <f>#REF!</f>
        <v>#REF!</v>
      </c>
      <c r="BY1" t="e">
        <f>#REF!*(#REF!-#REF!)/(#REF!-#REF!)</f>
        <v>#REF!</v>
      </c>
      <c r="BZ1" t="e">
        <f>#REF!</f>
        <v>#REF!</v>
      </c>
      <c r="CA1" t="e">
        <f>#REF!*(#REF!-#REF!)/(#REF!-#REF!)</f>
        <v>#REF!</v>
      </c>
      <c r="CB1" t="e">
        <f>#REF!</f>
        <v>#REF!</v>
      </c>
      <c r="CC1" t="e">
        <f>#REF!*(#REF!-#REF!)/(#REF!-#REF!)</f>
        <v>#REF!</v>
      </c>
      <c r="CD1" t="e">
        <f>#REF!</f>
        <v>#REF!</v>
      </c>
      <c r="CE1" t="e">
        <f>#REF!*(#REF!-#REF!)/(#REF!-#REF!)</f>
        <v>#REF!</v>
      </c>
      <c r="CF1" t="e">
        <f>#REF!</f>
        <v>#REF!</v>
      </c>
      <c r="CG1" t="e">
        <f>#REF!*(#REF!-#REF!)/(#REF!-#REF!)</f>
        <v>#REF!</v>
      </c>
      <c r="CH1" t="e">
        <f>#REF!</f>
        <v>#REF!</v>
      </c>
      <c r="CI1" t="e">
        <f>#REF!*(#REF!-#REF!)/(#REF!-#REF!)</f>
        <v>#REF!</v>
      </c>
      <c r="CJ1" t="e">
        <f>#REF!</f>
        <v>#REF!</v>
      </c>
      <c r="CK1" t="e">
        <f>#REF!*(#REF!-#REF!)/(#REF!-#REF!)</f>
        <v>#REF!</v>
      </c>
      <c r="CL1" t="e">
        <f>#REF!</f>
        <v>#REF!</v>
      </c>
      <c r="CM1" t="e">
        <f>#REF!*(#REF!-#REF!)/(#REF!-#REF!)</f>
        <v>#REF!</v>
      </c>
      <c r="CN1" t="e">
        <f>#REF!</f>
        <v>#REF!</v>
      </c>
      <c r="CO1" t="e">
        <f>#REF!*(#REF!-#REF!)/(#REF!-#REF!)</f>
        <v>#REF!</v>
      </c>
      <c r="CP1" t="e">
        <f>#REF!</f>
        <v>#REF!</v>
      </c>
      <c r="CQ1" t="e">
        <f>#REF!*(#REF!-#REF!)/(#REF!-#REF!)</f>
        <v>#REF!</v>
      </c>
      <c r="CR1" t="e">
        <f>#REF!</f>
        <v>#REF!</v>
      </c>
      <c r="CS1" t="e">
        <f>#REF!*(#REF!-#REF!)/(#REF!-#REF!)</f>
        <v>#REF!</v>
      </c>
      <c r="CT1" t="e">
        <f>#REF!</f>
        <v>#REF!</v>
      </c>
      <c r="CU1" t="e">
        <f>#REF!*(#REF!-#REF!)/(#REF!-#REF!)</f>
        <v>#REF!</v>
      </c>
      <c r="CV1" t="e">
        <f>#REF!</f>
        <v>#REF!</v>
      </c>
      <c r="CW1" t="e">
        <f>#REF!*(#REF!-#REF!)/(#REF!-#REF!)</f>
        <v>#REF!</v>
      </c>
      <c r="CX1" t="e">
        <f>#REF!</f>
        <v>#REF!</v>
      </c>
      <c r="CY1" t="e">
        <f>#REF!*(#REF!-#REF!)/(#REF!-#REF!)</f>
        <v>#REF!</v>
      </c>
      <c r="CZ1" t="e">
        <f>#REF!</f>
        <v>#REF!</v>
      </c>
      <c r="DA1" t="e">
        <f>#REF!*(#REF!-#REF!)/(#REF!-#REF!)</f>
        <v>#REF!</v>
      </c>
      <c r="DB1" t="e">
        <f>#REF!</f>
        <v>#REF!</v>
      </c>
      <c r="DC1" t="e">
        <f>#REF!*(#REF!-#REF!)/(#REF!-#REF!)</f>
        <v>#REF!</v>
      </c>
      <c r="DD1" t="e">
        <f>#REF!</f>
        <v>#REF!</v>
      </c>
      <c r="DE1" t="e">
        <f>#REF!*(#REF!-#REF!)/(#REF!-#REF!)</f>
        <v>#REF!</v>
      </c>
      <c r="DF1" t="e">
        <f>#REF!</f>
        <v>#REF!</v>
      </c>
      <c r="DG1" t="e">
        <f>#REF!*(#REF!-#REF!)/(#REF!-#REF!)</f>
        <v>#REF!</v>
      </c>
      <c r="DH1" t="e">
        <f>#REF!</f>
        <v>#REF!</v>
      </c>
      <c r="DI1" t="e">
        <f>#REF!*(#REF!-#REF!)/(#REF!-#REF!)</f>
        <v>#REF!</v>
      </c>
      <c r="DJ1" t="e">
        <f>#REF!</f>
        <v>#REF!</v>
      </c>
      <c r="DK1" t="e">
        <f>#REF!*(#REF!-#REF!)/(#REF!-#REF!)</f>
        <v>#REF!</v>
      </c>
      <c r="DL1" t="e">
        <f>#REF!</f>
        <v>#REF!</v>
      </c>
      <c r="DM1" t="e">
        <f>#REF!*(#REF!-#REF!)/(#REF!-#REF!)</f>
        <v>#REF!</v>
      </c>
      <c r="DN1" t="e">
        <f>#REF!</f>
        <v>#REF!</v>
      </c>
      <c r="DO1" t="e">
        <f>#REF!*(#REF!-#REF!)/(#REF!-#REF!)</f>
        <v>#REF!</v>
      </c>
      <c r="DP1" t="e">
        <f>#REF!</f>
        <v>#REF!</v>
      </c>
      <c r="DQ1" t="e">
        <f>#REF!*(#REF!-#REF!)/(#REF!-#REF!)</f>
        <v>#REF!</v>
      </c>
      <c r="DR1" t="e">
        <f>#REF!</f>
        <v>#REF!</v>
      </c>
      <c r="DS1" t="e">
        <f>#REF!*(#REF!-#REF!)/(#REF!-#REF!)</f>
        <v>#REF!</v>
      </c>
      <c r="DT1" t="e">
        <f>#REF!</f>
        <v>#REF!</v>
      </c>
      <c r="DU1" t="e">
        <f>#REF!*(#REF!-#REF!)/(#REF!-#REF!)</f>
        <v>#REF!</v>
      </c>
      <c r="DV1" t="e">
        <f>#REF!</f>
        <v>#REF!</v>
      </c>
      <c r="DW1" t="e">
        <f>#REF!*(#REF!-#REF!)/(#REF!-#REF!)</f>
        <v>#REF!</v>
      </c>
      <c r="DX1" t="e">
        <f>#REF!</f>
        <v>#REF!</v>
      </c>
      <c r="DY1" t="e">
        <f>#REF!*(#REF!-#REF!)/(#REF!-#REF!)</f>
        <v>#REF!</v>
      </c>
      <c r="DZ1" t="e">
        <f>#REF!</f>
        <v>#REF!</v>
      </c>
      <c r="EA1" t="e">
        <f>#REF!*(#REF!-#REF!)/(#REF!-#REF!)</f>
        <v>#REF!</v>
      </c>
      <c r="EB1" t="e">
        <f>#REF!</f>
        <v>#REF!</v>
      </c>
      <c r="EC1" t="e">
        <f>#REF!*(#REF!-#REF!)/(#REF!-#REF!)</f>
        <v>#REF!</v>
      </c>
      <c r="ED1" t="e">
        <f>#REF!</f>
        <v>#REF!</v>
      </c>
      <c r="EE1" t="e">
        <f>#REF!*(#REF!-#REF!)/(#REF!-#REF!)</f>
        <v>#REF!</v>
      </c>
      <c r="EF1" t="e">
        <f>#REF!</f>
        <v>#REF!</v>
      </c>
      <c r="EG1" t="e">
        <f>#REF!*(#REF!-#REF!)/(#REF!-#REF!)</f>
        <v>#REF!</v>
      </c>
      <c r="EH1" t="e">
        <f>#REF!</f>
        <v>#REF!</v>
      </c>
      <c r="EI1" t="e">
        <f>#REF!*(#REF!-#REF!)/(#REF!-#REF!)</f>
        <v>#REF!</v>
      </c>
      <c r="EJ1" t="e">
        <f>#REF!</f>
        <v>#REF!</v>
      </c>
      <c r="EK1" t="e">
        <f>#REF!*(#REF!-#REF!)/(#REF!-#REF!)</f>
        <v>#REF!</v>
      </c>
      <c r="EL1" t="e">
        <f>#REF!</f>
        <v>#REF!</v>
      </c>
      <c r="EM1" t="e">
        <f>#REF!*(#REF!-#REF!)/(#REF!-#REF!)</f>
        <v>#REF!</v>
      </c>
      <c r="EN1" t="e">
        <f>#REF!</f>
        <v>#REF!</v>
      </c>
      <c r="EO1" t="e">
        <f>#REF!*(#REF!-#REF!)/(#REF!-#REF!)</f>
        <v>#REF!</v>
      </c>
      <c r="EP1" t="e">
        <f>#REF!</f>
        <v>#REF!</v>
      </c>
      <c r="EQ1" t="e">
        <f>#REF!*(#REF!-#REF!)/(#REF!-#REF!)</f>
        <v>#REF!</v>
      </c>
      <c r="ER1" t="e">
        <f>#REF!</f>
        <v>#REF!</v>
      </c>
      <c r="ES1" t="e">
        <f>#REF!*(#REF!-#REF!)/(#REF!-#REF!)</f>
        <v>#REF!</v>
      </c>
      <c r="ET1" t="e">
        <f>#REF!</f>
        <v>#REF!</v>
      </c>
      <c r="EU1" t="e">
        <f>#REF!*(#REF!-#REF!)/(#REF!-#REF!)</f>
        <v>#REF!</v>
      </c>
      <c r="EV1" t="e">
        <f>#REF!</f>
        <v>#REF!</v>
      </c>
      <c r="EW1" t="e">
        <f>#REF!*(#REF!-#REF!)/(#REF!-#REF!)</f>
        <v>#REF!</v>
      </c>
      <c r="EX1" t="e">
        <f>#REF!</f>
        <v>#REF!</v>
      </c>
      <c r="EY1" t="e">
        <f>#REF!*(#REF!-#REF!)/(#REF!-#REF!)</f>
        <v>#REF!</v>
      </c>
      <c r="EZ1" t="e">
        <f>#REF!</f>
        <v>#REF!</v>
      </c>
      <c r="FA1" t="e">
        <f>#REF!*(#REF!-#REF!)/(#REF!-#REF!)</f>
        <v>#REF!</v>
      </c>
      <c r="FB1" t="e">
        <f>#REF!</f>
        <v>#REF!</v>
      </c>
      <c r="FC1" t="e">
        <f>#REF!*(#REF!-#REF!)/(#REF!-#REF!)</f>
        <v>#REF!</v>
      </c>
      <c r="FD1" t="e">
        <f>#REF!</f>
        <v>#REF!</v>
      </c>
      <c r="FE1" t="e">
        <f>#REF!*(#REF!-#REF!)/(#REF!-#REF!)</f>
        <v>#REF!</v>
      </c>
      <c r="FF1" t="e">
        <f>#REF!</f>
        <v>#REF!</v>
      </c>
      <c r="FG1" t="e">
        <f>#REF!*(#REF!-#REF!)/(#REF!-#REF!)</f>
        <v>#REF!</v>
      </c>
      <c r="FH1" t="e">
        <f>#REF!</f>
        <v>#REF!</v>
      </c>
      <c r="FI1" t="e">
        <f>#REF!*(#REF!-#REF!)/(#REF!-#REF!)</f>
        <v>#REF!</v>
      </c>
      <c r="FJ1" t="e">
        <f>#REF!</f>
        <v>#REF!</v>
      </c>
      <c r="FK1" t="e">
        <f>#REF!*(#REF!-#REF!)/(#REF!-#REF!)</f>
        <v>#REF!</v>
      </c>
      <c r="FL1" t="e">
        <f>#REF!</f>
        <v>#REF!</v>
      </c>
      <c r="FM1" t="e">
        <f>#REF!*(#REF!-#REF!)/(#REF!-#REF!)</f>
        <v>#REF!</v>
      </c>
      <c r="FN1" t="e">
        <f>#REF!</f>
        <v>#REF!</v>
      </c>
      <c r="FO1" t="e">
        <f>#REF!*(#REF!-#REF!)/(#REF!-#REF!)</f>
        <v>#REF!</v>
      </c>
      <c r="FP1" t="e">
        <f>#REF!</f>
        <v>#REF!</v>
      </c>
      <c r="FQ1" t="e">
        <f>#REF!*(#REF!-#REF!)/(#REF!-#REF!)</f>
        <v>#REF!</v>
      </c>
      <c r="FR1" t="e">
        <f>#REF!</f>
        <v>#REF!</v>
      </c>
      <c r="FS1" t="e">
        <f>#REF!*(#REF!-#REF!)/(#REF!-#REF!)</f>
        <v>#REF!</v>
      </c>
      <c r="FT1" t="e">
        <f>#REF!</f>
        <v>#REF!</v>
      </c>
      <c r="FU1" t="e">
        <f>#REF!*(#REF!-#REF!)/(#REF!-#REF!)</f>
        <v>#REF!</v>
      </c>
      <c r="FV1" t="e">
        <f>#REF!</f>
        <v>#REF!</v>
      </c>
      <c r="FW1" t="e">
        <f>#REF!*(#REF!-#REF!)/(#REF!-#REF!)</f>
        <v>#REF!</v>
      </c>
      <c r="FX1" t="e">
        <f>#REF!</f>
        <v>#REF!</v>
      </c>
      <c r="FY1" t="e">
        <f>#REF!*(#REF!-#REF!)/(#REF!-#REF!)</f>
        <v>#REF!</v>
      </c>
      <c r="FZ1" t="e">
        <f>#REF!</f>
        <v>#REF!</v>
      </c>
      <c r="GA1" t="e">
        <f>#REF!*(#REF!-#REF!)/(#REF!-#REF!)</f>
        <v>#REF!</v>
      </c>
      <c r="GB1" t="e">
        <f>#REF!</f>
        <v>#REF!</v>
      </c>
      <c r="GD1" t="e">
        <f>#REF!</f>
        <v>#REF!</v>
      </c>
      <c r="GF1" t="e">
        <f>#REF!</f>
        <v>#REF!</v>
      </c>
      <c r="GG1" t="e">
        <f>#REF!</f>
        <v>#REF!</v>
      </c>
      <c r="GH1" t="e">
        <f>#REF!</f>
        <v>#REF!</v>
      </c>
      <c r="GI1" t="e">
        <f>#REF!</f>
        <v>#REF!</v>
      </c>
      <c r="GJ1" t="e">
        <f>#REF!</f>
        <v>#REF!</v>
      </c>
      <c r="GL1" t="e">
        <f>#REF!</f>
        <v>#REF!</v>
      </c>
      <c r="GN1" t="e">
        <f>#REF!</f>
        <v>#REF!</v>
      </c>
      <c r="GO1" t="e">
        <f>#REF!</f>
        <v>#REF!</v>
      </c>
      <c r="GP1" t="e">
        <f>#REF!</f>
        <v>#REF!</v>
      </c>
      <c r="GR1" t="e">
        <f>#REF!</f>
        <v>#REF!</v>
      </c>
      <c r="GS1" t="e">
        <f>#REF!</f>
        <v>#REF!</v>
      </c>
      <c r="GT1" t="e">
        <f>#REF!</f>
        <v>#REF!</v>
      </c>
      <c r="GU1" t="e">
        <f>#REF!</f>
        <v>#REF!</v>
      </c>
      <c r="GV1" t="e">
        <f>#REF!</f>
        <v>#REF!</v>
      </c>
      <c r="GW1" t="e">
        <f>#REF!</f>
        <v>#REF!</v>
      </c>
      <c r="GX1" t="e">
        <f>#REF!</f>
        <v>#REF!</v>
      </c>
      <c r="GY1" t="e">
        <f>#REF!</f>
        <v>#REF!</v>
      </c>
      <c r="GZ1" t="e">
        <f>#REF!</f>
        <v>#REF!</v>
      </c>
      <c r="HA1" t="e">
        <f>#REF!</f>
        <v>#REF!</v>
      </c>
      <c r="HB1" t="e">
        <f>#REF!</f>
        <v>#REF!</v>
      </c>
      <c r="HC1" t="e">
        <f>#REF!</f>
        <v>#REF!</v>
      </c>
      <c r="HD1" t="e">
        <f>#REF!</f>
        <v>#REF!</v>
      </c>
      <c r="HE1" t="e">
        <f>#REF!</f>
        <v>#REF!</v>
      </c>
      <c r="HF1" t="e">
        <f>#REF!</f>
        <v>#REF!</v>
      </c>
      <c r="HG1" t="e">
        <f>#REF!</f>
        <v>#REF!</v>
      </c>
      <c r="HH1" t="e">
        <f>#REF!</f>
        <v>#REF!</v>
      </c>
      <c r="HI1" t="e">
        <f>#REF!</f>
        <v>#REF!</v>
      </c>
      <c r="HJ1" t="e">
        <f>#REF!</f>
        <v>#REF!</v>
      </c>
      <c r="HK1" t="e">
        <f>#REF!</f>
        <v>#REF!</v>
      </c>
      <c r="HL1" t="e">
        <f>#REF!</f>
        <v>#REF!</v>
      </c>
      <c r="HM1" t="e">
        <f>#REF!</f>
        <v>#REF!</v>
      </c>
      <c r="HN1" t="e">
        <f>#REF!</f>
        <v>#REF!</v>
      </c>
      <c r="HP1" t="e">
        <f>#REF!</f>
        <v>#REF!</v>
      </c>
      <c r="HR1" t="e">
        <f>#REF!</f>
        <v>#REF!</v>
      </c>
      <c r="HT1" t="e">
        <f>#REF!</f>
        <v>#REF!</v>
      </c>
      <c r="HV1" t="e">
        <f>#REF!</f>
        <v>#REF!</v>
      </c>
      <c r="HW1" t="e">
        <f>#REF!</f>
        <v>#REF!</v>
      </c>
      <c r="HX1" t="e">
        <f>#REF!</f>
        <v>#REF!</v>
      </c>
      <c r="HY1" t="e">
        <f>#REF!</f>
        <v>#REF!</v>
      </c>
      <c r="HZ1" t="e">
        <f>#REF!</f>
        <v>#REF!</v>
      </c>
      <c r="IB1" t="e">
        <f>#REF!</f>
        <v>#REF!</v>
      </c>
      <c r="ID1" t="e">
        <f>#REF!</f>
        <v>#REF!</v>
      </c>
      <c r="IF1" t="e">
        <f>#REF!</f>
        <v>#REF!</v>
      </c>
      <c r="IH1" t="e">
        <f>#REF!</f>
        <v>#REF!</v>
      </c>
      <c r="IJ1" t="e">
        <f>#REF!</f>
        <v>#REF!</v>
      </c>
      <c r="IL1" t="e">
        <f>#REF!</f>
        <v>#REF!</v>
      </c>
      <c r="IN1" t="e">
        <f>#REF!</f>
        <v>#REF!</v>
      </c>
      <c r="IP1" t="e">
        <f>#REF!</f>
        <v>#REF!</v>
      </c>
      <c r="IR1" t="e">
        <f>#REF!</f>
        <v>#REF!</v>
      </c>
      <c r="IT1" t="e">
        <f>#REF!</f>
        <v>#REF!</v>
      </c>
      <c r="IV1" t="e">
        <f>#REF!</f>
        <v>#REF!</v>
      </c>
      <c r="IX1" t="e">
        <f>#REF!</f>
        <v>#REF!</v>
      </c>
      <c r="IZ1" t="e">
        <f>#REF!</f>
        <v>#REF!</v>
      </c>
      <c r="JA1" t="e">
        <f>#REF!</f>
        <v>#REF!</v>
      </c>
      <c r="JB1" t="e">
        <f>#REF!</f>
        <v>#REF!</v>
      </c>
      <c r="JC1" t="e">
        <f>#REF!</f>
        <v>#REF!</v>
      </c>
      <c r="JD1" t="e">
        <f>#REF!</f>
        <v>#REF!</v>
      </c>
      <c r="JE1" t="e">
        <f>#REF!</f>
        <v>#REF!</v>
      </c>
      <c r="JF1">
        <v>0</v>
      </c>
      <c r="JG1">
        <f>Tabel!$Z$7</f>
        <v>0</v>
      </c>
      <c r="JH1">
        <v>0</v>
      </c>
      <c r="JI1">
        <f>Tabel!$Z$7</f>
        <v>0</v>
      </c>
      <c r="JJ1">
        <v>0</v>
      </c>
      <c r="JK1">
        <f>Tabel!$Z$8</f>
        <v>0</v>
      </c>
      <c r="JL1">
        <v>0</v>
      </c>
      <c r="JM1">
        <f>Tabel!$Z$9</f>
        <v>0</v>
      </c>
      <c r="JN1">
        <v>0</v>
      </c>
      <c r="JO1">
        <f>Tabel!$Z$10</f>
        <v>0</v>
      </c>
      <c r="JP1">
        <v>0</v>
      </c>
      <c r="JQ1">
        <f>Tabel!$Z$11</f>
        <v>0</v>
      </c>
      <c r="JR1">
        <v>0</v>
      </c>
      <c r="JS1">
        <f>Tabel!$Z$8</f>
        <v>0</v>
      </c>
      <c r="JT1">
        <v>0</v>
      </c>
      <c r="JU1">
        <f>Tabel!$Z$9</f>
        <v>0</v>
      </c>
      <c r="JV1">
        <v>0</v>
      </c>
      <c r="JW1">
        <f>Tabel!$Z$10</f>
        <v>0</v>
      </c>
      <c r="JX1">
        <v>0</v>
      </c>
      <c r="JY1">
        <f>Tabel!$Z$11</f>
        <v>0</v>
      </c>
    </row>
    <row r="2" spans="1:285" x14ac:dyDescent="0.25">
      <c r="B2" t="e">
        <f>#REF!</f>
        <v>#REF!</v>
      </c>
      <c r="C2" t="e">
        <f>#REF!*(#REF!-#REF!)/(#REF!-#REF!)</f>
        <v>#REF!</v>
      </c>
      <c r="D2" t="e">
        <f>#REF!-JRplotdata!D7</f>
        <v>#REF!</v>
      </c>
      <c r="F2" t="e">
        <f>#REF!</f>
        <v>#REF!</v>
      </c>
      <c r="G2" t="e">
        <f>#REF!*(#REF!-#REF!)/(#REF!-#REF!)</f>
        <v>#REF!</v>
      </c>
      <c r="H2" t="e">
        <f>#REF!</f>
        <v>#REF!</v>
      </c>
      <c r="I2" t="e">
        <f>#REF!*(#REF!-#REF!)/(#REF!-#REF!)</f>
        <v>#REF!</v>
      </c>
      <c r="J2" t="e">
        <f>#REF!</f>
        <v>#REF!</v>
      </c>
      <c r="K2" t="e">
        <f>#REF!*(#REF!-#REF!)/(#REF!-#REF!)</f>
        <v>#REF!</v>
      </c>
      <c r="L2" t="e">
        <f>#REF!</f>
        <v>#REF!</v>
      </c>
      <c r="M2" t="e">
        <f>#REF!</f>
        <v>#REF!</v>
      </c>
      <c r="N2" t="e">
        <f>#REF!</f>
        <v>#REF!</v>
      </c>
      <c r="O2" t="e">
        <f>#REF!</f>
        <v>#REF!</v>
      </c>
      <c r="P2" t="e">
        <f>#REF!</f>
        <v>#REF!</v>
      </c>
      <c r="Q2" t="e">
        <f>#REF!</f>
        <v>#REF!</v>
      </c>
      <c r="R2" t="e">
        <f>#REF!-JRplotdata!R7</f>
        <v>#REF!</v>
      </c>
      <c r="T2" t="e">
        <f>#REF!-JRplotdata!T7</f>
        <v>#REF!</v>
      </c>
      <c r="V2" t="e">
        <f>#REF!-JRplotdata!V7</f>
        <v>#REF!</v>
      </c>
      <c r="X2" t="e">
        <f>#REF!-JRplotdata!X7</f>
        <v>#REF!</v>
      </c>
      <c r="Z2" t="e">
        <f>#REF!-JRplotdata!Z7</f>
        <v>#REF!</v>
      </c>
      <c r="AA2" t="e">
        <f>#REF!-JRplotdata!Z7</f>
        <v>#REF!</v>
      </c>
      <c r="AB2" t="e">
        <f>#REF!</f>
        <v>#REF!</v>
      </c>
      <c r="AC2" t="e">
        <f>#REF!*(#REF!-#REF!)/(#REF!-#REF!)</f>
        <v>#REF!</v>
      </c>
      <c r="AD2" t="e">
        <f>#REF!</f>
        <v>#REF!</v>
      </c>
      <c r="AE2" t="e">
        <f>#REF!*(#REF!-#REF!)/(#REF!-#REF!)</f>
        <v>#REF!</v>
      </c>
      <c r="AF2" t="e">
        <f>#REF!</f>
        <v>#REF!</v>
      </c>
      <c r="AG2" t="e">
        <f>#REF!*(#REF!-#REF!)/(#REF!-#REF!)</f>
        <v>#REF!</v>
      </c>
      <c r="AH2" t="e">
        <f>#REF!</f>
        <v>#REF!</v>
      </c>
      <c r="AI2" t="e">
        <f>#REF!*(#REF!-#REF!)/(#REF!-#REF!)</f>
        <v>#REF!</v>
      </c>
      <c r="AJ2" t="e">
        <f>#REF!-JRplotdata!AJ7</f>
        <v>#REF!</v>
      </c>
      <c r="AK2" t="e">
        <f>#REF!-JRplotdata!AJ7</f>
        <v>#REF!</v>
      </c>
      <c r="AL2" t="e">
        <f>#REF!-JRplotdata!AL7</f>
        <v>#REF!</v>
      </c>
      <c r="AM2" t="e">
        <f>#REF!-JRplotdata!AL7</f>
        <v>#REF!</v>
      </c>
      <c r="AN2" t="e">
        <f>#REF!</f>
        <v>#REF!</v>
      </c>
      <c r="AO2" t="e">
        <f>#REF!*(#REF!-#REF!)/(#REF!-#REF!)</f>
        <v>#REF!</v>
      </c>
      <c r="AP2" t="e">
        <f>#REF!</f>
        <v>#REF!</v>
      </c>
      <c r="AQ2" t="e">
        <f>#REF!*(#REF!-#REF!)/(#REF!-#REF!)</f>
        <v>#REF!</v>
      </c>
      <c r="AR2" t="e">
        <f>#REF!</f>
        <v>#REF!</v>
      </c>
      <c r="AS2" t="e">
        <f>#REF!*(#REF!-#REF!)/(#REF!-#REF!)</f>
        <v>#REF!</v>
      </c>
      <c r="AT2" t="e">
        <f>#REF!</f>
        <v>#REF!</v>
      </c>
      <c r="AU2" t="e">
        <f>#REF!*(#REF!-#REF!)/(#REF!-#REF!)</f>
        <v>#REF!</v>
      </c>
      <c r="AV2" t="e">
        <f>#REF!</f>
        <v>#REF!</v>
      </c>
      <c r="AW2" t="e">
        <f>#REF!*(#REF!-#REF!)/(#REF!-#REF!)</f>
        <v>#REF!</v>
      </c>
      <c r="AX2" t="e">
        <f>#REF!</f>
        <v>#REF!</v>
      </c>
      <c r="AY2" t="e">
        <f>#REF!*(#REF!-#REF!)/(#REF!-#REF!)</f>
        <v>#REF!</v>
      </c>
      <c r="AZ2" t="e">
        <f>#REF!</f>
        <v>#REF!</v>
      </c>
      <c r="BA2" t="e">
        <f>#REF!*(#REF!-#REF!)/(#REF!-#REF!)</f>
        <v>#REF!</v>
      </c>
      <c r="BB2" t="e">
        <f>#REF!</f>
        <v>#REF!</v>
      </c>
      <c r="BC2" t="e">
        <f>#REF!*(#REF!-#REF!)/(#REF!-#REF!)</f>
        <v>#REF!</v>
      </c>
      <c r="BD2" t="e">
        <f>#REF!</f>
        <v>#REF!</v>
      </c>
      <c r="BE2" t="e">
        <f>#REF!*(#REF!-#REF!)/(#REF!-#REF!)</f>
        <v>#REF!</v>
      </c>
      <c r="BF2" t="e">
        <f>#REF!</f>
        <v>#REF!</v>
      </c>
      <c r="BG2" t="e">
        <f>#REF!*(#REF!-#REF!)/(#REF!-#REF!)</f>
        <v>#REF!</v>
      </c>
      <c r="BH2" t="e">
        <f>#REF!</f>
        <v>#REF!</v>
      </c>
      <c r="BI2" t="e">
        <f>#REF!*(#REF!-#REF!)/(#REF!-#REF!)</f>
        <v>#REF!</v>
      </c>
      <c r="BJ2" t="e">
        <f>#REF!</f>
        <v>#REF!</v>
      </c>
      <c r="BK2" t="e">
        <f>#REF!*(#REF!-#REF!)/(#REF!-#REF!)</f>
        <v>#REF!</v>
      </c>
      <c r="BL2" t="e">
        <f>#REF!</f>
        <v>#REF!</v>
      </c>
      <c r="BM2" t="e">
        <f>#REF!*(#REF!-#REF!)/(#REF!-#REF!)</f>
        <v>#REF!</v>
      </c>
      <c r="BN2" t="e">
        <f>#REF!</f>
        <v>#REF!</v>
      </c>
      <c r="BO2" t="e">
        <f>#REF!*(#REF!-#REF!)/(#REF!-#REF!)</f>
        <v>#REF!</v>
      </c>
      <c r="BP2" t="e">
        <f>#REF!</f>
        <v>#REF!</v>
      </c>
      <c r="BQ2" t="e">
        <f>#REF!*(#REF!-#REF!)/(#REF!-#REF!)</f>
        <v>#REF!</v>
      </c>
      <c r="BR2" t="e">
        <f>#REF!</f>
        <v>#REF!</v>
      </c>
      <c r="BS2" t="e">
        <f>#REF!*(#REF!-#REF!)/(#REF!-#REF!)</f>
        <v>#REF!</v>
      </c>
      <c r="BT2" t="e">
        <f>#REF!</f>
        <v>#REF!</v>
      </c>
      <c r="BU2" t="e">
        <f>#REF!*(#REF!-#REF!)/(#REF!-#REF!)</f>
        <v>#REF!</v>
      </c>
      <c r="BV2" t="e">
        <f>#REF!</f>
        <v>#REF!</v>
      </c>
      <c r="BW2" t="e">
        <f>#REF!*(#REF!-#REF!)/(#REF!-#REF!)</f>
        <v>#REF!</v>
      </c>
      <c r="BX2" t="e">
        <f>#REF!</f>
        <v>#REF!</v>
      </c>
      <c r="BY2" t="e">
        <f>#REF!*(#REF!-#REF!)/(#REF!-#REF!)</f>
        <v>#REF!</v>
      </c>
      <c r="BZ2" t="e">
        <f>#REF!</f>
        <v>#REF!</v>
      </c>
      <c r="CA2" t="e">
        <f>#REF!*(#REF!-#REF!)/(#REF!-#REF!)</f>
        <v>#REF!</v>
      </c>
      <c r="CB2" t="e">
        <f>#REF!</f>
        <v>#REF!</v>
      </c>
      <c r="CC2" t="e">
        <f>#REF!*(#REF!-#REF!)/(#REF!-#REF!)</f>
        <v>#REF!</v>
      </c>
      <c r="CD2" t="e">
        <f>#REF!</f>
        <v>#REF!</v>
      </c>
      <c r="CE2" t="e">
        <f>#REF!*(#REF!-#REF!)/(#REF!-#REF!)</f>
        <v>#REF!</v>
      </c>
      <c r="CF2" t="e">
        <f>#REF!</f>
        <v>#REF!</v>
      </c>
      <c r="CG2" t="e">
        <f>#REF!*(#REF!-#REF!)/(#REF!-#REF!)</f>
        <v>#REF!</v>
      </c>
      <c r="CH2" t="e">
        <f>#REF!</f>
        <v>#REF!</v>
      </c>
      <c r="CI2" t="e">
        <f>#REF!*(#REF!-#REF!)/(#REF!-#REF!)</f>
        <v>#REF!</v>
      </c>
      <c r="CJ2" t="e">
        <f>#REF!</f>
        <v>#REF!</v>
      </c>
      <c r="CK2" t="e">
        <f>#REF!*(#REF!-#REF!)/(#REF!-#REF!)</f>
        <v>#REF!</v>
      </c>
      <c r="CL2" t="e">
        <f>#REF!</f>
        <v>#REF!</v>
      </c>
      <c r="CM2" t="e">
        <f>#REF!*(#REF!-#REF!)/(#REF!-#REF!)</f>
        <v>#REF!</v>
      </c>
      <c r="CN2" t="e">
        <f>#REF!</f>
        <v>#REF!</v>
      </c>
      <c r="CO2" t="e">
        <f>#REF!*(#REF!-#REF!)/(#REF!-#REF!)</f>
        <v>#REF!</v>
      </c>
      <c r="CP2" t="e">
        <f>#REF!</f>
        <v>#REF!</v>
      </c>
      <c r="CQ2" t="e">
        <f>#REF!*(#REF!-#REF!)/(#REF!-#REF!)</f>
        <v>#REF!</v>
      </c>
      <c r="CR2" t="e">
        <f>#REF!</f>
        <v>#REF!</v>
      </c>
      <c r="CS2" t="e">
        <f>#REF!*(#REF!-#REF!)/(#REF!-#REF!)</f>
        <v>#REF!</v>
      </c>
      <c r="CT2" t="e">
        <f>#REF!</f>
        <v>#REF!</v>
      </c>
      <c r="CU2" t="e">
        <f>#REF!*(#REF!-#REF!)/(#REF!-#REF!)</f>
        <v>#REF!</v>
      </c>
      <c r="CV2" t="e">
        <f>#REF!</f>
        <v>#REF!</v>
      </c>
      <c r="CW2" t="e">
        <f>#REF!*(#REF!-#REF!)/(#REF!-#REF!)</f>
        <v>#REF!</v>
      </c>
      <c r="CX2" t="e">
        <f>#REF!</f>
        <v>#REF!</v>
      </c>
      <c r="CY2" t="e">
        <f>#REF!*(#REF!-#REF!)/(#REF!-#REF!)</f>
        <v>#REF!</v>
      </c>
      <c r="CZ2" t="e">
        <f>#REF!</f>
        <v>#REF!</v>
      </c>
      <c r="DA2" t="e">
        <f>#REF!*(#REF!-#REF!)/(#REF!-#REF!)</f>
        <v>#REF!</v>
      </c>
      <c r="DB2" t="e">
        <f>#REF!</f>
        <v>#REF!</v>
      </c>
      <c r="DC2" t="e">
        <f>#REF!*(#REF!-#REF!)/(#REF!-#REF!)</f>
        <v>#REF!</v>
      </c>
      <c r="DD2" t="e">
        <f>#REF!</f>
        <v>#REF!</v>
      </c>
      <c r="DE2" t="e">
        <f>#REF!*(#REF!-#REF!)/(#REF!-#REF!)</f>
        <v>#REF!</v>
      </c>
      <c r="DF2" t="e">
        <f>#REF!</f>
        <v>#REF!</v>
      </c>
      <c r="DG2" t="e">
        <f>#REF!*(#REF!-#REF!)/(#REF!-#REF!)</f>
        <v>#REF!</v>
      </c>
      <c r="DH2" t="e">
        <f>#REF!</f>
        <v>#REF!</v>
      </c>
      <c r="DI2" t="e">
        <f>#REF!*(#REF!-#REF!)/(#REF!-#REF!)</f>
        <v>#REF!</v>
      </c>
      <c r="DJ2" t="e">
        <f>#REF!</f>
        <v>#REF!</v>
      </c>
      <c r="DK2" t="e">
        <f>#REF!*(#REF!-#REF!)/(#REF!-#REF!)</f>
        <v>#REF!</v>
      </c>
      <c r="DL2" t="e">
        <f>#REF!</f>
        <v>#REF!</v>
      </c>
      <c r="DM2" t="e">
        <f>#REF!*(#REF!-#REF!)/(#REF!-#REF!)</f>
        <v>#REF!</v>
      </c>
      <c r="DN2" t="e">
        <f>#REF!</f>
        <v>#REF!</v>
      </c>
      <c r="DO2" t="e">
        <f>#REF!*(#REF!-#REF!)/(#REF!-#REF!)</f>
        <v>#REF!</v>
      </c>
      <c r="DP2" t="e">
        <f>#REF!</f>
        <v>#REF!</v>
      </c>
      <c r="DQ2" t="e">
        <f>#REF!*(#REF!-#REF!)/(#REF!-#REF!)</f>
        <v>#REF!</v>
      </c>
      <c r="DR2" t="e">
        <f>#REF!</f>
        <v>#REF!</v>
      </c>
      <c r="DS2" t="e">
        <f>#REF!*(#REF!-#REF!)/(#REF!-#REF!)</f>
        <v>#REF!</v>
      </c>
      <c r="DT2" t="e">
        <f>#REF!</f>
        <v>#REF!</v>
      </c>
      <c r="DU2" t="e">
        <f>#REF!*(#REF!-#REF!)/(#REF!-#REF!)</f>
        <v>#REF!</v>
      </c>
      <c r="DV2" t="e">
        <f>#REF!</f>
        <v>#REF!</v>
      </c>
      <c r="DW2" t="e">
        <f>#REF!*(#REF!-#REF!)/(#REF!-#REF!)</f>
        <v>#REF!</v>
      </c>
      <c r="DX2" t="e">
        <f>#REF!</f>
        <v>#REF!</v>
      </c>
      <c r="DY2" t="e">
        <f>#REF!*(#REF!-#REF!)/(#REF!-#REF!)</f>
        <v>#REF!</v>
      </c>
      <c r="DZ2" t="e">
        <f>#REF!</f>
        <v>#REF!</v>
      </c>
      <c r="EA2" t="e">
        <f>#REF!*(#REF!-#REF!)/(#REF!-#REF!)</f>
        <v>#REF!</v>
      </c>
      <c r="EB2" t="e">
        <f>#REF!</f>
        <v>#REF!</v>
      </c>
      <c r="EC2" t="e">
        <f>#REF!*(#REF!-#REF!)/(#REF!-#REF!)</f>
        <v>#REF!</v>
      </c>
      <c r="ED2" t="e">
        <f>#REF!</f>
        <v>#REF!</v>
      </c>
      <c r="EE2" t="e">
        <f>#REF!*(#REF!-#REF!)/(#REF!-#REF!)</f>
        <v>#REF!</v>
      </c>
      <c r="EF2" t="e">
        <f>#REF!</f>
        <v>#REF!</v>
      </c>
      <c r="EG2" t="e">
        <f>#REF!*(#REF!-#REF!)/(#REF!-#REF!)</f>
        <v>#REF!</v>
      </c>
      <c r="EH2" t="e">
        <f>#REF!</f>
        <v>#REF!</v>
      </c>
      <c r="EI2" t="e">
        <f>#REF!*(#REF!-#REF!)/(#REF!-#REF!)</f>
        <v>#REF!</v>
      </c>
      <c r="EJ2" t="e">
        <f>#REF!</f>
        <v>#REF!</v>
      </c>
      <c r="EK2" t="e">
        <f>#REF!*(#REF!-#REF!)/(#REF!-#REF!)</f>
        <v>#REF!</v>
      </c>
      <c r="EL2" t="e">
        <f>#REF!</f>
        <v>#REF!</v>
      </c>
      <c r="EM2" t="e">
        <f>#REF!*(#REF!-#REF!)/(#REF!-#REF!)</f>
        <v>#REF!</v>
      </c>
      <c r="EN2" t="e">
        <f>#REF!</f>
        <v>#REF!</v>
      </c>
      <c r="EO2" t="e">
        <f>#REF!*(#REF!-#REF!)/(#REF!-#REF!)</f>
        <v>#REF!</v>
      </c>
      <c r="EP2" t="e">
        <f>#REF!</f>
        <v>#REF!</v>
      </c>
      <c r="EQ2" t="e">
        <f>#REF!*(#REF!-#REF!)/(#REF!-#REF!)</f>
        <v>#REF!</v>
      </c>
      <c r="ER2" t="e">
        <f>#REF!</f>
        <v>#REF!</v>
      </c>
      <c r="ES2" t="e">
        <f>#REF!*(#REF!-#REF!)/(#REF!-#REF!)</f>
        <v>#REF!</v>
      </c>
      <c r="ET2" t="e">
        <f>#REF!</f>
        <v>#REF!</v>
      </c>
      <c r="EU2" t="e">
        <f>#REF!*(#REF!-#REF!)/(#REF!-#REF!)</f>
        <v>#REF!</v>
      </c>
      <c r="EV2" t="e">
        <f>#REF!</f>
        <v>#REF!</v>
      </c>
      <c r="EW2" t="e">
        <f>#REF!*(#REF!-#REF!)/(#REF!-#REF!)</f>
        <v>#REF!</v>
      </c>
      <c r="EX2" t="e">
        <f>#REF!</f>
        <v>#REF!</v>
      </c>
      <c r="EY2" t="e">
        <f>#REF!*(#REF!-#REF!)/(#REF!-#REF!)</f>
        <v>#REF!</v>
      </c>
      <c r="EZ2" t="e">
        <f>#REF!</f>
        <v>#REF!</v>
      </c>
      <c r="FA2" t="e">
        <f>#REF!*(#REF!-#REF!)/(#REF!-#REF!)</f>
        <v>#REF!</v>
      </c>
      <c r="FB2" t="e">
        <f>#REF!</f>
        <v>#REF!</v>
      </c>
      <c r="FC2" t="e">
        <f>#REF!*(#REF!-#REF!)/(#REF!-#REF!)</f>
        <v>#REF!</v>
      </c>
      <c r="FD2" t="e">
        <f>#REF!</f>
        <v>#REF!</v>
      </c>
      <c r="FE2" t="e">
        <f>#REF!*(#REF!-#REF!)/(#REF!-#REF!)</f>
        <v>#REF!</v>
      </c>
      <c r="FF2" t="e">
        <f>#REF!</f>
        <v>#REF!</v>
      </c>
      <c r="FG2" t="e">
        <f>#REF!*(#REF!-#REF!)/(#REF!-#REF!)</f>
        <v>#REF!</v>
      </c>
      <c r="FH2" t="e">
        <f>#REF!</f>
        <v>#REF!</v>
      </c>
      <c r="FI2" t="e">
        <f>#REF!*(#REF!-#REF!)/(#REF!-#REF!)</f>
        <v>#REF!</v>
      </c>
      <c r="FJ2" t="e">
        <f>#REF!</f>
        <v>#REF!</v>
      </c>
      <c r="FK2" t="e">
        <f>#REF!*(#REF!-#REF!)/(#REF!-#REF!)</f>
        <v>#REF!</v>
      </c>
      <c r="FL2" t="e">
        <f>#REF!</f>
        <v>#REF!</v>
      </c>
      <c r="FM2" t="e">
        <f>#REF!*(#REF!-#REF!)/(#REF!-#REF!)</f>
        <v>#REF!</v>
      </c>
      <c r="FN2" t="e">
        <f>#REF!</f>
        <v>#REF!</v>
      </c>
      <c r="FO2" t="e">
        <f>#REF!*(#REF!-#REF!)/(#REF!-#REF!)</f>
        <v>#REF!</v>
      </c>
      <c r="FP2" t="e">
        <f>#REF!</f>
        <v>#REF!</v>
      </c>
      <c r="FQ2" t="e">
        <f>#REF!*(#REF!-#REF!)/(#REF!-#REF!)</f>
        <v>#REF!</v>
      </c>
      <c r="FR2" t="e">
        <f>#REF!</f>
        <v>#REF!</v>
      </c>
      <c r="FS2" t="e">
        <f>#REF!*(#REF!-#REF!)/(#REF!-#REF!)</f>
        <v>#REF!</v>
      </c>
      <c r="FT2" t="e">
        <f>#REF!</f>
        <v>#REF!</v>
      </c>
      <c r="FU2" t="e">
        <f>#REF!*(#REF!-#REF!)/(#REF!-#REF!)</f>
        <v>#REF!</v>
      </c>
      <c r="FV2" t="e">
        <f>#REF!</f>
        <v>#REF!</v>
      </c>
      <c r="FW2" t="e">
        <f>#REF!*(#REF!-#REF!)/(#REF!-#REF!)</f>
        <v>#REF!</v>
      </c>
      <c r="FX2" t="e">
        <f>#REF!</f>
        <v>#REF!</v>
      </c>
      <c r="FY2" t="e">
        <f>#REF!*(#REF!-#REF!)/(#REF!-#REF!)</f>
        <v>#REF!</v>
      </c>
      <c r="FZ2" t="e">
        <f>#REF!</f>
        <v>#REF!</v>
      </c>
      <c r="GA2" t="e">
        <f>#REF!*(#REF!-#REF!)/(#REF!-#REF!)</f>
        <v>#REF!</v>
      </c>
      <c r="GB2" t="e">
        <f>#REF!-JRplotdata!GB7</f>
        <v>#REF!</v>
      </c>
      <c r="GD2" t="e">
        <f>#REF!-JRplotdata!GD7</f>
        <v>#REF!</v>
      </c>
      <c r="GF2" t="e">
        <f>#REF!-JRplotdata!GF7</f>
        <v>#REF!</v>
      </c>
      <c r="GG2" t="e">
        <f>#REF!-JRplotdata!GF7</f>
        <v>#REF!</v>
      </c>
      <c r="GH2" t="e">
        <f>#REF!-JRplotdata!GH7</f>
        <v>#REF!</v>
      </c>
      <c r="GI2" t="e">
        <f>#REF!-JRplotdata!GH7</f>
        <v>#REF!</v>
      </c>
      <c r="GJ2" t="e">
        <f>#REF!-JRplotdata!GJ7</f>
        <v>#REF!</v>
      </c>
      <c r="GL2" t="e">
        <f>#REF!-JRplotdata!GL7</f>
        <v>#REF!</v>
      </c>
      <c r="GN2" t="e">
        <f>#REF!-JRplotdata!GN7</f>
        <v>#REF!</v>
      </c>
      <c r="GO2" t="e">
        <f>#REF!-JRplotdata!GN7</f>
        <v>#REF!</v>
      </c>
      <c r="GP2" t="e">
        <f>#REF!-JRplotdata!GP7</f>
        <v>#REF!</v>
      </c>
      <c r="GR2" t="e">
        <f>#REF!-JRplotdata!GR7</f>
        <v>#REF!</v>
      </c>
      <c r="GS2" s="2" t="e">
        <f>#REF!-JRplotdata!GR7</f>
        <v>#REF!</v>
      </c>
      <c r="GT2" t="e">
        <f>#REF!-JRplotdata!GT7</f>
        <v>#REF!</v>
      </c>
      <c r="GU2" t="e">
        <f>#REF!-JRplotdata!GT7</f>
        <v>#REF!</v>
      </c>
      <c r="GV2" t="e">
        <f>#REF!-JRplotdata!GV7</f>
        <v>#REF!</v>
      </c>
      <c r="GW2" t="e">
        <f>#REF!-JRplotdata!GV7</f>
        <v>#REF!</v>
      </c>
      <c r="GX2" t="e">
        <f>#REF!-JRplotdata!GX7</f>
        <v>#REF!</v>
      </c>
      <c r="GY2" t="e">
        <f>#REF!-JRplotdata!GX7</f>
        <v>#REF!</v>
      </c>
      <c r="GZ2" t="e">
        <f>#REF!-JRplotdata!GZ7</f>
        <v>#REF!</v>
      </c>
      <c r="HA2" t="e">
        <f>#REF!-JRplotdata!GZ7</f>
        <v>#REF!</v>
      </c>
      <c r="HB2" t="e">
        <f>#REF!-JRplotdata!HB7</f>
        <v>#REF!</v>
      </c>
      <c r="HC2" t="e">
        <f>#REF!-JRplotdata!HB7</f>
        <v>#REF!</v>
      </c>
      <c r="HD2" t="e">
        <f>#REF!-JRplotdata!HD7</f>
        <v>#REF!</v>
      </c>
      <c r="HE2" t="e">
        <f>#REF!-JRplotdata!HD7</f>
        <v>#REF!</v>
      </c>
      <c r="HF2" t="e">
        <f>#REF!-JRplotdata!HF7</f>
        <v>#REF!</v>
      </c>
      <c r="HG2" t="e">
        <f>#REF!-JRplotdata!HF7</f>
        <v>#REF!</v>
      </c>
      <c r="HH2" t="e">
        <f>#REF!-JRplotdata!HH7</f>
        <v>#REF!</v>
      </c>
      <c r="HI2" t="e">
        <f>#REF!-JRplotdata!HH7</f>
        <v>#REF!</v>
      </c>
      <c r="HJ2" t="e">
        <f>#REF!-JRplotdata!HJ7</f>
        <v>#REF!</v>
      </c>
      <c r="HK2" t="e">
        <f>#REF!-JRplotdata!HJ7</f>
        <v>#REF!</v>
      </c>
      <c r="HL2" t="e">
        <f>#REF!-JRplotdata!HL7</f>
        <v>#REF!</v>
      </c>
      <c r="HM2" t="e">
        <f>#REF!-JRplotdata!HL7</f>
        <v>#REF!</v>
      </c>
      <c r="HN2" t="e">
        <f>#REF!-JRplotdata!HN7</f>
        <v>#REF!</v>
      </c>
      <c r="HP2" t="e">
        <f>#REF!-JRplotdata!HP7</f>
        <v>#REF!</v>
      </c>
      <c r="HR2" t="e">
        <f>#REF!-JRplotdata!HR7</f>
        <v>#REF!</v>
      </c>
      <c r="HT2" t="e">
        <f>#REF!-JRplotdata!HT7</f>
        <v>#REF!</v>
      </c>
      <c r="HV2" t="e">
        <f>#REF!-JRplotdata!HV7</f>
        <v>#REF!</v>
      </c>
      <c r="HW2" t="e">
        <f>#REF!-JRplotdata!HV7</f>
        <v>#REF!</v>
      </c>
      <c r="HX2" t="e">
        <f>#REF!-JRplotdata!HX7</f>
        <v>#REF!</v>
      </c>
      <c r="HY2" t="e">
        <f>#REF!-JRplotdata!HX7</f>
        <v>#REF!</v>
      </c>
      <c r="HZ2" t="e">
        <f>#REF!-JRplotdata!HZ7</f>
        <v>#REF!</v>
      </c>
      <c r="IB2" t="e">
        <f>#REF!-JRplotdata!IB7</f>
        <v>#REF!</v>
      </c>
      <c r="ID2" t="e">
        <f>#REF!-JRplotdata!ID7</f>
        <v>#REF!</v>
      </c>
      <c r="IF2" t="e">
        <f>#REF!-JRplotdata!IF7</f>
        <v>#REF!</v>
      </c>
      <c r="IH2" t="e">
        <f>#REF!-JRplotdata!IH7</f>
        <v>#REF!</v>
      </c>
      <c r="IJ2" t="e">
        <f>#REF!-JRplotdata!IJ7</f>
        <v>#REF!</v>
      </c>
      <c r="IL2" t="e">
        <f>#REF!-JRplotdata!IL7</f>
        <v>#REF!</v>
      </c>
      <c r="IN2" t="e">
        <f>#REF!-JRplotdata!IN7</f>
        <v>#REF!</v>
      </c>
      <c r="IP2" t="e">
        <f>#REF!-JRplotdata!IP7</f>
        <v>#REF!</v>
      </c>
      <c r="IR2" t="e">
        <f>#REF!-JRplotdata!IR7</f>
        <v>#REF!</v>
      </c>
      <c r="IT2" t="e">
        <f>#REF!-JRplotdata!IT7</f>
        <v>#REF!</v>
      </c>
      <c r="IV2" t="e">
        <f>#REF!-JRplotdata!IV7</f>
        <v>#REF!</v>
      </c>
      <c r="IX2" t="e">
        <f>#REF!-JRplotdata!IX7</f>
        <v>#REF!</v>
      </c>
      <c r="IZ2" t="e">
        <f>#REF!-JRplotdata!IZ7</f>
        <v>#REF!</v>
      </c>
      <c r="JA2" t="e">
        <f>#REF!-JRplotdata!IZ7</f>
        <v>#REF!</v>
      </c>
      <c r="JB2" t="e">
        <f>#REF!-JRplotdata!JB7</f>
        <v>#REF!</v>
      </c>
      <c r="JC2" t="e">
        <f>#REF!-JRplotdata!JB7</f>
        <v>#REF!</v>
      </c>
      <c r="JD2" t="e">
        <f>#REF!-JRplotdata!JB7</f>
        <v>#REF!</v>
      </c>
      <c r="JE2" t="e">
        <f>#REF!-JRplotdata!JB7</f>
        <v>#REF!</v>
      </c>
      <c r="JF2">
        <f>Tabel!$Y$7</f>
        <v>0</v>
      </c>
      <c r="JG2">
        <f>Tabel!$Z$7</f>
        <v>0</v>
      </c>
      <c r="JH2">
        <f>Tabel!$Y$7</f>
        <v>0</v>
      </c>
      <c r="JI2">
        <f>Tabel!$Z$7</f>
        <v>0</v>
      </c>
      <c r="JJ2">
        <f>Tabel!$Y$8</f>
        <v>0</v>
      </c>
      <c r="JK2">
        <f>Tabel!$Z$8</f>
        <v>0</v>
      </c>
      <c r="JL2">
        <f>Tabel!$Y$9</f>
        <v>0</v>
      </c>
      <c r="JM2">
        <f>Tabel!$Z$9</f>
        <v>0</v>
      </c>
      <c r="JN2">
        <f>Tabel!$Y$10</f>
        <v>0</v>
      </c>
      <c r="JO2">
        <f>Tabel!$Z$10</f>
        <v>0</v>
      </c>
      <c r="JP2">
        <f>Tabel!$Y$11</f>
        <v>0</v>
      </c>
      <c r="JQ2">
        <f>Tabel!$Z$11</f>
        <v>0</v>
      </c>
      <c r="JR2">
        <f>Tabel!$Y$8</f>
        <v>0</v>
      </c>
      <c r="JS2">
        <f>Tabel!$Z$8</f>
        <v>0</v>
      </c>
      <c r="JT2">
        <f>Tabel!$Y$9</f>
        <v>0</v>
      </c>
      <c r="JU2">
        <f>Tabel!$Z$9</f>
        <v>0</v>
      </c>
      <c r="JV2">
        <f>Tabel!$Y$10</f>
        <v>0</v>
      </c>
      <c r="JW2">
        <f>Tabel!$Z$10</f>
        <v>0</v>
      </c>
      <c r="JX2">
        <f>Tabel!$Y$11</f>
        <v>0</v>
      </c>
      <c r="JY2">
        <f>Tabel!$Z$11</f>
        <v>0</v>
      </c>
    </row>
    <row r="3" spans="1:285" x14ac:dyDescent="0.25">
      <c r="B3" t="e">
        <f>#REF!</f>
        <v>#REF!</v>
      </c>
      <c r="C3" t="e">
        <f>#REF!*(#REF!-#REF!)/(#REF!-#REF!)</f>
        <v>#REF!</v>
      </c>
      <c r="D3" t="e">
        <f>#REF!-#REF!</f>
        <v>#REF!</v>
      </c>
      <c r="F3" t="e">
        <f>#REF!</f>
        <v>#REF!</v>
      </c>
      <c r="G3" t="e">
        <f>#REF!*(#REF!-#REF!)/(#REF!-#REF!)</f>
        <v>#REF!</v>
      </c>
      <c r="H3" t="e">
        <f>#REF!</f>
        <v>#REF!</v>
      </c>
      <c r="I3" t="e">
        <f>#REF!*(#REF!-#REF!)/(#REF!-#REF!)</f>
        <v>#REF!</v>
      </c>
      <c r="J3" t="e">
        <f>#REF!</f>
        <v>#REF!</v>
      </c>
      <c r="K3" t="e">
        <f>#REF!*(#REF!-#REF!)/(#REF!-#REF!)</f>
        <v>#REF!</v>
      </c>
      <c r="L3" t="e">
        <f>#REF!</f>
        <v>#REF!</v>
      </c>
      <c r="M3">
        <v>0</v>
      </c>
      <c r="N3" t="e">
        <f>#REF!</f>
        <v>#REF!</v>
      </c>
      <c r="O3">
        <v>0</v>
      </c>
      <c r="P3" t="e">
        <f>#REF!</f>
        <v>#REF!</v>
      </c>
      <c r="Q3">
        <v>0</v>
      </c>
      <c r="R3" t="e">
        <f>#REF!-#REF!</f>
        <v>#REF!</v>
      </c>
      <c r="T3" t="e">
        <f>#REF!-#REF!</f>
        <v>#REF!</v>
      </c>
      <c r="V3" t="e">
        <f>#REF!-#REF!</f>
        <v>#REF!</v>
      </c>
      <c r="X3" t="e">
        <f>#REF!-#REF!</f>
        <v>#REF!</v>
      </c>
      <c r="Z3" t="e">
        <f>#REF!-#REF!</f>
        <v>#REF!</v>
      </c>
      <c r="AA3" t="e">
        <f>#REF!-#REF!</f>
        <v>#REF!</v>
      </c>
      <c r="AB3" t="e">
        <f>#REF!</f>
        <v>#REF!</v>
      </c>
      <c r="AC3" t="e">
        <f>#REF!*(#REF!-#REF!)/(#REF!-#REF!)</f>
        <v>#REF!</v>
      </c>
      <c r="AD3" t="e">
        <f>#REF!</f>
        <v>#REF!</v>
      </c>
      <c r="AE3" t="e">
        <f>#REF!*(#REF!-#REF!)/(#REF!-#REF!)</f>
        <v>#REF!</v>
      </c>
      <c r="AF3" t="e">
        <f>#REF!</f>
        <v>#REF!</v>
      </c>
      <c r="AG3" t="e">
        <f>#REF!*(#REF!-#REF!)/(#REF!-#REF!)</f>
        <v>#REF!</v>
      </c>
      <c r="AH3" t="e">
        <f>#REF!</f>
        <v>#REF!</v>
      </c>
      <c r="AI3" t="e">
        <f>#REF!*(#REF!-#REF!)/(#REF!-#REF!)</f>
        <v>#REF!</v>
      </c>
      <c r="AJ3" t="e">
        <f>#REF!-#REF!</f>
        <v>#REF!</v>
      </c>
      <c r="AK3" t="e">
        <f>#REF!-#REF!</f>
        <v>#REF!</v>
      </c>
      <c r="AL3" t="e">
        <f>#REF!-#REF!</f>
        <v>#REF!</v>
      </c>
      <c r="AM3" t="e">
        <f>#REF!-#REF!</f>
        <v>#REF!</v>
      </c>
      <c r="AN3" t="e">
        <f>#REF!</f>
        <v>#REF!</v>
      </c>
      <c r="AO3" t="e">
        <f>#REF!*(#REF!-#REF!)/(#REF!-#REF!)</f>
        <v>#REF!</v>
      </c>
      <c r="AP3" t="e">
        <f>#REF!</f>
        <v>#REF!</v>
      </c>
      <c r="AQ3" t="e">
        <f>#REF!*(#REF!-#REF!)/(#REF!-#REF!)</f>
        <v>#REF!</v>
      </c>
      <c r="AR3" t="e">
        <f>#REF!</f>
        <v>#REF!</v>
      </c>
      <c r="AS3" t="e">
        <f>#REF!*(#REF!-#REF!)/(#REF!-#REF!)</f>
        <v>#REF!</v>
      </c>
      <c r="AT3" t="e">
        <f>#REF!</f>
        <v>#REF!</v>
      </c>
      <c r="AU3" t="e">
        <f>#REF!*(#REF!-#REF!)/(#REF!-#REF!)</f>
        <v>#REF!</v>
      </c>
      <c r="AV3" t="e">
        <f>#REF!</f>
        <v>#REF!</v>
      </c>
      <c r="AW3" t="e">
        <f>#REF!*(#REF!-#REF!)/(#REF!-#REF!)</f>
        <v>#REF!</v>
      </c>
      <c r="AX3" t="e">
        <f>#REF!</f>
        <v>#REF!</v>
      </c>
      <c r="AY3" t="e">
        <f>#REF!*(#REF!-#REF!)/(#REF!-#REF!)</f>
        <v>#REF!</v>
      </c>
      <c r="AZ3" t="e">
        <f>#REF!</f>
        <v>#REF!</v>
      </c>
      <c r="BA3" t="e">
        <f>#REF!*(#REF!-#REF!)/(#REF!-#REF!)</f>
        <v>#REF!</v>
      </c>
      <c r="BB3" t="e">
        <f>#REF!</f>
        <v>#REF!</v>
      </c>
      <c r="BC3" t="e">
        <f>#REF!*(#REF!-#REF!)/(#REF!-#REF!)</f>
        <v>#REF!</v>
      </c>
      <c r="BD3" t="e">
        <f>#REF!</f>
        <v>#REF!</v>
      </c>
      <c r="BE3" t="e">
        <f>#REF!*(#REF!-#REF!)/(#REF!-#REF!)</f>
        <v>#REF!</v>
      </c>
      <c r="BF3" t="e">
        <f>#REF!</f>
        <v>#REF!</v>
      </c>
      <c r="BG3" t="e">
        <f>#REF!*(#REF!-#REF!)/(#REF!-#REF!)</f>
        <v>#REF!</v>
      </c>
      <c r="BH3" t="e">
        <f>#REF!</f>
        <v>#REF!</v>
      </c>
      <c r="BI3" t="e">
        <f>#REF!*(#REF!-#REF!)/(#REF!-#REF!)</f>
        <v>#REF!</v>
      </c>
      <c r="BJ3" t="e">
        <f>#REF!</f>
        <v>#REF!</v>
      </c>
      <c r="BK3" t="e">
        <f>#REF!*(#REF!-#REF!)/(#REF!-#REF!)</f>
        <v>#REF!</v>
      </c>
      <c r="BL3" t="e">
        <f>#REF!</f>
        <v>#REF!</v>
      </c>
      <c r="BM3" t="e">
        <f>#REF!*(#REF!-#REF!)/(#REF!-#REF!)</f>
        <v>#REF!</v>
      </c>
      <c r="BN3" t="e">
        <f>#REF!</f>
        <v>#REF!</v>
      </c>
      <c r="BO3" t="e">
        <f>#REF!*(#REF!-#REF!)/(#REF!-#REF!)</f>
        <v>#REF!</v>
      </c>
      <c r="BP3" t="e">
        <f>#REF!</f>
        <v>#REF!</v>
      </c>
      <c r="BQ3" t="e">
        <f>#REF!*(#REF!-#REF!)/(#REF!-#REF!)</f>
        <v>#REF!</v>
      </c>
      <c r="BR3" t="e">
        <f>#REF!</f>
        <v>#REF!</v>
      </c>
      <c r="BS3" t="e">
        <f>#REF!*(#REF!-#REF!)/(#REF!-#REF!)</f>
        <v>#REF!</v>
      </c>
      <c r="BT3" t="e">
        <f>#REF!</f>
        <v>#REF!</v>
      </c>
      <c r="BU3" t="e">
        <f>#REF!*(#REF!-#REF!)/(#REF!-#REF!)</f>
        <v>#REF!</v>
      </c>
      <c r="BV3" t="e">
        <f>#REF!</f>
        <v>#REF!</v>
      </c>
      <c r="BW3" t="e">
        <f>#REF!*(#REF!-#REF!)/(#REF!-#REF!)</f>
        <v>#REF!</v>
      </c>
      <c r="BX3" t="e">
        <f>#REF!</f>
        <v>#REF!</v>
      </c>
      <c r="BY3" t="e">
        <f>#REF!*(#REF!-#REF!)/(#REF!-#REF!)</f>
        <v>#REF!</v>
      </c>
      <c r="BZ3" t="e">
        <f>#REF!</f>
        <v>#REF!</v>
      </c>
      <c r="CA3" t="e">
        <f>#REF!*(#REF!-#REF!)/(#REF!-#REF!)</f>
        <v>#REF!</v>
      </c>
      <c r="CB3" t="e">
        <f>#REF!</f>
        <v>#REF!</v>
      </c>
      <c r="CC3" t="e">
        <f>#REF!*(#REF!-#REF!)/(#REF!-#REF!)</f>
        <v>#REF!</v>
      </c>
      <c r="CD3" t="e">
        <f>#REF!</f>
        <v>#REF!</v>
      </c>
      <c r="CE3" t="e">
        <f>#REF!*(#REF!-#REF!)/(#REF!-#REF!)</f>
        <v>#REF!</v>
      </c>
      <c r="CF3" t="e">
        <f>#REF!</f>
        <v>#REF!</v>
      </c>
      <c r="CG3" t="e">
        <f>#REF!*(#REF!-#REF!)/(#REF!-#REF!)</f>
        <v>#REF!</v>
      </c>
      <c r="CH3" t="e">
        <f>#REF!</f>
        <v>#REF!</v>
      </c>
      <c r="CI3" t="e">
        <f>#REF!*(#REF!-#REF!)/(#REF!-#REF!)</f>
        <v>#REF!</v>
      </c>
      <c r="CJ3" t="e">
        <f>#REF!</f>
        <v>#REF!</v>
      </c>
      <c r="CK3" t="e">
        <f>#REF!*(#REF!-#REF!)/(#REF!-#REF!)</f>
        <v>#REF!</v>
      </c>
      <c r="CL3" t="e">
        <f>#REF!</f>
        <v>#REF!</v>
      </c>
      <c r="CM3" t="e">
        <f>#REF!*(#REF!-#REF!)/(#REF!-#REF!)</f>
        <v>#REF!</v>
      </c>
      <c r="CN3" t="e">
        <f>#REF!</f>
        <v>#REF!</v>
      </c>
      <c r="CO3" t="e">
        <f>#REF!*(#REF!-#REF!)/(#REF!-#REF!)</f>
        <v>#REF!</v>
      </c>
      <c r="CP3" t="e">
        <f>#REF!</f>
        <v>#REF!</v>
      </c>
      <c r="CQ3" t="e">
        <f>#REF!*(#REF!-#REF!)/(#REF!-#REF!)</f>
        <v>#REF!</v>
      </c>
      <c r="CR3" t="e">
        <f>#REF!</f>
        <v>#REF!</v>
      </c>
      <c r="CS3" t="e">
        <f>#REF!*(#REF!-#REF!)/(#REF!-#REF!)</f>
        <v>#REF!</v>
      </c>
      <c r="CT3" t="e">
        <f>#REF!</f>
        <v>#REF!</v>
      </c>
      <c r="CU3" t="e">
        <f>#REF!*(#REF!-#REF!)/(#REF!-#REF!)</f>
        <v>#REF!</v>
      </c>
      <c r="CV3" t="e">
        <f>#REF!</f>
        <v>#REF!</v>
      </c>
      <c r="CW3" t="e">
        <f>#REF!*(#REF!-#REF!)/(#REF!-#REF!)</f>
        <v>#REF!</v>
      </c>
      <c r="CX3" t="e">
        <f>#REF!</f>
        <v>#REF!</v>
      </c>
      <c r="CY3" t="e">
        <f>#REF!*(#REF!-#REF!)/(#REF!-#REF!)</f>
        <v>#REF!</v>
      </c>
      <c r="CZ3" t="e">
        <f>#REF!</f>
        <v>#REF!</v>
      </c>
      <c r="DA3" t="e">
        <f>#REF!*(#REF!-#REF!)/(#REF!-#REF!)</f>
        <v>#REF!</v>
      </c>
      <c r="DB3" t="e">
        <f>#REF!</f>
        <v>#REF!</v>
      </c>
      <c r="DC3" t="e">
        <f>#REF!*(#REF!-#REF!)/(#REF!-#REF!)</f>
        <v>#REF!</v>
      </c>
      <c r="DD3" t="e">
        <f>#REF!</f>
        <v>#REF!</v>
      </c>
      <c r="DE3" t="e">
        <f>#REF!*(#REF!-#REF!)/(#REF!-#REF!)</f>
        <v>#REF!</v>
      </c>
      <c r="DF3" t="e">
        <f>#REF!</f>
        <v>#REF!</v>
      </c>
      <c r="DG3" t="e">
        <f>#REF!*(#REF!-#REF!)/(#REF!-#REF!)</f>
        <v>#REF!</v>
      </c>
      <c r="DH3" t="e">
        <f>#REF!</f>
        <v>#REF!</v>
      </c>
      <c r="DI3" t="e">
        <f>#REF!*(#REF!-#REF!)/(#REF!-#REF!)</f>
        <v>#REF!</v>
      </c>
      <c r="DJ3" t="e">
        <f>#REF!</f>
        <v>#REF!</v>
      </c>
      <c r="DK3" t="e">
        <f>#REF!*(#REF!-#REF!)/(#REF!-#REF!)</f>
        <v>#REF!</v>
      </c>
      <c r="DL3" t="e">
        <f>#REF!</f>
        <v>#REF!</v>
      </c>
      <c r="DM3" t="e">
        <f>#REF!*(#REF!-#REF!)/(#REF!-#REF!)</f>
        <v>#REF!</v>
      </c>
      <c r="DN3" t="e">
        <f>#REF!</f>
        <v>#REF!</v>
      </c>
      <c r="DO3" t="e">
        <f>#REF!*(#REF!-#REF!)/(#REF!-#REF!)</f>
        <v>#REF!</v>
      </c>
      <c r="DP3" t="e">
        <f>#REF!</f>
        <v>#REF!</v>
      </c>
      <c r="DQ3" t="e">
        <f>#REF!*(#REF!-#REF!)/(#REF!-#REF!)</f>
        <v>#REF!</v>
      </c>
      <c r="DR3" t="e">
        <f>#REF!</f>
        <v>#REF!</v>
      </c>
      <c r="DS3" t="e">
        <f>#REF!*(#REF!-#REF!)/(#REF!-#REF!)</f>
        <v>#REF!</v>
      </c>
      <c r="DT3" t="e">
        <f>#REF!</f>
        <v>#REF!</v>
      </c>
      <c r="DU3" t="e">
        <f>#REF!*(#REF!-#REF!)/(#REF!-#REF!)</f>
        <v>#REF!</v>
      </c>
      <c r="DV3" t="e">
        <f>#REF!</f>
        <v>#REF!</v>
      </c>
      <c r="DW3" t="e">
        <f>#REF!*(#REF!-#REF!)/(#REF!-#REF!)</f>
        <v>#REF!</v>
      </c>
      <c r="DX3" t="e">
        <f>#REF!</f>
        <v>#REF!</v>
      </c>
      <c r="DY3" t="e">
        <f>#REF!*(#REF!-#REF!)/(#REF!-#REF!)</f>
        <v>#REF!</v>
      </c>
      <c r="DZ3" t="e">
        <f>#REF!</f>
        <v>#REF!</v>
      </c>
      <c r="EA3" t="e">
        <f>#REF!*(#REF!-#REF!)/(#REF!-#REF!)</f>
        <v>#REF!</v>
      </c>
      <c r="EB3" t="e">
        <f>#REF!</f>
        <v>#REF!</v>
      </c>
      <c r="EC3" t="e">
        <f>#REF!*(#REF!-#REF!)/(#REF!-#REF!)</f>
        <v>#REF!</v>
      </c>
      <c r="ED3" t="e">
        <f>#REF!</f>
        <v>#REF!</v>
      </c>
      <c r="EE3" t="e">
        <f>#REF!*(#REF!-#REF!)/(#REF!-#REF!)</f>
        <v>#REF!</v>
      </c>
      <c r="EF3" t="e">
        <f>#REF!</f>
        <v>#REF!</v>
      </c>
      <c r="EG3" t="e">
        <f>#REF!*(#REF!-#REF!)/(#REF!-#REF!)</f>
        <v>#REF!</v>
      </c>
      <c r="EH3" t="e">
        <f>#REF!</f>
        <v>#REF!</v>
      </c>
      <c r="EI3" t="e">
        <f>#REF!*(#REF!-#REF!)/(#REF!-#REF!)</f>
        <v>#REF!</v>
      </c>
      <c r="EJ3" t="e">
        <f>#REF!</f>
        <v>#REF!</v>
      </c>
      <c r="EK3" t="e">
        <f>#REF!*(#REF!-#REF!)/(#REF!-#REF!)</f>
        <v>#REF!</v>
      </c>
      <c r="EL3" t="e">
        <f>#REF!</f>
        <v>#REF!</v>
      </c>
      <c r="EM3" t="e">
        <f>#REF!*(#REF!-#REF!)/(#REF!-#REF!)</f>
        <v>#REF!</v>
      </c>
      <c r="EN3" t="e">
        <f>#REF!</f>
        <v>#REF!</v>
      </c>
      <c r="EO3" t="e">
        <f>#REF!*(#REF!-#REF!)/(#REF!-#REF!)</f>
        <v>#REF!</v>
      </c>
      <c r="EP3" t="e">
        <f>#REF!</f>
        <v>#REF!</v>
      </c>
      <c r="EQ3" t="e">
        <f>#REF!*(#REF!-#REF!)/(#REF!-#REF!)</f>
        <v>#REF!</v>
      </c>
      <c r="ER3" t="e">
        <f>#REF!</f>
        <v>#REF!</v>
      </c>
      <c r="ES3" t="e">
        <f>#REF!*(#REF!-#REF!)/(#REF!-#REF!)</f>
        <v>#REF!</v>
      </c>
      <c r="ET3" t="e">
        <f>#REF!</f>
        <v>#REF!</v>
      </c>
      <c r="EU3" t="e">
        <f>#REF!*(#REF!-#REF!)/(#REF!-#REF!)</f>
        <v>#REF!</v>
      </c>
      <c r="EV3" t="e">
        <f>#REF!</f>
        <v>#REF!</v>
      </c>
      <c r="EW3" t="e">
        <f>#REF!*(#REF!-#REF!)/(#REF!-#REF!)</f>
        <v>#REF!</v>
      </c>
      <c r="EX3" t="e">
        <f>#REF!</f>
        <v>#REF!</v>
      </c>
      <c r="EY3" t="e">
        <f>#REF!*(#REF!-#REF!)/(#REF!-#REF!)</f>
        <v>#REF!</v>
      </c>
      <c r="EZ3" t="e">
        <f>#REF!</f>
        <v>#REF!</v>
      </c>
      <c r="FA3" t="e">
        <f>#REF!*(#REF!-#REF!)/(#REF!-#REF!)</f>
        <v>#REF!</v>
      </c>
      <c r="FB3" t="e">
        <f>#REF!</f>
        <v>#REF!</v>
      </c>
      <c r="FC3" t="e">
        <f>#REF!*(#REF!-#REF!)/(#REF!-#REF!)</f>
        <v>#REF!</v>
      </c>
      <c r="FD3" t="e">
        <f>#REF!</f>
        <v>#REF!</v>
      </c>
      <c r="FE3" t="e">
        <f>#REF!*(#REF!-#REF!)/(#REF!-#REF!)</f>
        <v>#REF!</v>
      </c>
      <c r="FF3" t="e">
        <f>#REF!</f>
        <v>#REF!</v>
      </c>
      <c r="FG3" t="e">
        <f>#REF!*(#REF!-#REF!)/(#REF!-#REF!)</f>
        <v>#REF!</v>
      </c>
      <c r="FH3" t="e">
        <f>#REF!</f>
        <v>#REF!</v>
      </c>
      <c r="FI3" t="e">
        <f>#REF!*(#REF!-#REF!)/(#REF!-#REF!)</f>
        <v>#REF!</v>
      </c>
      <c r="FJ3" t="e">
        <f>#REF!</f>
        <v>#REF!</v>
      </c>
      <c r="FK3" t="e">
        <f>#REF!*(#REF!-#REF!)/(#REF!-#REF!)</f>
        <v>#REF!</v>
      </c>
      <c r="FL3" t="e">
        <f>#REF!</f>
        <v>#REF!</v>
      </c>
      <c r="FM3" t="e">
        <f>#REF!*(#REF!-#REF!)/(#REF!-#REF!)</f>
        <v>#REF!</v>
      </c>
      <c r="FN3" t="e">
        <f>#REF!</f>
        <v>#REF!</v>
      </c>
      <c r="FO3" t="e">
        <f>#REF!*(#REF!-#REF!)/(#REF!-#REF!)</f>
        <v>#REF!</v>
      </c>
      <c r="FP3" t="e">
        <f>#REF!</f>
        <v>#REF!</v>
      </c>
      <c r="FQ3" t="e">
        <f>#REF!*(#REF!-#REF!)/(#REF!-#REF!)</f>
        <v>#REF!</v>
      </c>
      <c r="FR3" t="e">
        <f>#REF!</f>
        <v>#REF!</v>
      </c>
      <c r="FS3" t="e">
        <f>#REF!*(#REF!-#REF!)/(#REF!-#REF!)</f>
        <v>#REF!</v>
      </c>
      <c r="FT3" t="e">
        <f>#REF!</f>
        <v>#REF!</v>
      </c>
      <c r="FU3" t="e">
        <f>#REF!*(#REF!-#REF!)/(#REF!-#REF!)</f>
        <v>#REF!</v>
      </c>
      <c r="FV3" t="e">
        <f>#REF!</f>
        <v>#REF!</v>
      </c>
      <c r="FW3" t="e">
        <f>#REF!*(#REF!-#REF!)/(#REF!-#REF!)</f>
        <v>#REF!</v>
      </c>
      <c r="FX3" t="e">
        <f>#REF!</f>
        <v>#REF!</v>
      </c>
      <c r="FY3" t="e">
        <f>#REF!*(#REF!-#REF!)/(#REF!-#REF!)</f>
        <v>#REF!</v>
      </c>
      <c r="FZ3" t="e">
        <f>#REF!</f>
        <v>#REF!</v>
      </c>
      <c r="GA3" t="e">
        <f>#REF!*(#REF!-#REF!)/(#REF!-#REF!)</f>
        <v>#REF!</v>
      </c>
      <c r="GB3" t="e">
        <f>#REF!-#REF!</f>
        <v>#REF!</v>
      </c>
      <c r="GD3" t="e">
        <f>#REF!-#REF!</f>
        <v>#REF!</v>
      </c>
      <c r="GF3" t="e">
        <f>#REF!-#REF!</f>
        <v>#REF!</v>
      </c>
      <c r="GG3" t="e">
        <f>#REF!-#REF!</f>
        <v>#REF!</v>
      </c>
      <c r="GH3" t="e">
        <f>#REF!-#REF!</f>
        <v>#REF!</v>
      </c>
      <c r="GI3" t="e">
        <f>#REF!-#REF!</f>
        <v>#REF!</v>
      </c>
      <c r="GJ3" t="e">
        <f>#REF!-#REF!</f>
        <v>#REF!</v>
      </c>
      <c r="GL3" t="e">
        <f>#REF!-#REF!</f>
        <v>#REF!</v>
      </c>
      <c r="GN3" t="e">
        <f>#REF!-#REF!</f>
        <v>#REF!</v>
      </c>
      <c r="GO3" t="e">
        <f>#REF!-#REF!</f>
        <v>#REF!</v>
      </c>
      <c r="GP3" t="e">
        <f>#REF!-#REF!</f>
        <v>#REF!</v>
      </c>
      <c r="GR3" t="e">
        <f>#REF!-#REF!</f>
        <v>#REF!</v>
      </c>
      <c r="GS3" s="2" t="e">
        <f>#REF!-#REF!</f>
        <v>#REF!</v>
      </c>
      <c r="GT3" t="e">
        <f>#REF!-#REF!</f>
        <v>#REF!</v>
      </c>
      <c r="GU3" t="e">
        <f>#REF!-#REF!</f>
        <v>#REF!</v>
      </c>
      <c r="GV3" t="e">
        <f>#REF!-#REF!</f>
        <v>#REF!</v>
      </c>
      <c r="GW3" t="e">
        <f>#REF!-#REF!</f>
        <v>#REF!</v>
      </c>
      <c r="GX3" t="e">
        <f>#REF!-#REF!</f>
        <v>#REF!</v>
      </c>
      <c r="GY3" t="e">
        <f>#REF!-#REF!</f>
        <v>#REF!</v>
      </c>
      <c r="GZ3" t="e">
        <f>#REF!-#REF!</f>
        <v>#REF!</v>
      </c>
      <c r="HA3" t="e">
        <f>#REF!-#REF!</f>
        <v>#REF!</v>
      </c>
      <c r="HB3" t="e">
        <f>#REF!-#REF!</f>
        <v>#REF!</v>
      </c>
      <c r="HC3" t="e">
        <f>#REF!-#REF!</f>
        <v>#REF!</v>
      </c>
      <c r="HD3" t="e">
        <f>#REF!-#REF!</f>
        <v>#REF!</v>
      </c>
      <c r="HE3" t="e">
        <f>#REF!-#REF!</f>
        <v>#REF!</v>
      </c>
      <c r="HF3" t="e">
        <f>#REF!-#REF!</f>
        <v>#REF!</v>
      </c>
      <c r="HG3" t="e">
        <f>#REF!-#REF!</f>
        <v>#REF!</v>
      </c>
      <c r="HH3" t="e">
        <f>#REF!-#REF!</f>
        <v>#REF!</v>
      </c>
      <c r="HI3" t="e">
        <f>#REF!-#REF!</f>
        <v>#REF!</v>
      </c>
      <c r="HJ3" t="e">
        <f>#REF!-#REF!</f>
        <v>#REF!</v>
      </c>
      <c r="HK3" t="e">
        <f>#REF!-#REF!</f>
        <v>#REF!</v>
      </c>
      <c r="HL3" t="e">
        <f>#REF!-#REF!</f>
        <v>#REF!</v>
      </c>
      <c r="HM3" t="e">
        <f>#REF!-#REF!</f>
        <v>#REF!</v>
      </c>
      <c r="HN3" t="e">
        <f>#REF!-#REF!</f>
        <v>#REF!</v>
      </c>
      <c r="HP3" t="e">
        <f>#REF!-#REF!</f>
        <v>#REF!</v>
      </c>
      <c r="HR3" t="e">
        <f>#REF!-#REF!</f>
        <v>#REF!</v>
      </c>
      <c r="HT3" t="e">
        <f>#REF!-#REF!</f>
        <v>#REF!</v>
      </c>
      <c r="HV3" t="e">
        <f>#REF!-#REF!</f>
        <v>#REF!</v>
      </c>
      <c r="HW3" t="e">
        <f>#REF!-#REF!</f>
        <v>#REF!</v>
      </c>
      <c r="HX3" t="e">
        <f>#REF!-#REF!</f>
        <v>#REF!</v>
      </c>
      <c r="HY3" t="e">
        <f>#REF!-#REF!</f>
        <v>#REF!</v>
      </c>
      <c r="HZ3" t="e">
        <f>#REF!-#REF!</f>
        <v>#REF!</v>
      </c>
      <c r="IB3" t="e">
        <f>#REF!-#REF!</f>
        <v>#REF!</v>
      </c>
      <c r="ID3" t="e">
        <f>#REF!-#REF!</f>
        <v>#REF!</v>
      </c>
      <c r="IF3" t="e">
        <f>#REF!-#REF!</f>
        <v>#REF!</v>
      </c>
      <c r="IH3" t="e">
        <f>#REF!-#REF!</f>
        <v>#REF!</v>
      </c>
      <c r="IJ3" t="e">
        <f>#REF!-#REF!</f>
        <v>#REF!</v>
      </c>
      <c r="IL3" t="e">
        <f>#REF!-#REF!</f>
        <v>#REF!</v>
      </c>
      <c r="IN3" t="e">
        <f>#REF!-#REF!</f>
        <v>#REF!</v>
      </c>
      <c r="IP3" t="e">
        <f>#REF!-#REF!</f>
        <v>#REF!</v>
      </c>
      <c r="IR3" t="e">
        <f>#REF!-#REF!</f>
        <v>#REF!</v>
      </c>
      <c r="IT3" t="e">
        <f>#REF!-#REF!</f>
        <v>#REF!</v>
      </c>
      <c r="IV3" t="e">
        <f>#REF!-#REF!</f>
        <v>#REF!</v>
      </c>
      <c r="IX3" t="e">
        <f>#REF!-#REF!</f>
        <v>#REF!</v>
      </c>
      <c r="IZ3" t="e">
        <f>#REF!-#REF!</f>
        <v>#REF!</v>
      </c>
      <c r="JA3" t="e">
        <f>#REF!-#REF!</f>
        <v>#REF!</v>
      </c>
      <c r="JB3" t="e">
        <f>#REF!-#REF!</f>
        <v>#REF!</v>
      </c>
      <c r="JC3" t="e">
        <f>#REF!-#REF!</f>
        <v>#REF!</v>
      </c>
      <c r="JD3" t="e">
        <f>#REF!-#REF!</f>
        <v>#REF!</v>
      </c>
      <c r="JE3" t="e">
        <f>#REF!-#REF!</f>
        <v>#REF!</v>
      </c>
      <c r="JF3">
        <f>Tabel!$Y$7</f>
        <v>0</v>
      </c>
      <c r="JG3">
        <v>0</v>
      </c>
      <c r="JH3">
        <f>Tabel!$Y$7</f>
        <v>0</v>
      </c>
      <c r="JI3">
        <v>0</v>
      </c>
      <c r="JJ3">
        <f>Tabel!$Y$8</f>
        <v>0</v>
      </c>
      <c r="JK3">
        <v>0</v>
      </c>
      <c r="JL3">
        <f>Tabel!$Y$9</f>
        <v>0</v>
      </c>
      <c r="JM3">
        <v>0</v>
      </c>
      <c r="JN3">
        <f>Tabel!$Y$10</f>
        <v>0</v>
      </c>
      <c r="JO3">
        <v>0</v>
      </c>
      <c r="JP3">
        <f>Tabel!$Y$11</f>
        <v>0</v>
      </c>
      <c r="JQ3">
        <v>0</v>
      </c>
      <c r="JR3">
        <f>Tabel!$Y$8</f>
        <v>0</v>
      </c>
      <c r="JS3">
        <v>0</v>
      </c>
      <c r="JT3">
        <f>Tabel!$Y$9</f>
        <v>0</v>
      </c>
      <c r="JU3">
        <v>0</v>
      </c>
      <c r="JV3">
        <f>Tabel!$Y$10</f>
        <v>0</v>
      </c>
      <c r="JW3">
        <v>0</v>
      </c>
      <c r="JX3">
        <f>Tabel!$Y$11</f>
        <v>0</v>
      </c>
      <c r="JY3">
        <v>0</v>
      </c>
    </row>
    <row r="4" spans="1:285" x14ac:dyDescent="0.25">
      <c r="B4" t="e">
        <f>#REF!</f>
        <v>#REF!</v>
      </c>
      <c r="C4" t="e">
        <f>#REF!*(#REF!-#REF!)/(#REF!-#REF!)</f>
        <v>#REF!</v>
      </c>
      <c r="D4" t="e">
        <f>#REF!-#REF!</f>
        <v>#REF!</v>
      </c>
      <c r="F4" t="e">
        <f>#REF!</f>
        <v>#REF!</v>
      </c>
      <c r="G4" t="e">
        <f>#REF!*(#REF!-#REF!)/(#REF!-#REF!)</f>
        <v>#REF!</v>
      </c>
      <c r="H4" t="e">
        <f>#REF!</f>
        <v>#REF!</v>
      </c>
      <c r="I4" t="e">
        <f>#REF!*(#REF!-#REF!)/(#REF!-#REF!)</f>
        <v>#REF!</v>
      </c>
      <c r="J4" t="e">
        <f>#REF!</f>
        <v>#REF!</v>
      </c>
      <c r="K4" t="e">
        <f>#REF!*(#REF!-#REF!)/(#REF!-#REF!)</f>
        <v>#REF!</v>
      </c>
      <c r="R4" t="e">
        <f>#REF!-#REF!</f>
        <v>#REF!</v>
      </c>
      <c r="T4" t="e">
        <f>#REF!-#REF!</f>
        <v>#REF!</v>
      </c>
      <c r="V4" t="e">
        <f>#REF!-#REF!</f>
        <v>#REF!</v>
      </c>
      <c r="X4" t="e">
        <f>#REF!-#REF!</f>
        <v>#REF!</v>
      </c>
      <c r="Z4" t="e">
        <f>#REF!-#REF!</f>
        <v>#REF!</v>
      </c>
      <c r="AA4" t="e">
        <f>#REF!-#REF!</f>
        <v>#REF!</v>
      </c>
      <c r="AB4" t="e">
        <f>#REF!</f>
        <v>#REF!</v>
      </c>
      <c r="AC4" t="e">
        <f>#REF!*(#REF!-#REF!)/(#REF!-#REF!)</f>
        <v>#REF!</v>
      </c>
      <c r="AD4" t="e">
        <f>#REF!</f>
        <v>#REF!</v>
      </c>
      <c r="AE4" t="e">
        <f>#REF!*(#REF!-#REF!)/(#REF!-#REF!)</f>
        <v>#REF!</v>
      </c>
      <c r="AF4" t="e">
        <f>#REF!</f>
        <v>#REF!</v>
      </c>
      <c r="AG4" t="e">
        <f>#REF!*(#REF!-#REF!)/(#REF!-#REF!)</f>
        <v>#REF!</v>
      </c>
      <c r="AH4" t="e">
        <f>#REF!</f>
        <v>#REF!</v>
      </c>
      <c r="AI4" t="e">
        <f>#REF!*(#REF!-#REF!)/(#REF!-#REF!)</f>
        <v>#REF!</v>
      </c>
      <c r="AJ4" t="e">
        <f>#REF!-#REF!</f>
        <v>#REF!</v>
      </c>
      <c r="AK4" t="e">
        <f>#REF!-#REF!</f>
        <v>#REF!</v>
      </c>
      <c r="AL4" t="e">
        <f>#REF!-#REF!</f>
        <v>#REF!</v>
      </c>
      <c r="AM4" t="e">
        <f>#REF!-#REF!</f>
        <v>#REF!</v>
      </c>
      <c r="AN4" t="e">
        <f>#REF!</f>
        <v>#REF!</v>
      </c>
      <c r="AO4" t="e">
        <f>#REF!*(#REF!-#REF!)/(#REF!-#REF!)</f>
        <v>#REF!</v>
      </c>
      <c r="AP4" t="e">
        <f>#REF!</f>
        <v>#REF!</v>
      </c>
      <c r="AQ4" t="e">
        <f>#REF!*(#REF!-#REF!)/(#REF!-#REF!)</f>
        <v>#REF!</v>
      </c>
      <c r="AR4" t="e">
        <f>#REF!</f>
        <v>#REF!</v>
      </c>
      <c r="AS4" t="e">
        <f>#REF!*(#REF!-#REF!)/(#REF!-#REF!)</f>
        <v>#REF!</v>
      </c>
      <c r="AT4" t="e">
        <f>#REF!</f>
        <v>#REF!</v>
      </c>
      <c r="AU4" t="e">
        <f>#REF!*(#REF!-#REF!)/(#REF!-#REF!)</f>
        <v>#REF!</v>
      </c>
      <c r="AV4" t="e">
        <f>#REF!</f>
        <v>#REF!</v>
      </c>
      <c r="AW4" t="e">
        <f>#REF!*(#REF!-#REF!)/(#REF!-#REF!)</f>
        <v>#REF!</v>
      </c>
      <c r="AX4" t="e">
        <f>#REF!</f>
        <v>#REF!</v>
      </c>
      <c r="AY4" t="e">
        <f>#REF!*(#REF!-#REF!)/(#REF!-#REF!)</f>
        <v>#REF!</v>
      </c>
      <c r="AZ4" t="e">
        <f>#REF!</f>
        <v>#REF!</v>
      </c>
      <c r="BA4" t="e">
        <f>#REF!*(#REF!-#REF!)/(#REF!-#REF!)</f>
        <v>#REF!</v>
      </c>
      <c r="BB4" t="e">
        <f>#REF!</f>
        <v>#REF!</v>
      </c>
      <c r="BC4" t="e">
        <f>#REF!*(#REF!-#REF!)/(#REF!-#REF!)</f>
        <v>#REF!</v>
      </c>
      <c r="BD4" t="e">
        <f>#REF!</f>
        <v>#REF!</v>
      </c>
      <c r="BE4" t="e">
        <f>#REF!*(#REF!-#REF!)/(#REF!-#REF!)</f>
        <v>#REF!</v>
      </c>
      <c r="BF4" t="e">
        <f>#REF!</f>
        <v>#REF!</v>
      </c>
      <c r="BG4" t="e">
        <f>#REF!*(#REF!-#REF!)/(#REF!-#REF!)</f>
        <v>#REF!</v>
      </c>
      <c r="BH4" t="e">
        <f>#REF!</f>
        <v>#REF!</v>
      </c>
      <c r="BI4" t="e">
        <f>#REF!*(#REF!-#REF!)/(#REF!-#REF!)</f>
        <v>#REF!</v>
      </c>
      <c r="BJ4" t="e">
        <f>#REF!</f>
        <v>#REF!</v>
      </c>
      <c r="BK4" t="e">
        <f>#REF!*(#REF!-#REF!)/(#REF!-#REF!)</f>
        <v>#REF!</v>
      </c>
      <c r="BL4" t="e">
        <f>#REF!</f>
        <v>#REF!</v>
      </c>
      <c r="BM4" t="e">
        <f>#REF!*(#REF!-#REF!)/(#REF!-#REF!)</f>
        <v>#REF!</v>
      </c>
      <c r="BN4" t="e">
        <f>#REF!</f>
        <v>#REF!</v>
      </c>
      <c r="BO4" t="e">
        <f>#REF!*(#REF!-#REF!)/(#REF!-#REF!)</f>
        <v>#REF!</v>
      </c>
      <c r="BP4" t="e">
        <f>#REF!</f>
        <v>#REF!</v>
      </c>
      <c r="BQ4" t="e">
        <f>#REF!*(#REF!-#REF!)/(#REF!-#REF!)</f>
        <v>#REF!</v>
      </c>
      <c r="BR4" t="e">
        <f>#REF!</f>
        <v>#REF!</v>
      </c>
      <c r="BS4" t="e">
        <f>#REF!*(#REF!-#REF!)/(#REF!-#REF!)</f>
        <v>#REF!</v>
      </c>
      <c r="BT4" t="e">
        <f>#REF!</f>
        <v>#REF!</v>
      </c>
      <c r="BU4" t="e">
        <f>#REF!*(#REF!-#REF!)/(#REF!-#REF!)</f>
        <v>#REF!</v>
      </c>
      <c r="BV4" t="e">
        <f>#REF!</f>
        <v>#REF!</v>
      </c>
      <c r="BW4" t="e">
        <f>#REF!*(#REF!-#REF!)/(#REF!-#REF!)</f>
        <v>#REF!</v>
      </c>
      <c r="BX4" t="e">
        <f>#REF!</f>
        <v>#REF!</v>
      </c>
      <c r="BY4" t="e">
        <f>#REF!*(#REF!-#REF!)/(#REF!-#REF!)</f>
        <v>#REF!</v>
      </c>
      <c r="BZ4" t="e">
        <f>#REF!</f>
        <v>#REF!</v>
      </c>
      <c r="CA4" t="e">
        <f>#REF!*(#REF!-#REF!)/(#REF!-#REF!)</f>
        <v>#REF!</v>
      </c>
      <c r="CB4" t="e">
        <f>#REF!</f>
        <v>#REF!</v>
      </c>
      <c r="CC4" t="e">
        <f>#REF!*(#REF!-#REF!)/(#REF!-#REF!)</f>
        <v>#REF!</v>
      </c>
      <c r="CD4" t="e">
        <f>#REF!</f>
        <v>#REF!</v>
      </c>
      <c r="CE4" t="e">
        <f>#REF!*(#REF!-#REF!)/(#REF!-#REF!)</f>
        <v>#REF!</v>
      </c>
      <c r="CF4" t="e">
        <f>#REF!</f>
        <v>#REF!</v>
      </c>
      <c r="CG4" t="e">
        <f>#REF!*(#REF!-#REF!)/(#REF!-#REF!)</f>
        <v>#REF!</v>
      </c>
      <c r="CH4" t="e">
        <f>#REF!</f>
        <v>#REF!</v>
      </c>
      <c r="CI4" t="e">
        <f>#REF!*(#REF!-#REF!)/(#REF!-#REF!)</f>
        <v>#REF!</v>
      </c>
      <c r="CJ4" t="e">
        <f>#REF!</f>
        <v>#REF!</v>
      </c>
      <c r="CK4" t="e">
        <f>#REF!*(#REF!-#REF!)/(#REF!-#REF!)</f>
        <v>#REF!</v>
      </c>
      <c r="CL4" t="e">
        <f>#REF!</f>
        <v>#REF!</v>
      </c>
      <c r="CM4" t="e">
        <f>#REF!*(#REF!-#REF!)/(#REF!-#REF!)</f>
        <v>#REF!</v>
      </c>
      <c r="CN4" t="e">
        <f>#REF!</f>
        <v>#REF!</v>
      </c>
      <c r="CO4" t="e">
        <f>#REF!*(#REF!-#REF!)/(#REF!-#REF!)</f>
        <v>#REF!</v>
      </c>
      <c r="CP4" t="e">
        <f>#REF!</f>
        <v>#REF!</v>
      </c>
      <c r="CQ4" t="e">
        <f>#REF!*(#REF!-#REF!)/(#REF!-#REF!)</f>
        <v>#REF!</v>
      </c>
      <c r="CR4" t="e">
        <f>#REF!</f>
        <v>#REF!</v>
      </c>
      <c r="CS4" t="e">
        <f>#REF!*(#REF!-#REF!)/(#REF!-#REF!)</f>
        <v>#REF!</v>
      </c>
      <c r="CT4" t="e">
        <f>#REF!</f>
        <v>#REF!</v>
      </c>
      <c r="CU4" t="e">
        <f>#REF!*(#REF!-#REF!)/(#REF!-#REF!)</f>
        <v>#REF!</v>
      </c>
      <c r="CV4" t="e">
        <f>#REF!</f>
        <v>#REF!</v>
      </c>
      <c r="CW4" t="e">
        <f>#REF!*(#REF!-#REF!)/(#REF!-#REF!)</f>
        <v>#REF!</v>
      </c>
      <c r="CX4" t="e">
        <f>#REF!</f>
        <v>#REF!</v>
      </c>
      <c r="CY4" t="e">
        <f>#REF!*(#REF!-#REF!)/(#REF!-#REF!)</f>
        <v>#REF!</v>
      </c>
      <c r="CZ4" t="e">
        <f>#REF!</f>
        <v>#REF!</v>
      </c>
      <c r="DA4" t="e">
        <f>#REF!*(#REF!-#REF!)/(#REF!-#REF!)</f>
        <v>#REF!</v>
      </c>
      <c r="DB4" t="e">
        <f>#REF!</f>
        <v>#REF!</v>
      </c>
      <c r="DC4" t="e">
        <f>#REF!*(#REF!-#REF!)/(#REF!-#REF!)</f>
        <v>#REF!</v>
      </c>
      <c r="DD4" t="e">
        <f>#REF!</f>
        <v>#REF!</v>
      </c>
      <c r="DE4" t="e">
        <f>#REF!*(#REF!-#REF!)/(#REF!-#REF!)</f>
        <v>#REF!</v>
      </c>
      <c r="DF4" t="e">
        <f>#REF!</f>
        <v>#REF!</v>
      </c>
      <c r="DG4" t="e">
        <f>#REF!*(#REF!-#REF!)/(#REF!-#REF!)</f>
        <v>#REF!</v>
      </c>
      <c r="DH4" t="e">
        <f>#REF!</f>
        <v>#REF!</v>
      </c>
      <c r="DI4" t="e">
        <f>#REF!*(#REF!-#REF!)/(#REF!-#REF!)</f>
        <v>#REF!</v>
      </c>
      <c r="DJ4" t="e">
        <f>#REF!</f>
        <v>#REF!</v>
      </c>
      <c r="DK4" t="e">
        <f>#REF!*(#REF!-#REF!)/(#REF!-#REF!)</f>
        <v>#REF!</v>
      </c>
      <c r="DL4" t="e">
        <f>#REF!</f>
        <v>#REF!</v>
      </c>
      <c r="DM4" t="e">
        <f>#REF!*(#REF!-#REF!)/(#REF!-#REF!)</f>
        <v>#REF!</v>
      </c>
      <c r="DN4" t="e">
        <f>#REF!</f>
        <v>#REF!</v>
      </c>
      <c r="DO4" t="e">
        <f>#REF!*(#REF!-#REF!)/(#REF!-#REF!)</f>
        <v>#REF!</v>
      </c>
      <c r="DP4" t="e">
        <f>#REF!</f>
        <v>#REF!</v>
      </c>
      <c r="DQ4" t="e">
        <f>#REF!*(#REF!-#REF!)/(#REF!-#REF!)</f>
        <v>#REF!</v>
      </c>
      <c r="DR4" t="e">
        <f>#REF!</f>
        <v>#REF!</v>
      </c>
      <c r="DS4" t="e">
        <f>#REF!*(#REF!-#REF!)/(#REF!-#REF!)</f>
        <v>#REF!</v>
      </c>
      <c r="DT4" t="e">
        <f>#REF!</f>
        <v>#REF!</v>
      </c>
      <c r="DU4" t="e">
        <f>#REF!*(#REF!-#REF!)/(#REF!-#REF!)</f>
        <v>#REF!</v>
      </c>
      <c r="DV4" t="e">
        <f>#REF!</f>
        <v>#REF!</v>
      </c>
      <c r="DW4" t="e">
        <f>#REF!*(#REF!-#REF!)/(#REF!-#REF!)</f>
        <v>#REF!</v>
      </c>
      <c r="DX4" t="e">
        <f>#REF!</f>
        <v>#REF!</v>
      </c>
      <c r="DY4" t="e">
        <f>#REF!*(#REF!-#REF!)/(#REF!-#REF!)</f>
        <v>#REF!</v>
      </c>
      <c r="DZ4" t="e">
        <f>#REF!</f>
        <v>#REF!</v>
      </c>
      <c r="EA4" t="e">
        <f>#REF!*(#REF!-#REF!)/(#REF!-#REF!)</f>
        <v>#REF!</v>
      </c>
      <c r="EB4" t="e">
        <f>#REF!</f>
        <v>#REF!</v>
      </c>
      <c r="EC4" t="e">
        <f>#REF!*(#REF!-#REF!)/(#REF!-#REF!)</f>
        <v>#REF!</v>
      </c>
      <c r="ED4" t="e">
        <f>#REF!</f>
        <v>#REF!</v>
      </c>
      <c r="EE4" t="e">
        <f>#REF!*(#REF!-#REF!)/(#REF!-#REF!)</f>
        <v>#REF!</v>
      </c>
      <c r="EF4" t="e">
        <f>#REF!</f>
        <v>#REF!</v>
      </c>
      <c r="EG4" t="e">
        <f>#REF!*(#REF!-#REF!)/(#REF!-#REF!)</f>
        <v>#REF!</v>
      </c>
      <c r="EH4" t="e">
        <f>#REF!</f>
        <v>#REF!</v>
      </c>
      <c r="EI4" t="e">
        <f>#REF!*(#REF!-#REF!)/(#REF!-#REF!)</f>
        <v>#REF!</v>
      </c>
      <c r="EJ4" t="e">
        <f>#REF!</f>
        <v>#REF!</v>
      </c>
      <c r="EK4" t="e">
        <f>#REF!*(#REF!-#REF!)/(#REF!-#REF!)</f>
        <v>#REF!</v>
      </c>
      <c r="EL4" t="e">
        <f>#REF!</f>
        <v>#REF!</v>
      </c>
      <c r="EM4" t="e">
        <f>#REF!*(#REF!-#REF!)/(#REF!-#REF!)</f>
        <v>#REF!</v>
      </c>
      <c r="EN4" t="e">
        <f>#REF!</f>
        <v>#REF!</v>
      </c>
      <c r="EO4" t="e">
        <f>#REF!*(#REF!-#REF!)/(#REF!-#REF!)</f>
        <v>#REF!</v>
      </c>
      <c r="EP4" t="e">
        <f>#REF!</f>
        <v>#REF!</v>
      </c>
      <c r="EQ4" t="e">
        <f>#REF!*(#REF!-#REF!)/(#REF!-#REF!)</f>
        <v>#REF!</v>
      </c>
      <c r="ER4" t="e">
        <f>#REF!</f>
        <v>#REF!</v>
      </c>
      <c r="ES4" t="e">
        <f>#REF!*(#REF!-#REF!)/(#REF!-#REF!)</f>
        <v>#REF!</v>
      </c>
      <c r="ET4" t="e">
        <f>#REF!</f>
        <v>#REF!</v>
      </c>
      <c r="EU4" t="e">
        <f>#REF!*(#REF!-#REF!)/(#REF!-#REF!)</f>
        <v>#REF!</v>
      </c>
      <c r="EV4" t="e">
        <f>#REF!</f>
        <v>#REF!</v>
      </c>
      <c r="EW4" t="e">
        <f>#REF!*(#REF!-#REF!)/(#REF!-#REF!)</f>
        <v>#REF!</v>
      </c>
      <c r="EX4" t="e">
        <f>#REF!</f>
        <v>#REF!</v>
      </c>
      <c r="EY4" t="e">
        <f>#REF!*(#REF!-#REF!)/(#REF!-#REF!)</f>
        <v>#REF!</v>
      </c>
      <c r="EZ4" t="e">
        <f>#REF!</f>
        <v>#REF!</v>
      </c>
      <c r="FA4" t="e">
        <f>#REF!*(#REF!-#REF!)/(#REF!-#REF!)</f>
        <v>#REF!</v>
      </c>
      <c r="FB4" t="e">
        <f>#REF!</f>
        <v>#REF!</v>
      </c>
      <c r="FC4" t="e">
        <f>#REF!*(#REF!-#REF!)/(#REF!-#REF!)</f>
        <v>#REF!</v>
      </c>
      <c r="FD4" t="e">
        <f>#REF!</f>
        <v>#REF!</v>
      </c>
      <c r="FE4" t="e">
        <f>#REF!*(#REF!-#REF!)/(#REF!-#REF!)</f>
        <v>#REF!</v>
      </c>
      <c r="FF4" t="e">
        <f>#REF!</f>
        <v>#REF!</v>
      </c>
      <c r="FG4" t="e">
        <f>#REF!*(#REF!-#REF!)/(#REF!-#REF!)</f>
        <v>#REF!</v>
      </c>
      <c r="FH4" t="e">
        <f>#REF!</f>
        <v>#REF!</v>
      </c>
      <c r="FI4" t="e">
        <f>#REF!*(#REF!-#REF!)/(#REF!-#REF!)</f>
        <v>#REF!</v>
      </c>
      <c r="FJ4" t="e">
        <f>#REF!</f>
        <v>#REF!</v>
      </c>
      <c r="FK4" t="e">
        <f>#REF!*(#REF!-#REF!)/(#REF!-#REF!)</f>
        <v>#REF!</v>
      </c>
      <c r="FL4" t="e">
        <f>#REF!</f>
        <v>#REF!</v>
      </c>
      <c r="FM4" t="e">
        <f>#REF!*(#REF!-#REF!)/(#REF!-#REF!)</f>
        <v>#REF!</v>
      </c>
      <c r="FN4" t="e">
        <f>#REF!</f>
        <v>#REF!</v>
      </c>
      <c r="FO4" t="e">
        <f>#REF!*(#REF!-#REF!)/(#REF!-#REF!)</f>
        <v>#REF!</v>
      </c>
      <c r="FP4" t="e">
        <f>#REF!</f>
        <v>#REF!</v>
      </c>
      <c r="FQ4" t="e">
        <f>#REF!*(#REF!-#REF!)/(#REF!-#REF!)</f>
        <v>#REF!</v>
      </c>
      <c r="FR4" t="e">
        <f>#REF!</f>
        <v>#REF!</v>
      </c>
      <c r="FS4" t="e">
        <f>#REF!*(#REF!-#REF!)/(#REF!-#REF!)</f>
        <v>#REF!</v>
      </c>
      <c r="FT4" t="e">
        <f>#REF!</f>
        <v>#REF!</v>
      </c>
      <c r="FU4" t="e">
        <f>#REF!*(#REF!-#REF!)/(#REF!-#REF!)</f>
        <v>#REF!</v>
      </c>
      <c r="FV4" t="e">
        <f>#REF!</f>
        <v>#REF!</v>
      </c>
      <c r="FW4" t="e">
        <f>#REF!*(#REF!-#REF!)/(#REF!-#REF!)</f>
        <v>#REF!</v>
      </c>
      <c r="FX4" t="e">
        <f>#REF!</f>
        <v>#REF!</v>
      </c>
      <c r="FY4" t="e">
        <f>#REF!*(#REF!-#REF!)/(#REF!-#REF!)</f>
        <v>#REF!</v>
      </c>
      <c r="FZ4" t="e">
        <f>#REF!</f>
        <v>#REF!</v>
      </c>
      <c r="GA4" t="e">
        <f>#REF!*(#REF!-#REF!)/(#REF!-#REF!)</f>
        <v>#REF!</v>
      </c>
      <c r="GB4" t="e">
        <f>#REF!-#REF!</f>
        <v>#REF!</v>
      </c>
      <c r="GD4" t="e">
        <f>#REF!-#REF!</f>
        <v>#REF!</v>
      </c>
      <c r="GF4" t="e">
        <f>#REF!-#REF!</f>
        <v>#REF!</v>
      </c>
      <c r="GG4" t="e">
        <f>#REF!-#REF!</f>
        <v>#REF!</v>
      </c>
      <c r="GH4" t="e">
        <f>#REF!-#REF!</f>
        <v>#REF!</v>
      </c>
      <c r="GI4" t="e">
        <f>#REF!-#REF!</f>
        <v>#REF!</v>
      </c>
      <c r="GJ4" t="e">
        <f>#REF!-#REF!</f>
        <v>#REF!</v>
      </c>
      <c r="GL4" t="e">
        <f>#REF!-#REF!</f>
        <v>#REF!</v>
      </c>
      <c r="GN4" t="e">
        <f>#REF!-#REF!</f>
        <v>#REF!</v>
      </c>
      <c r="GO4" t="e">
        <f>#REF!-#REF!</f>
        <v>#REF!</v>
      </c>
      <c r="GP4" t="e">
        <f>#REF!-#REF!</f>
        <v>#REF!</v>
      </c>
      <c r="GR4" t="e">
        <f>#REF!-#REF!</f>
        <v>#REF!</v>
      </c>
      <c r="GS4" s="2" t="e">
        <f>#REF!-#REF!</f>
        <v>#REF!</v>
      </c>
      <c r="GT4" t="e">
        <f>#REF!-#REF!</f>
        <v>#REF!</v>
      </c>
      <c r="GU4" t="e">
        <f>#REF!-#REF!</f>
        <v>#REF!</v>
      </c>
      <c r="GV4" t="e">
        <f>#REF!-#REF!</f>
        <v>#REF!</v>
      </c>
      <c r="GW4" t="e">
        <f>#REF!-#REF!</f>
        <v>#REF!</v>
      </c>
      <c r="GX4" t="e">
        <f>#REF!-#REF!</f>
        <v>#REF!</v>
      </c>
      <c r="GY4" t="e">
        <f>#REF!-#REF!</f>
        <v>#REF!</v>
      </c>
      <c r="GZ4" t="e">
        <f>#REF!-#REF!</f>
        <v>#REF!</v>
      </c>
      <c r="HA4" t="e">
        <f>#REF!-#REF!</f>
        <v>#REF!</v>
      </c>
      <c r="HB4" t="e">
        <f>#REF!-#REF!</f>
        <v>#REF!</v>
      </c>
      <c r="HC4" t="e">
        <f>#REF!-#REF!</f>
        <v>#REF!</v>
      </c>
      <c r="HD4" t="e">
        <f>#REF!-#REF!</f>
        <v>#REF!</v>
      </c>
      <c r="HE4" t="e">
        <f>#REF!-#REF!</f>
        <v>#REF!</v>
      </c>
      <c r="HF4" t="e">
        <f>#REF!-#REF!</f>
        <v>#REF!</v>
      </c>
      <c r="HG4" t="e">
        <f>#REF!-#REF!</f>
        <v>#REF!</v>
      </c>
      <c r="HH4" t="e">
        <f>#REF!-#REF!</f>
        <v>#REF!</v>
      </c>
      <c r="HI4" t="e">
        <f>#REF!-#REF!</f>
        <v>#REF!</v>
      </c>
      <c r="HJ4" t="e">
        <f>#REF!-#REF!</f>
        <v>#REF!</v>
      </c>
      <c r="HK4" t="e">
        <f>#REF!-#REF!</f>
        <v>#REF!</v>
      </c>
      <c r="HL4" t="e">
        <f>#REF!-#REF!</f>
        <v>#REF!</v>
      </c>
      <c r="HM4" t="e">
        <f>#REF!-#REF!</f>
        <v>#REF!</v>
      </c>
      <c r="HN4" t="e">
        <f>#REF!-#REF!</f>
        <v>#REF!</v>
      </c>
      <c r="HP4" t="e">
        <f>#REF!-#REF!</f>
        <v>#REF!</v>
      </c>
      <c r="HR4" t="e">
        <f>#REF!-#REF!</f>
        <v>#REF!</v>
      </c>
      <c r="HT4" t="e">
        <f>#REF!-#REF!</f>
        <v>#REF!</v>
      </c>
      <c r="HV4" t="e">
        <f>#REF!-#REF!</f>
        <v>#REF!</v>
      </c>
      <c r="HW4" t="e">
        <f>#REF!-#REF!</f>
        <v>#REF!</v>
      </c>
      <c r="HX4" t="e">
        <f>#REF!-#REF!</f>
        <v>#REF!</v>
      </c>
      <c r="HY4" t="e">
        <f>#REF!-#REF!</f>
        <v>#REF!</v>
      </c>
      <c r="HZ4" t="e">
        <f>#REF!-#REF!</f>
        <v>#REF!</v>
      </c>
      <c r="IB4" t="e">
        <f>#REF!-#REF!</f>
        <v>#REF!</v>
      </c>
      <c r="ID4" t="e">
        <f>#REF!-#REF!</f>
        <v>#REF!</v>
      </c>
      <c r="IF4" t="e">
        <f>#REF!-#REF!</f>
        <v>#REF!</v>
      </c>
      <c r="IH4" t="e">
        <f>#REF!-#REF!</f>
        <v>#REF!</v>
      </c>
      <c r="IJ4" t="e">
        <f>#REF!-#REF!</f>
        <v>#REF!</v>
      </c>
      <c r="IL4" t="e">
        <f>#REF!-#REF!</f>
        <v>#REF!</v>
      </c>
      <c r="IN4" t="e">
        <f>#REF!-#REF!</f>
        <v>#REF!</v>
      </c>
      <c r="IP4" t="e">
        <f>#REF!-#REF!</f>
        <v>#REF!</v>
      </c>
      <c r="IR4" t="e">
        <f>#REF!-#REF!</f>
        <v>#REF!</v>
      </c>
      <c r="IT4" t="e">
        <f>#REF!-#REF!</f>
        <v>#REF!</v>
      </c>
      <c r="IV4" t="e">
        <f>#REF!-#REF!</f>
        <v>#REF!</v>
      </c>
      <c r="IX4" t="e">
        <f>#REF!-#REF!</f>
        <v>#REF!</v>
      </c>
      <c r="IZ4" t="e">
        <f>#REF!-#REF!</f>
        <v>#REF!</v>
      </c>
      <c r="JA4" t="e">
        <f>#REF!-#REF!</f>
        <v>#REF!</v>
      </c>
      <c r="JB4" t="e">
        <f>#REF!-#REF!</f>
        <v>#REF!</v>
      </c>
      <c r="JC4" t="e">
        <f>#REF!-#REF!</f>
        <v>#REF!</v>
      </c>
      <c r="JD4" t="e">
        <f>#REF!-#REF!</f>
        <v>#REF!</v>
      </c>
      <c r="JE4" t="e">
        <f>#REF!-#REF!</f>
        <v>#REF!</v>
      </c>
    </row>
    <row r="5" spans="1:285" x14ac:dyDescent="0.25">
      <c r="B5" t="e">
        <f>#REF!</f>
        <v>#REF!</v>
      </c>
      <c r="C5" t="e">
        <f>#REF!*(#REF!-#REF!)/(#REF!-#REF!)</f>
        <v>#REF!</v>
      </c>
      <c r="D5" t="e">
        <f>#REF!-#REF!</f>
        <v>#REF!</v>
      </c>
      <c r="F5" t="e">
        <f>#REF!</f>
        <v>#REF!</v>
      </c>
      <c r="G5" t="e">
        <f>#REF!*(#REF!-#REF!)/(#REF!-#REF!)</f>
        <v>#REF!</v>
      </c>
      <c r="H5" t="e">
        <f>#REF!</f>
        <v>#REF!</v>
      </c>
      <c r="I5" t="e">
        <f>#REF!*(#REF!-#REF!)/(#REF!-#REF!)</f>
        <v>#REF!</v>
      </c>
      <c r="J5" t="e">
        <f>#REF!</f>
        <v>#REF!</v>
      </c>
      <c r="K5" t="e">
        <f>#REF!*(#REF!-#REF!)/(#REF!-#REF!)</f>
        <v>#REF!</v>
      </c>
      <c r="R5" t="e">
        <f>#REF!-#REF!</f>
        <v>#REF!</v>
      </c>
      <c r="T5" t="e">
        <f>#REF!-#REF!</f>
        <v>#REF!</v>
      </c>
      <c r="V5" t="e">
        <f>#REF!-#REF!</f>
        <v>#REF!</v>
      </c>
      <c r="X5" t="e">
        <f>#REF!-#REF!</f>
        <v>#REF!</v>
      </c>
      <c r="Z5" t="e">
        <f>#REF!-#REF!</f>
        <v>#REF!</v>
      </c>
      <c r="AA5" t="e">
        <f>#REF!-#REF!</f>
        <v>#REF!</v>
      </c>
      <c r="AB5" t="e">
        <f>#REF!</f>
        <v>#REF!</v>
      </c>
      <c r="AC5" t="e">
        <f>#REF!*(#REF!-#REF!)/(#REF!-#REF!)</f>
        <v>#REF!</v>
      </c>
      <c r="AD5" t="e">
        <f>#REF!</f>
        <v>#REF!</v>
      </c>
      <c r="AE5" t="e">
        <f>#REF!*(#REF!-#REF!)/(#REF!-#REF!)</f>
        <v>#REF!</v>
      </c>
      <c r="AF5" t="e">
        <f>#REF!</f>
        <v>#REF!</v>
      </c>
      <c r="AG5" t="e">
        <f>#REF!*(#REF!-#REF!)/(#REF!-#REF!)</f>
        <v>#REF!</v>
      </c>
      <c r="AH5" t="e">
        <f>#REF!</f>
        <v>#REF!</v>
      </c>
      <c r="AI5" t="e">
        <f>#REF!*(#REF!-#REF!)/(#REF!-#REF!)</f>
        <v>#REF!</v>
      </c>
      <c r="AJ5" t="e">
        <f>#REF!-#REF!</f>
        <v>#REF!</v>
      </c>
      <c r="AK5" t="e">
        <f>#REF!-#REF!</f>
        <v>#REF!</v>
      </c>
      <c r="AL5" t="e">
        <f>#REF!-#REF!</f>
        <v>#REF!</v>
      </c>
      <c r="AM5" t="e">
        <f>#REF!-#REF!</f>
        <v>#REF!</v>
      </c>
      <c r="AN5" t="e">
        <f>#REF!</f>
        <v>#REF!</v>
      </c>
      <c r="AO5" t="e">
        <f>#REF!*(#REF!-#REF!)/(#REF!-#REF!)</f>
        <v>#REF!</v>
      </c>
      <c r="AP5" t="e">
        <f>#REF!</f>
        <v>#REF!</v>
      </c>
      <c r="AQ5" t="e">
        <f>#REF!*(#REF!-#REF!)/(#REF!-#REF!)</f>
        <v>#REF!</v>
      </c>
      <c r="AR5" t="e">
        <f>#REF!</f>
        <v>#REF!</v>
      </c>
      <c r="AS5" t="e">
        <f>#REF!*(#REF!-#REF!)/(#REF!-#REF!)</f>
        <v>#REF!</v>
      </c>
      <c r="AT5" t="e">
        <f>#REF!</f>
        <v>#REF!</v>
      </c>
      <c r="AU5" t="e">
        <f>#REF!*(#REF!-#REF!)/(#REF!-#REF!)</f>
        <v>#REF!</v>
      </c>
      <c r="AV5" t="e">
        <f>#REF!</f>
        <v>#REF!</v>
      </c>
      <c r="AW5" t="e">
        <f>#REF!*(#REF!-#REF!)/(#REF!-#REF!)</f>
        <v>#REF!</v>
      </c>
      <c r="AX5" t="e">
        <f>#REF!</f>
        <v>#REF!</v>
      </c>
      <c r="AY5" t="e">
        <f>#REF!*(#REF!-#REF!)/(#REF!-#REF!)</f>
        <v>#REF!</v>
      </c>
      <c r="AZ5" t="e">
        <f>#REF!</f>
        <v>#REF!</v>
      </c>
      <c r="BA5" t="e">
        <f>#REF!*(#REF!-#REF!)/(#REF!-#REF!)</f>
        <v>#REF!</v>
      </c>
      <c r="BB5" t="e">
        <f>#REF!</f>
        <v>#REF!</v>
      </c>
      <c r="BC5" t="e">
        <f>#REF!*(#REF!-#REF!)/(#REF!-#REF!)</f>
        <v>#REF!</v>
      </c>
      <c r="BD5" t="e">
        <f>#REF!</f>
        <v>#REF!</v>
      </c>
      <c r="BE5" t="e">
        <f>#REF!*(#REF!-#REF!)/(#REF!-#REF!)</f>
        <v>#REF!</v>
      </c>
      <c r="BF5" t="e">
        <f>#REF!</f>
        <v>#REF!</v>
      </c>
      <c r="BG5" t="e">
        <f>#REF!*(#REF!-#REF!)/(#REF!-#REF!)</f>
        <v>#REF!</v>
      </c>
      <c r="BH5" t="e">
        <f>#REF!</f>
        <v>#REF!</v>
      </c>
      <c r="BI5" t="e">
        <f>#REF!*(#REF!-#REF!)/(#REF!-#REF!)</f>
        <v>#REF!</v>
      </c>
      <c r="BJ5" t="e">
        <f>#REF!</f>
        <v>#REF!</v>
      </c>
      <c r="BK5" t="e">
        <f>#REF!*(#REF!-#REF!)/(#REF!-#REF!)</f>
        <v>#REF!</v>
      </c>
      <c r="BL5" t="e">
        <f>#REF!</f>
        <v>#REF!</v>
      </c>
      <c r="BM5" t="e">
        <f>#REF!*(#REF!-#REF!)/(#REF!-#REF!)</f>
        <v>#REF!</v>
      </c>
      <c r="BN5" t="e">
        <f>#REF!</f>
        <v>#REF!</v>
      </c>
      <c r="BO5" t="e">
        <f>#REF!*(#REF!-#REF!)/(#REF!-#REF!)</f>
        <v>#REF!</v>
      </c>
      <c r="BP5" t="e">
        <f>#REF!</f>
        <v>#REF!</v>
      </c>
      <c r="BQ5" t="e">
        <f>#REF!*(#REF!-#REF!)/(#REF!-#REF!)</f>
        <v>#REF!</v>
      </c>
      <c r="BR5" t="e">
        <f>#REF!</f>
        <v>#REF!</v>
      </c>
      <c r="BS5" t="e">
        <f>#REF!*(#REF!-#REF!)/(#REF!-#REF!)</f>
        <v>#REF!</v>
      </c>
      <c r="BT5" t="e">
        <f>#REF!</f>
        <v>#REF!</v>
      </c>
      <c r="BU5" t="e">
        <f>#REF!*(#REF!-#REF!)/(#REF!-#REF!)</f>
        <v>#REF!</v>
      </c>
      <c r="BV5" t="e">
        <f>#REF!</f>
        <v>#REF!</v>
      </c>
      <c r="BW5" t="e">
        <f>#REF!*(#REF!-#REF!)/(#REF!-#REF!)</f>
        <v>#REF!</v>
      </c>
      <c r="BX5" t="e">
        <f>#REF!</f>
        <v>#REF!</v>
      </c>
      <c r="BY5" t="e">
        <f>#REF!*(#REF!-#REF!)/(#REF!-#REF!)</f>
        <v>#REF!</v>
      </c>
      <c r="BZ5" t="e">
        <f>#REF!</f>
        <v>#REF!</v>
      </c>
      <c r="CA5" t="e">
        <f>#REF!*(#REF!-#REF!)/(#REF!-#REF!)</f>
        <v>#REF!</v>
      </c>
      <c r="CB5" t="e">
        <f>#REF!</f>
        <v>#REF!</v>
      </c>
      <c r="CC5" t="e">
        <f>#REF!*(#REF!-#REF!)/(#REF!-#REF!)</f>
        <v>#REF!</v>
      </c>
      <c r="CD5" t="e">
        <f>#REF!</f>
        <v>#REF!</v>
      </c>
      <c r="CE5" t="e">
        <f>#REF!*(#REF!-#REF!)/(#REF!-#REF!)</f>
        <v>#REF!</v>
      </c>
      <c r="CF5" t="e">
        <f>#REF!</f>
        <v>#REF!</v>
      </c>
      <c r="CG5" t="e">
        <f>#REF!*(#REF!-#REF!)/(#REF!-#REF!)</f>
        <v>#REF!</v>
      </c>
      <c r="CH5" t="e">
        <f>#REF!</f>
        <v>#REF!</v>
      </c>
      <c r="CI5" t="e">
        <f>#REF!*(#REF!-#REF!)/(#REF!-#REF!)</f>
        <v>#REF!</v>
      </c>
      <c r="CJ5" t="e">
        <f>#REF!</f>
        <v>#REF!</v>
      </c>
      <c r="CK5" t="e">
        <f>#REF!*(#REF!-#REF!)/(#REF!-#REF!)</f>
        <v>#REF!</v>
      </c>
      <c r="CL5" t="e">
        <f>#REF!</f>
        <v>#REF!</v>
      </c>
      <c r="CM5" t="e">
        <f>#REF!*(#REF!-#REF!)/(#REF!-#REF!)</f>
        <v>#REF!</v>
      </c>
      <c r="CN5" t="e">
        <f>#REF!</f>
        <v>#REF!</v>
      </c>
      <c r="CO5" t="e">
        <f>#REF!*(#REF!-#REF!)/(#REF!-#REF!)</f>
        <v>#REF!</v>
      </c>
      <c r="CP5" t="e">
        <f>#REF!</f>
        <v>#REF!</v>
      </c>
      <c r="CQ5" t="e">
        <f>#REF!*(#REF!-#REF!)/(#REF!-#REF!)</f>
        <v>#REF!</v>
      </c>
      <c r="CR5" t="e">
        <f>#REF!</f>
        <v>#REF!</v>
      </c>
      <c r="CS5" t="e">
        <f>#REF!*(#REF!-#REF!)/(#REF!-#REF!)</f>
        <v>#REF!</v>
      </c>
      <c r="CT5" t="e">
        <f>#REF!</f>
        <v>#REF!</v>
      </c>
      <c r="CU5" t="e">
        <f>#REF!*(#REF!-#REF!)/(#REF!-#REF!)</f>
        <v>#REF!</v>
      </c>
      <c r="CV5" t="e">
        <f>#REF!</f>
        <v>#REF!</v>
      </c>
      <c r="CW5" t="e">
        <f>#REF!*(#REF!-#REF!)/(#REF!-#REF!)</f>
        <v>#REF!</v>
      </c>
      <c r="CX5" t="e">
        <f>#REF!</f>
        <v>#REF!</v>
      </c>
      <c r="CY5" t="e">
        <f>#REF!*(#REF!-#REF!)/(#REF!-#REF!)</f>
        <v>#REF!</v>
      </c>
      <c r="CZ5" t="e">
        <f>#REF!</f>
        <v>#REF!</v>
      </c>
      <c r="DA5" t="e">
        <f>#REF!*(#REF!-#REF!)/(#REF!-#REF!)</f>
        <v>#REF!</v>
      </c>
      <c r="DB5" t="e">
        <f>#REF!</f>
        <v>#REF!</v>
      </c>
      <c r="DC5" t="e">
        <f>#REF!*(#REF!-#REF!)/(#REF!-#REF!)</f>
        <v>#REF!</v>
      </c>
      <c r="DD5" t="e">
        <f>#REF!</f>
        <v>#REF!</v>
      </c>
      <c r="DE5" t="e">
        <f>#REF!*(#REF!-#REF!)/(#REF!-#REF!)</f>
        <v>#REF!</v>
      </c>
      <c r="DF5" t="e">
        <f>#REF!</f>
        <v>#REF!</v>
      </c>
      <c r="DG5" t="e">
        <f>#REF!*(#REF!-#REF!)/(#REF!-#REF!)</f>
        <v>#REF!</v>
      </c>
      <c r="DH5" t="e">
        <f>#REF!</f>
        <v>#REF!</v>
      </c>
      <c r="DI5" t="e">
        <f>#REF!*(#REF!-#REF!)/(#REF!-#REF!)</f>
        <v>#REF!</v>
      </c>
      <c r="DJ5" t="e">
        <f>#REF!</f>
        <v>#REF!</v>
      </c>
      <c r="DK5" t="e">
        <f>#REF!*(#REF!-#REF!)/(#REF!-#REF!)</f>
        <v>#REF!</v>
      </c>
      <c r="DL5" t="e">
        <f>#REF!</f>
        <v>#REF!</v>
      </c>
      <c r="DM5" t="e">
        <f>#REF!*(#REF!-#REF!)/(#REF!-#REF!)</f>
        <v>#REF!</v>
      </c>
      <c r="DN5" t="e">
        <f>#REF!</f>
        <v>#REF!</v>
      </c>
      <c r="DO5" t="e">
        <f>#REF!*(#REF!-#REF!)/(#REF!-#REF!)</f>
        <v>#REF!</v>
      </c>
      <c r="DP5" t="e">
        <f>#REF!</f>
        <v>#REF!</v>
      </c>
      <c r="DQ5" t="e">
        <f>#REF!*(#REF!-#REF!)/(#REF!-#REF!)</f>
        <v>#REF!</v>
      </c>
      <c r="DR5" t="e">
        <f>#REF!</f>
        <v>#REF!</v>
      </c>
      <c r="DS5" t="e">
        <f>#REF!*(#REF!-#REF!)/(#REF!-#REF!)</f>
        <v>#REF!</v>
      </c>
      <c r="DT5" t="e">
        <f>#REF!</f>
        <v>#REF!</v>
      </c>
      <c r="DU5" t="e">
        <f>#REF!*(#REF!-#REF!)/(#REF!-#REF!)</f>
        <v>#REF!</v>
      </c>
      <c r="DV5" t="e">
        <f>#REF!</f>
        <v>#REF!</v>
      </c>
      <c r="DW5" t="e">
        <f>#REF!*(#REF!-#REF!)/(#REF!-#REF!)</f>
        <v>#REF!</v>
      </c>
      <c r="DX5" t="e">
        <f>#REF!</f>
        <v>#REF!</v>
      </c>
      <c r="DY5" t="e">
        <f>#REF!*(#REF!-#REF!)/(#REF!-#REF!)</f>
        <v>#REF!</v>
      </c>
      <c r="DZ5" t="e">
        <f>#REF!</f>
        <v>#REF!</v>
      </c>
      <c r="EA5" t="e">
        <f>#REF!*(#REF!-#REF!)/(#REF!-#REF!)</f>
        <v>#REF!</v>
      </c>
      <c r="EB5" t="e">
        <f>#REF!</f>
        <v>#REF!</v>
      </c>
      <c r="EC5" t="e">
        <f>#REF!*(#REF!-#REF!)/(#REF!-#REF!)</f>
        <v>#REF!</v>
      </c>
      <c r="ED5" t="e">
        <f>#REF!</f>
        <v>#REF!</v>
      </c>
      <c r="EE5" t="e">
        <f>#REF!*(#REF!-#REF!)/(#REF!-#REF!)</f>
        <v>#REF!</v>
      </c>
      <c r="EF5" t="e">
        <f>#REF!</f>
        <v>#REF!</v>
      </c>
      <c r="EG5" t="e">
        <f>#REF!*(#REF!-#REF!)/(#REF!-#REF!)</f>
        <v>#REF!</v>
      </c>
      <c r="EH5" t="e">
        <f>#REF!</f>
        <v>#REF!</v>
      </c>
      <c r="EI5" t="e">
        <f>#REF!*(#REF!-#REF!)/(#REF!-#REF!)</f>
        <v>#REF!</v>
      </c>
      <c r="EJ5" t="e">
        <f>#REF!</f>
        <v>#REF!</v>
      </c>
      <c r="EK5" t="e">
        <f>#REF!*(#REF!-#REF!)/(#REF!-#REF!)</f>
        <v>#REF!</v>
      </c>
      <c r="EL5" t="e">
        <f>#REF!</f>
        <v>#REF!</v>
      </c>
      <c r="EM5" t="e">
        <f>#REF!*(#REF!-#REF!)/(#REF!-#REF!)</f>
        <v>#REF!</v>
      </c>
      <c r="EN5" t="e">
        <f>#REF!</f>
        <v>#REF!</v>
      </c>
      <c r="EO5" t="e">
        <f>#REF!*(#REF!-#REF!)/(#REF!-#REF!)</f>
        <v>#REF!</v>
      </c>
      <c r="EP5" t="e">
        <f>#REF!</f>
        <v>#REF!</v>
      </c>
      <c r="EQ5" t="e">
        <f>#REF!*(#REF!-#REF!)/(#REF!-#REF!)</f>
        <v>#REF!</v>
      </c>
      <c r="ER5" t="e">
        <f>#REF!</f>
        <v>#REF!</v>
      </c>
      <c r="ES5" t="e">
        <f>#REF!*(#REF!-#REF!)/(#REF!-#REF!)</f>
        <v>#REF!</v>
      </c>
      <c r="ET5" t="e">
        <f>#REF!</f>
        <v>#REF!</v>
      </c>
      <c r="EU5" t="e">
        <f>#REF!*(#REF!-#REF!)/(#REF!-#REF!)</f>
        <v>#REF!</v>
      </c>
      <c r="EV5" t="e">
        <f>#REF!</f>
        <v>#REF!</v>
      </c>
      <c r="EW5" t="e">
        <f>#REF!*(#REF!-#REF!)/(#REF!-#REF!)</f>
        <v>#REF!</v>
      </c>
      <c r="EX5" t="e">
        <f>#REF!</f>
        <v>#REF!</v>
      </c>
      <c r="EY5" t="e">
        <f>#REF!*(#REF!-#REF!)/(#REF!-#REF!)</f>
        <v>#REF!</v>
      </c>
      <c r="EZ5" t="e">
        <f>#REF!</f>
        <v>#REF!</v>
      </c>
      <c r="FA5" t="e">
        <f>#REF!*(#REF!-#REF!)/(#REF!-#REF!)</f>
        <v>#REF!</v>
      </c>
      <c r="FB5" t="e">
        <f>#REF!</f>
        <v>#REF!</v>
      </c>
      <c r="FC5" t="e">
        <f>#REF!*(#REF!-#REF!)/(#REF!-#REF!)</f>
        <v>#REF!</v>
      </c>
      <c r="FD5" t="e">
        <f>#REF!</f>
        <v>#REF!</v>
      </c>
      <c r="FE5" t="e">
        <f>#REF!*(#REF!-#REF!)/(#REF!-#REF!)</f>
        <v>#REF!</v>
      </c>
      <c r="FF5" t="e">
        <f>#REF!</f>
        <v>#REF!</v>
      </c>
      <c r="FG5" t="e">
        <f>#REF!*(#REF!-#REF!)/(#REF!-#REF!)</f>
        <v>#REF!</v>
      </c>
      <c r="FH5" t="e">
        <f>#REF!</f>
        <v>#REF!</v>
      </c>
      <c r="FI5" t="e">
        <f>#REF!*(#REF!-#REF!)/(#REF!-#REF!)</f>
        <v>#REF!</v>
      </c>
      <c r="FJ5" t="e">
        <f>#REF!</f>
        <v>#REF!</v>
      </c>
      <c r="FK5" t="e">
        <f>#REF!*(#REF!-#REF!)/(#REF!-#REF!)</f>
        <v>#REF!</v>
      </c>
      <c r="FL5" t="e">
        <f>#REF!</f>
        <v>#REF!</v>
      </c>
      <c r="FM5" t="e">
        <f>#REF!*(#REF!-#REF!)/(#REF!-#REF!)</f>
        <v>#REF!</v>
      </c>
      <c r="FN5" t="e">
        <f>#REF!</f>
        <v>#REF!</v>
      </c>
      <c r="FO5" t="e">
        <f>#REF!*(#REF!-#REF!)/(#REF!-#REF!)</f>
        <v>#REF!</v>
      </c>
      <c r="FP5" t="e">
        <f>#REF!</f>
        <v>#REF!</v>
      </c>
      <c r="FQ5" t="e">
        <f>#REF!*(#REF!-#REF!)/(#REF!-#REF!)</f>
        <v>#REF!</v>
      </c>
      <c r="FR5" t="e">
        <f>#REF!</f>
        <v>#REF!</v>
      </c>
      <c r="FS5" t="e">
        <f>#REF!*(#REF!-#REF!)/(#REF!-#REF!)</f>
        <v>#REF!</v>
      </c>
      <c r="FT5" t="e">
        <f>#REF!</f>
        <v>#REF!</v>
      </c>
      <c r="FU5" t="e">
        <f>#REF!*(#REF!-#REF!)/(#REF!-#REF!)</f>
        <v>#REF!</v>
      </c>
      <c r="FV5" t="e">
        <f>#REF!</f>
        <v>#REF!</v>
      </c>
      <c r="FW5" t="e">
        <f>#REF!*(#REF!-#REF!)/(#REF!-#REF!)</f>
        <v>#REF!</v>
      </c>
      <c r="FX5" t="e">
        <f>#REF!</f>
        <v>#REF!</v>
      </c>
      <c r="FY5" t="e">
        <f>#REF!*(#REF!-#REF!)/(#REF!-#REF!)</f>
        <v>#REF!</v>
      </c>
      <c r="FZ5" t="e">
        <f>#REF!</f>
        <v>#REF!</v>
      </c>
      <c r="GA5" t="e">
        <f>#REF!*(#REF!-#REF!)/(#REF!-#REF!)</f>
        <v>#REF!</v>
      </c>
      <c r="GB5" t="e">
        <f>#REF!-#REF!</f>
        <v>#REF!</v>
      </c>
      <c r="GD5" t="e">
        <f>#REF!-#REF!</f>
        <v>#REF!</v>
      </c>
      <c r="GF5" t="e">
        <f>#REF!-#REF!</f>
        <v>#REF!</v>
      </c>
      <c r="GG5" t="e">
        <f>#REF!-#REF!</f>
        <v>#REF!</v>
      </c>
      <c r="GH5" t="e">
        <f>#REF!-#REF!</f>
        <v>#REF!</v>
      </c>
      <c r="GI5" t="e">
        <f>#REF!-#REF!</f>
        <v>#REF!</v>
      </c>
      <c r="GJ5" t="e">
        <f>#REF!-#REF!</f>
        <v>#REF!</v>
      </c>
      <c r="GL5" t="e">
        <f>#REF!-#REF!</f>
        <v>#REF!</v>
      </c>
      <c r="GN5" t="e">
        <f>#REF!-#REF!</f>
        <v>#REF!</v>
      </c>
      <c r="GO5" t="e">
        <f>#REF!-#REF!</f>
        <v>#REF!</v>
      </c>
      <c r="GP5" t="e">
        <f>#REF!-#REF!</f>
        <v>#REF!</v>
      </c>
      <c r="GR5" t="e">
        <f>#REF!-#REF!</f>
        <v>#REF!</v>
      </c>
      <c r="GS5" s="2" t="e">
        <f>#REF!-#REF!</f>
        <v>#REF!</v>
      </c>
      <c r="GT5" t="e">
        <f>#REF!-#REF!</f>
        <v>#REF!</v>
      </c>
      <c r="GU5" t="e">
        <f>#REF!-#REF!</f>
        <v>#REF!</v>
      </c>
      <c r="GV5" t="e">
        <f>#REF!-#REF!</f>
        <v>#REF!</v>
      </c>
      <c r="GW5" t="e">
        <f>#REF!-#REF!</f>
        <v>#REF!</v>
      </c>
      <c r="GX5" t="e">
        <f>#REF!-#REF!</f>
        <v>#REF!</v>
      </c>
      <c r="GY5" t="e">
        <f>#REF!-#REF!</f>
        <v>#REF!</v>
      </c>
      <c r="GZ5" t="e">
        <f>#REF!-#REF!</f>
        <v>#REF!</v>
      </c>
      <c r="HA5" t="e">
        <f>#REF!-#REF!</f>
        <v>#REF!</v>
      </c>
      <c r="HB5" t="e">
        <f>#REF!-#REF!</f>
        <v>#REF!</v>
      </c>
      <c r="HC5" t="e">
        <f>#REF!-#REF!</f>
        <v>#REF!</v>
      </c>
      <c r="HD5" t="e">
        <f>#REF!-#REF!</f>
        <v>#REF!</v>
      </c>
      <c r="HE5" t="e">
        <f>#REF!-#REF!</f>
        <v>#REF!</v>
      </c>
      <c r="HF5" t="e">
        <f>#REF!-#REF!</f>
        <v>#REF!</v>
      </c>
      <c r="HG5" t="e">
        <f>#REF!-#REF!</f>
        <v>#REF!</v>
      </c>
      <c r="HH5" t="e">
        <f>#REF!-#REF!</f>
        <v>#REF!</v>
      </c>
      <c r="HI5" t="e">
        <f>#REF!-#REF!</f>
        <v>#REF!</v>
      </c>
      <c r="HJ5" t="e">
        <f>#REF!-#REF!</f>
        <v>#REF!</v>
      </c>
      <c r="HK5" t="e">
        <f>#REF!-#REF!</f>
        <v>#REF!</v>
      </c>
      <c r="HL5" t="e">
        <f>#REF!-#REF!</f>
        <v>#REF!</v>
      </c>
      <c r="HM5" t="e">
        <f>#REF!-#REF!</f>
        <v>#REF!</v>
      </c>
      <c r="HN5" t="e">
        <f>#REF!-#REF!</f>
        <v>#REF!</v>
      </c>
      <c r="HP5" t="e">
        <f>#REF!-#REF!</f>
        <v>#REF!</v>
      </c>
      <c r="HR5" t="e">
        <f>#REF!-#REF!</f>
        <v>#REF!</v>
      </c>
      <c r="HT5" t="e">
        <f>#REF!-#REF!</f>
        <v>#REF!</v>
      </c>
      <c r="HV5" t="e">
        <f>#REF!-#REF!</f>
        <v>#REF!</v>
      </c>
      <c r="HW5" t="e">
        <f>#REF!-#REF!</f>
        <v>#REF!</v>
      </c>
      <c r="HX5" t="e">
        <f>#REF!-#REF!</f>
        <v>#REF!</v>
      </c>
      <c r="HY5" t="e">
        <f>#REF!-#REF!</f>
        <v>#REF!</v>
      </c>
      <c r="HZ5" t="e">
        <f>#REF!-#REF!</f>
        <v>#REF!</v>
      </c>
      <c r="IB5" t="e">
        <f>#REF!-#REF!</f>
        <v>#REF!</v>
      </c>
      <c r="ID5" t="e">
        <f>#REF!-#REF!</f>
        <v>#REF!</v>
      </c>
      <c r="IF5" t="e">
        <f>#REF!-#REF!</f>
        <v>#REF!</v>
      </c>
      <c r="IH5" t="e">
        <f>#REF!-#REF!</f>
        <v>#REF!</v>
      </c>
      <c r="IJ5" t="e">
        <f>#REF!-#REF!</f>
        <v>#REF!</v>
      </c>
      <c r="IL5" t="e">
        <f>#REF!-#REF!</f>
        <v>#REF!</v>
      </c>
      <c r="IN5" t="e">
        <f>#REF!-#REF!</f>
        <v>#REF!</v>
      </c>
      <c r="IP5" t="e">
        <f>#REF!-#REF!</f>
        <v>#REF!</v>
      </c>
      <c r="IR5" t="e">
        <f>#REF!-#REF!</f>
        <v>#REF!</v>
      </c>
      <c r="IT5" t="e">
        <f>#REF!-#REF!</f>
        <v>#REF!</v>
      </c>
      <c r="IV5" t="e">
        <f>#REF!-#REF!</f>
        <v>#REF!</v>
      </c>
      <c r="IX5" t="e">
        <f>#REF!-#REF!</f>
        <v>#REF!</v>
      </c>
      <c r="IZ5" t="e">
        <f>#REF!-#REF!</f>
        <v>#REF!</v>
      </c>
      <c r="JA5" t="e">
        <f>#REF!-#REF!</f>
        <v>#REF!</v>
      </c>
      <c r="JB5" t="e">
        <f>#REF!-#REF!</f>
        <v>#REF!</v>
      </c>
      <c r="JC5" t="e">
        <f>#REF!-#REF!</f>
        <v>#REF!</v>
      </c>
      <c r="JD5" t="e">
        <f>#REF!-#REF!</f>
        <v>#REF!</v>
      </c>
      <c r="JE5" t="e">
        <f>#REF!-#REF!</f>
        <v>#REF!</v>
      </c>
    </row>
    <row r="6" spans="1:285" x14ac:dyDescent="0.25">
      <c r="B6" t="e">
        <f>#REF!</f>
        <v>#REF!</v>
      </c>
      <c r="C6" t="e">
        <f>#REF!*(#REF!-#REF!)/(#REF!-#REF!)</f>
        <v>#REF!</v>
      </c>
      <c r="D6" t="e">
        <f>#REF!-#REF!</f>
        <v>#REF!</v>
      </c>
      <c r="F6" t="e">
        <f>#REF!</f>
        <v>#REF!</v>
      </c>
      <c r="G6" t="e">
        <f>#REF!*(#REF!-#REF!)/(#REF!-#REF!)</f>
        <v>#REF!</v>
      </c>
      <c r="H6" t="e">
        <f>#REF!</f>
        <v>#REF!</v>
      </c>
      <c r="I6" t="e">
        <f>#REF!*(#REF!-#REF!)/(#REF!-#REF!)</f>
        <v>#REF!</v>
      </c>
      <c r="J6" t="e">
        <f>#REF!</f>
        <v>#REF!</v>
      </c>
      <c r="K6" t="e">
        <f>#REF!*(#REF!-#REF!)/(#REF!-#REF!)</f>
        <v>#REF!</v>
      </c>
      <c r="R6" t="e">
        <f>#REF!-#REF!</f>
        <v>#REF!</v>
      </c>
      <c r="T6" t="e">
        <f>#REF!-#REF!</f>
        <v>#REF!</v>
      </c>
      <c r="V6" t="e">
        <f>#REF!-#REF!</f>
        <v>#REF!</v>
      </c>
      <c r="X6" t="e">
        <f>#REF!-#REF!</f>
        <v>#REF!</v>
      </c>
      <c r="Z6" t="e">
        <f>#REF!-#REF!</f>
        <v>#REF!</v>
      </c>
      <c r="AA6" t="e">
        <f>#REF!-#REF!</f>
        <v>#REF!</v>
      </c>
      <c r="AB6" t="e">
        <f>#REF!</f>
        <v>#REF!</v>
      </c>
      <c r="AC6" t="e">
        <f>#REF!*(#REF!-#REF!)/(#REF!-#REF!)</f>
        <v>#REF!</v>
      </c>
      <c r="AD6" t="e">
        <f>#REF!</f>
        <v>#REF!</v>
      </c>
      <c r="AE6" t="e">
        <f>#REF!*(#REF!-#REF!)/(#REF!-#REF!)</f>
        <v>#REF!</v>
      </c>
      <c r="AF6" t="e">
        <f>#REF!</f>
        <v>#REF!</v>
      </c>
      <c r="AG6" t="e">
        <f>#REF!*(#REF!-#REF!)/(#REF!-#REF!)</f>
        <v>#REF!</v>
      </c>
      <c r="AH6" t="e">
        <f>#REF!</f>
        <v>#REF!</v>
      </c>
      <c r="AI6" t="e">
        <f>#REF!*(#REF!-#REF!)/(#REF!-#REF!)</f>
        <v>#REF!</v>
      </c>
      <c r="AJ6" t="e">
        <f>#REF!-#REF!</f>
        <v>#REF!</v>
      </c>
      <c r="AK6" t="e">
        <f>#REF!-#REF!</f>
        <v>#REF!</v>
      </c>
      <c r="AL6" t="e">
        <f>#REF!-#REF!</f>
        <v>#REF!</v>
      </c>
      <c r="AM6" t="e">
        <f>#REF!-#REF!</f>
        <v>#REF!</v>
      </c>
      <c r="AN6" t="e">
        <f>#REF!</f>
        <v>#REF!</v>
      </c>
      <c r="AO6" t="e">
        <f>#REF!*(#REF!-#REF!)/(#REF!-#REF!)</f>
        <v>#REF!</v>
      </c>
      <c r="AP6" t="e">
        <f>#REF!</f>
        <v>#REF!</v>
      </c>
      <c r="AQ6" t="e">
        <f>#REF!*(#REF!-#REF!)/(#REF!-#REF!)</f>
        <v>#REF!</v>
      </c>
      <c r="AR6" t="e">
        <f>#REF!</f>
        <v>#REF!</v>
      </c>
      <c r="AS6" t="e">
        <f>#REF!*(#REF!-#REF!)/(#REF!-#REF!)</f>
        <v>#REF!</v>
      </c>
      <c r="AT6" t="e">
        <f>#REF!</f>
        <v>#REF!</v>
      </c>
      <c r="AU6" t="e">
        <f>#REF!*(#REF!-#REF!)/(#REF!-#REF!)</f>
        <v>#REF!</v>
      </c>
      <c r="AV6" t="e">
        <f>#REF!</f>
        <v>#REF!</v>
      </c>
      <c r="AW6" t="e">
        <f>#REF!*(#REF!-#REF!)/(#REF!-#REF!)</f>
        <v>#REF!</v>
      </c>
      <c r="AX6" t="e">
        <f>#REF!</f>
        <v>#REF!</v>
      </c>
      <c r="AY6" t="e">
        <f>#REF!*(#REF!-#REF!)/(#REF!-#REF!)</f>
        <v>#REF!</v>
      </c>
      <c r="AZ6" t="e">
        <f>#REF!</f>
        <v>#REF!</v>
      </c>
      <c r="BA6" t="e">
        <f>#REF!*(#REF!-#REF!)/(#REF!-#REF!)</f>
        <v>#REF!</v>
      </c>
      <c r="BB6" t="e">
        <f>#REF!</f>
        <v>#REF!</v>
      </c>
      <c r="BC6" t="e">
        <f>#REF!*(#REF!-#REF!)/(#REF!-#REF!)</f>
        <v>#REF!</v>
      </c>
      <c r="BD6" t="e">
        <f>#REF!</f>
        <v>#REF!</v>
      </c>
      <c r="BE6" t="e">
        <f>#REF!*(#REF!-#REF!)/(#REF!-#REF!)</f>
        <v>#REF!</v>
      </c>
      <c r="BF6" t="e">
        <f>#REF!</f>
        <v>#REF!</v>
      </c>
      <c r="BG6" t="e">
        <f>#REF!*(#REF!-#REF!)/(#REF!-#REF!)</f>
        <v>#REF!</v>
      </c>
      <c r="BH6" t="e">
        <f>#REF!</f>
        <v>#REF!</v>
      </c>
      <c r="BI6" t="e">
        <f>#REF!*(#REF!-#REF!)/(#REF!-#REF!)</f>
        <v>#REF!</v>
      </c>
      <c r="BJ6" t="e">
        <f>#REF!</f>
        <v>#REF!</v>
      </c>
      <c r="BK6" t="e">
        <f>#REF!*(#REF!-#REF!)/(#REF!-#REF!)</f>
        <v>#REF!</v>
      </c>
      <c r="BL6" t="e">
        <f>#REF!</f>
        <v>#REF!</v>
      </c>
      <c r="BM6" t="e">
        <f>#REF!*(#REF!-#REF!)/(#REF!-#REF!)</f>
        <v>#REF!</v>
      </c>
      <c r="BN6" t="e">
        <f>#REF!</f>
        <v>#REF!</v>
      </c>
      <c r="BO6" t="e">
        <f>#REF!*(#REF!-#REF!)/(#REF!-#REF!)</f>
        <v>#REF!</v>
      </c>
      <c r="BP6" t="e">
        <f>#REF!</f>
        <v>#REF!</v>
      </c>
      <c r="BQ6" t="e">
        <f>#REF!*(#REF!-#REF!)/(#REF!-#REF!)</f>
        <v>#REF!</v>
      </c>
      <c r="BR6" t="e">
        <f>#REF!</f>
        <v>#REF!</v>
      </c>
      <c r="BS6" t="e">
        <f>#REF!*(#REF!-#REF!)/(#REF!-#REF!)</f>
        <v>#REF!</v>
      </c>
      <c r="BT6" t="e">
        <f>#REF!</f>
        <v>#REF!</v>
      </c>
      <c r="BU6" t="e">
        <f>#REF!*(#REF!-#REF!)/(#REF!-#REF!)</f>
        <v>#REF!</v>
      </c>
      <c r="BV6" t="e">
        <f>#REF!</f>
        <v>#REF!</v>
      </c>
      <c r="BW6" t="e">
        <f>#REF!*(#REF!-#REF!)/(#REF!-#REF!)</f>
        <v>#REF!</v>
      </c>
      <c r="BX6" t="e">
        <f>#REF!</f>
        <v>#REF!</v>
      </c>
      <c r="BY6" t="e">
        <f>#REF!*(#REF!-#REF!)/(#REF!-#REF!)</f>
        <v>#REF!</v>
      </c>
      <c r="BZ6" t="e">
        <f>#REF!</f>
        <v>#REF!</v>
      </c>
      <c r="CA6" t="e">
        <f>#REF!*(#REF!-#REF!)/(#REF!-#REF!)</f>
        <v>#REF!</v>
      </c>
      <c r="CB6" t="e">
        <f>#REF!</f>
        <v>#REF!</v>
      </c>
      <c r="CC6" t="e">
        <f>#REF!*(#REF!-#REF!)/(#REF!-#REF!)</f>
        <v>#REF!</v>
      </c>
      <c r="CD6" t="e">
        <f>#REF!</f>
        <v>#REF!</v>
      </c>
      <c r="CE6" t="e">
        <f>#REF!*(#REF!-#REF!)/(#REF!-#REF!)</f>
        <v>#REF!</v>
      </c>
      <c r="CF6" t="e">
        <f>#REF!</f>
        <v>#REF!</v>
      </c>
      <c r="CG6" t="e">
        <f>#REF!*(#REF!-#REF!)/(#REF!-#REF!)</f>
        <v>#REF!</v>
      </c>
      <c r="CH6" t="e">
        <f>#REF!</f>
        <v>#REF!</v>
      </c>
      <c r="CI6" t="e">
        <f>#REF!*(#REF!-#REF!)/(#REF!-#REF!)</f>
        <v>#REF!</v>
      </c>
      <c r="CJ6" t="e">
        <f>#REF!</f>
        <v>#REF!</v>
      </c>
      <c r="CK6" t="e">
        <f>#REF!*(#REF!-#REF!)/(#REF!-#REF!)</f>
        <v>#REF!</v>
      </c>
      <c r="CL6" t="e">
        <f>#REF!</f>
        <v>#REF!</v>
      </c>
      <c r="CM6" t="e">
        <f>#REF!*(#REF!-#REF!)/(#REF!-#REF!)</f>
        <v>#REF!</v>
      </c>
      <c r="CN6" t="e">
        <f>#REF!</f>
        <v>#REF!</v>
      </c>
      <c r="CO6" t="e">
        <f>#REF!*(#REF!-#REF!)/(#REF!-#REF!)</f>
        <v>#REF!</v>
      </c>
      <c r="CP6" t="e">
        <f>#REF!</f>
        <v>#REF!</v>
      </c>
      <c r="CQ6" t="e">
        <f>#REF!*(#REF!-#REF!)/(#REF!-#REF!)</f>
        <v>#REF!</v>
      </c>
      <c r="CR6" t="e">
        <f>#REF!</f>
        <v>#REF!</v>
      </c>
      <c r="CS6" t="e">
        <f>#REF!*(#REF!-#REF!)/(#REF!-#REF!)</f>
        <v>#REF!</v>
      </c>
      <c r="CT6" t="e">
        <f>#REF!</f>
        <v>#REF!</v>
      </c>
      <c r="CU6" t="e">
        <f>#REF!*(#REF!-#REF!)/(#REF!-#REF!)</f>
        <v>#REF!</v>
      </c>
      <c r="CV6" t="e">
        <f>#REF!</f>
        <v>#REF!</v>
      </c>
      <c r="CW6" t="e">
        <f>#REF!*(#REF!-#REF!)/(#REF!-#REF!)</f>
        <v>#REF!</v>
      </c>
      <c r="CX6" t="e">
        <f>#REF!</f>
        <v>#REF!</v>
      </c>
      <c r="CY6" t="e">
        <f>#REF!*(#REF!-#REF!)/(#REF!-#REF!)</f>
        <v>#REF!</v>
      </c>
      <c r="CZ6" t="e">
        <f>#REF!</f>
        <v>#REF!</v>
      </c>
      <c r="DA6" t="e">
        <f>#REF!*(#REF!-#REF!)/(#REF!-#REF!)</f>
        <v>#REF!</v>
      </c>
      <c r="DB6" t="e">
        <f>#REF!</f>
        <v>#REF!</v>
      </c>
      <c r="DC6" t="e">
        <f>#REF!*(#REF!-#REF!)/(#REF!-#REF!)</f>
        <v>#REF!</v>
      </c>
      <c r="DD6" t="e">
        <f>#REF!</f>
        <v>#REF!</v>
      </c>
      <c r="DE6" t="e">
        <f>#REF!*(#REF!-#REF!)/(#REF!-#REF!)</f>
        <v>#REF!</v>
      </c>
      <c r="DF6" t="e">
        <f>#REF!</f>
        <v>#REF!</v>
      </c>
      <c r="DG6" t="e">
        <f>#REF!*(#REF!-#REF!)/(#REF!-#REF!)</f>
        <v>#REF!</v>
      </c>
      <c r="DH6" t="e">
        <f>#REF!</f>
        <v>#REF!</v>
      </c>
      <c r="DI6" t="e">
        <f>#REF!*(#REF!-#REF!)/(#REF!-#REF!)</f>
        <v>#REF!</v>
      </c>
      <c r="DJ6" t="e">
        <f>#REF!</f>
        <v>#REF!</v>
      </c>
      <c r="DK6" t="e">
        <f>#REF!*(#REF!-#REF!)/(#REF!-#REF!)</f>
        <v>#REF!</v>
      </c>
      <c r="DL6" t="e">
        <f>#REF!</f>
        <v>#REF!</v>
      </c>
      <c r="DM6" t="e">
        <f>#REF!*(#REF!-#REF!)/(#REF!-#REF!)</f>
        <v>#REF!</v>
      </c>
      <c r="DN6" t="e">
        <f>#REF!</f>
        <v>#REF!</v>
      </c>
      <c r="DO6" t="e">
        <f>#REF!*(#REF!-#REF!)/(#REF!-#REF!)</f>
        <v>#REF!</v>
      </c>
      <c r="DP6" t="e">
        <f>#REF!</f>
        <v>#REF!</v>
      </c>
      <c r="DQ6" t="e">
        <f>#REF!*(#REF!-#REF!)/(#REF!-#REF!)</f>
        <v>#REF!</v>
      </c>
      <c r="DR6" t="e">
        <f>#REF!</f>
        <v>#REF!</v>
      </c>
      <c r="DS6" t="e">
        <f>#REF!*(#REF!-#REF!)/(#REF!-#REF!)</f>
        <v>#REF!</v>
      </c>
      <c r="DT6" t="e">
        <f>#REF!</f>
        <v>#REF!</v>
      </c>
      <c r="DU6" t="e">
        <f>#REF!*(#REF!-#REF!)/(#REF!-#REF!)</f>
        <v>#REF!</v>
      </c>
      <c r="DV6" t="e">
        <f>#REF!</f>
        <v>#REF!</v>
      </c>
      <c r="DW6" t="e">
        <f>#REF!*(#REF!-#REF!)/(#REF!-#REF!)</f>
        <v>#REF!</v>
      </c>
      <c r="DX6" t="e">
        <f>#REF!</f>
        <v>#REF!</v>
      </c>
      <c r="DY6" t="e">
        <f>#REF!*(#REF!-#REF!)/(#REF!-#REF!)</f>
        <v>#REF!</v>
      </c>
      <c r="DZ6" t="e">
        <f>#REF!</f>
        <v>#REF!</v>
      </c>
      <c r="EA6" t="e">
        <f>#REF!*(#REF!-#REF!)/(#REF!-#REF!)</f>
        <v>#REF!</v>
      </c>
      <c r="EB6" t="e">
        <f>#REF!</f>
        <v>#REF!</v>
      </c>
      <c r="EC6" t="e">
        <f>#REF!*(#REF!-#REF!)/(#REF!-#REF!)</f>
        <v>#REF!</v>
      </c>
      <c r="ED6" t="e">
        <f>#REF!</f>
        <v>#REF!</v>
      </c>
      <c r="EE6" t="e">
        <f>#REF!*(#REF!-#REF!)/(#REF!-#REF!)</f>
        <v>#REF!</v>
      </c>
      <c r="EF6" t="e">
        <f>#REF!</f>
        <v>#REF!</v>
      </c>
      <c r="EG6" t="e">
        <f>#REF!*(#REF!-#REF!)/(#REF!-#REF!)</f>
        <v>#REF!</v>
      </c>
      <c r="EH6" t="e">
        <f>#REF!</f>
        <v>#REF!</v>
      </c>
      <c r="EI6" t="e">
        <f>#REF!*(#REF!-#REF!)/(#REF!-#REF!)</f>
        <v>#REF!</v>
      </c>
      <c r="EJ6" t="e">
        <f>#REF!</f>
        <v>#REF!</v>
      </c>
      <c r="EK6" t="e">
        <f>#REF!*(#REF!-#REF!)/(#REF!-#REF!)</f>
        <v>#REF!</v>
      </c>
      <c r="EL6" t="e">
        <f>#REF!</f>
        <v>#REF!</v>
      </c>
      <c r="EM6" t="e">
        <f>#REF!*(#REF!-#REF!)/(#REF!-#REF!)</f>
        <v>#REF!</v>
      </c>
      <c r="EN6" t="e">
        <f>#REF!</f>
        <v>#REF!</v>
      </c>
      <c r="EO6" t="e">
        <f>#REF!*(#REF!-#REF!)/(#REF!-#REF!)</f>
        <v>#REF!</v>
      </c>
      <c r="EP6" t="e">
        <f>#REF!</f>
        <v>#REF!</v>
      </c>
      <c r="EQ6" t="e">
        <f>#REF!*(#REF!-#REF!)/(#REF!-#REF!)</f>
        <v>#REF!</v>
      </c>
      <c r="ER6" t="e">
        <f>#REF!</f>
        <v>#REF!</v>
      </c>
      <c r="ES6" t="e">
        <f>#REF!*(#REF!-#REF!)/(#REF!-#REF!)</f>
        <v>#REF!</v>
      </c>
      <c r="ET6" t="e">
        <f>#REF!</f>
        <v>#REF!</v>
      </c>
      <c r="EU6" t="e">
        <f>#REF!*(#REF!-#REF!)/(#REF!-#REF!)</f>
        <v>#REF!</v>
      </c>
      <c r="EV6" t="e">
        <f>#REF!</f>
        <v>#REF!</v>
      </c>
      <c r="EW6" t="e">
        <f>#REF!*(#REF!-#REF!)/(#REF!-#REF!)</f>
        <v>#REF!</v>
      </c>
      <c r="EX6" t="e">
        <f>#REF!</f>
        <v>#REF!</v>
      </c>
      <c r="EY6" t="e">
        <f>#REF!*(#REF!-#REF!)/(#REF!-#REF!)</f>
        <v>#REF!</v>
      </c>
      <c r="EZ6" t="e">
        <f>#REF!</f>
        <v>#REF!</v>
      </c>
      <c r="FA6" t="e">
        <f>#REF!*(#REF!-#REF!)/(#REF!-#REF!)</f>
        <v>#REF!</v>
      </c>
      <c r="FB6" t="e">
        <f>#REF!</f>
        <v>#REF!</v>
      </c>
      <c r="FC6" t="e">
        <f>#REF!*(#REF!-#REF!)/(#REF!-#REF!)</f>
        <v>#REF!</v>
      </c>
      <c r="FD6" t="e">
        <f>#REF!</f>
        <v>#REF!</v>
      </c>
      <c r="FE6" t="e">
        <f>#REF!*(#REF!-#REF!)/(#REF!-#REF!)</f>
        <v>#REF!</v>
      </c>
      <c r="FF6" t="e">
        <f>#REF!</f>
        <v>#REF!</v>
      </c>
      <c r="FG6" t="e">
        <f>#REF!*(#REF!-#REF!)/(#REF!-#REF!)</f>
        <v>#REF!</v>
      </c>
      <c r="FH6" t="e">
        <f>#REF!</f>
        <v>#REF!</v>
      </c>
      <c r="FI6" t="e">
        <f>#REF!*(#REF!-#REF!)/(#REF!-#REF!)</f>
        <v>#REF!</v>
      </c>
      <c r="FJ6" t="e">
        <f>#REF!</f>
        <v>#REF!</v>
      </c>
      <c r="FK6" t="e">
        <f>#REF!*(#REF!-#REF!)/(#REF!-#REF!)</f>
        <v>#REF!</v>
      </c>
      <c r="FL6" t="e">
        <f>#REF!</f>
        <v>#REF!</v>
      </c>
      <c r="FM6" t="e">
        <f>#REF!*(#REF!-#REF!)/(#REF!-#REF!)</f>
        <v>#REF!</v>
      </c>
      <c r="FN6" t="e">
        <f>#REF!</f>
        <v>#REF!</v>
      </c>
      <c r="FO6" t="e">
        <f>#REF!*(#REF!-#REF!)/(#REF!-#REF!)</f>
        <v>#REF!</v>
      </c>
      <c r="FP6" t="e">
        <f>#REF!</f>
        <v>#REF!</v>
      </c>
      <c r="FQ6" t="e">
        <f>#REF!*(#REF!-#REF!)/(#REF!-#REF!)</f>
        <v>#REF!</v>
      </c>
      <c r="FR6" t="e">
        <f>#REF!</f>
        <v>#REF!</v>
      </c>
      <c r="FS6" t="e">
        <f>#REF!*(#REF!-#REF!)/(#REF!-#REF!)</f>
        <v>#REF!</v>
      </c>
      <c r="FT6" t="e">
        <f>#REF!</f>
        <v>#REF!</v>
      </c>
      <c r="FU6" t="e">
        <f>#REF!*(#REF!-#REF!)/(#REF!-#REF!)</f>
        <v>#REF!</v>
      </c>
      <c r="FV6" t="e">
        <f>#REF!</f>
        <v>#REF!</v>
      </c>
      <c r="FW6" t="e">
        <f>#REF!*(#REF!-#REF!)/(#REF!-#REF!)</f>
        <v>#REF!</v>
      </c>
      <c r="FX6" t="e">
        <f>#REF!</f>
        <v>#REF!</v>
      </c>
      <c r="FY6" t="e">
        <f>#REF!*(#REF!-#REF!)/(#REF!-#REF!)</f>
        <v>#REF!</v>
      </c>
      <c r="FZ6" t="e">
        <f>#REF!</f>
        <v>#REF!</v>
      </c>
      <c r="GA6" t="e">
        <f>#REF!*(#REF!-#REF!)/(#REF!-#REF!)</f>
        <v>#REF!</v>
      </c>
      <c r="GB6" t="e">
        <f>#REF!-#REF!</f>
        <v>#REF!</v>
      </c>
      <c r="GD6" t="e">
        <f>#REF!-#REF!</f>
        <v>#REF!</v>
      </c>
      <c r="GF6" t="e">
        <f>#REF!-#REF!</f>
        <v>#REF!</v>
      </c>
      <c r="GG6" t="e">
        <f>#REF!-#REF!</f>
        <v>#REF!</v>
      </c>
      <c r="GH6" t="e">
        <f>#REF!-#REF!</f>
        <v>#REF!</v>
      </c>
      <c r="GI6" t="e">
        <f>#REF!-#REF!</f>
        <v>#REF!</v>
      </c>
      <c r="GJ6" t="e">
        <f>#REF!-#REF!</f>
        <v>#REF!</v>
      </c>
      <c r="GL6" t="e">
        <f>#REF!-#REF!</f>
        <v>#REF!</v>
      </c>
      <c r="GN6" t="e">
        <f>#REF!-#REF!</f>
        <v>#REF!</v>
      </c>
      <c r="GO6" t="e">
        <f>#REF!-#REF!</f>
        <v>#REF!</v>
      </c>
      <c r="GP6" t="e">
        <f>#REF!-#REF!</f>
        <v>#REF!</v>
      </c>
      <c r="GR6" t="e">
        <f>#REF!-#REF!</f>
        <v>#REF!</v>
      </c>
      <c r="GS6" s="2" t="e">
        <f>#REF!-#REF!</f>
        <v>#REF!</v>
      </c>
      <c r="GT6" t="e">
        <f>#REF!-#REF!</f>
        <v>#REF!</v>
      </c>
      <c r="GU6" t="e">
        <f>#REF!-#REF!</f>
        <v>#REF!</v>
      </c>
      <c r="GV6" t="e">
        <f>#REF!-#REF!</f>
        <v>#REF!</v>
      </c>
      <c r="GW6" t="e">
        <f>#REF!-#REF!</f>
        <v>#REF!</v>
      </c>
      <c r="GX6" t="e">
        <f>#REF!-#REF!</f>
        <v>#REF!</v>
      </c>
      <c r="GY6" t="e">
        <f>#REF!-#REF!</f>
        <v>#REF!</v>
      </c>
      <c r="GZ6" t="e">
        <f>#REF!-#REF!</f>
        <v>#REF!</v>
      </c>
      <c r="HA6" t="e">
        <f>#REF!-#REF!</f>
        <v>#REF!</v>
      </c>
      <c r="HB6" t="e">
        <f>#REF!-#REF!</f>
        <v>#REF!</v>
      </c>
      <c r="HC6" t="e">
        <f>#REF!-#REF!</f>
        <v>#REF!</v>
      </c>
      <c r="HD6" t="e">
        <f>#REF!-#REF!</f>
        <v>#REF!</v>
      </c>
      <c r="HE6" t="e">
        <f>#REF!-#REF!</f>
        <v>#REF!</v>
      </c>
      <c r="HF6" t="e">
        <f>#REF!-#REF!</f>
        <v>#REF!</v>
      </c>
      <c r="HG6" t="e">
        <f>#REF!-#REF!</f>
        <v>#REF!</v>
      </c>
      <c r="HH6" t="e">
        <f>#REF!-#REF!</f>
        <v>#REF!</v>
      </c>
      <c r="HI6" t="e">
        <f>#REF!-#REF!</f>
        <v>#REF!</v>
      </c>
      <c r="HJ6" t="e">
        <f>#REF!-#REF!</f>
        <v>#REF!</v>
      </c>
      <c r="HK6" t="e">
        <f>#REF!-#REF!</f>
        <v>#REF!</v>
      </c>
      <c r="HL6" t="e">
        <f>#REF!-#REF!</f>
        <v>#REF!</v>
      </c>
      <c r="HM6" t="e">
        <f>#REF!-#REF!</f>
        <v>#REF!</v>
      </c>
      <c r="HN6" t="e">
        <f>#REF!-#REF!</f>
        <v>#REF!</v>
      </c>
      <c r="HP6" t="e">
        <f>#REF!-#REF!</f>
        <v>#REF!</v>
      </c>
      <c r="HR6" t="e">
        <f>#REF!-#REF!</f>
        <v>#REF!</v>
      </c>
      <c r="HT6" t="e">
        <f>#REF!-#REF!</f>
        <v>#REF!</v>
      </c>
      <c r="HV6" t="e">
        <f>#REF!-#REF!</f>
        <v>#REF!</v>
      </c>
      <c r="HW6" t="e">
        <f>#REF!-#REF!</f>
        <v>#REF!</v>
      </c>
      <c r="HX6" t="e">
        <f>#REF!-#REF!</f>
        <v>#REF!</v>
      </c>
      <c r="HY6" t="e">
        <f>#REF!-#REF!</f>
        <v>#REF!</v>
      </c>
      <c r="HZ6" t="e">
        <f>#REF!-#REF!</f>
        <v>#REF!</v>
      </c>
      <c r="IB6" t="e">
        <f>#REF!-#REF!</f>
        <v>#REF!</v>
      </c>
      <c r="ID6" t="e">
        <f>#REF!-#REF!</f>
        <v>#REF!</v>
      </c>
      <c r="IF6" t="e">
        <f>#REF!-#REF!</f>
        <v>#REF!</v>
      </c>
      <c r="IH6" t="e">
        <f>#REF!-#REF!</f>
        <v>#REF!</v>
      </c>
      <c r="IJ6" t="e">
        <f>#REF!-#REF!</f>
        <v>#REF!</v>
      </c>
      <c r="IL6" t="e">
        <f>#REF!-#REF!</f>
        <v>#REF!</v>
      </c>
      <c r="IN6" t="e">
        <f>#REF!-#REF!</f>
        <v>#REF!</v>
      </c>
      <c r="IP6" t="e">
        <f>#REF!-#REF!</f>
        <v>#REF!</v>
      </c>
      <c r="IR6" t="e">
        <f>#REF!-#REF!</f>
        <v>#REF!</v>
      </c>
      <c r="IT6" t="e">
        <f>#REF!-#REF!</f>
        <v>#REF!</v>
      </c>
      <c r="IV6" t="e">
        <f>#REF!-#REF!</f>
        <v>#REF!</v>
      </c>
      <c r="IX6" t="e">
        <f>#REF!-#REF!</f>
        <v>#REF!</v>
      </c>
      <c r="IZ6" t="e">
        <f>#REF!-#REF!</f>
        <v>#REF!</v>
      </c>
      <c r="JA6" t="e">
        <f>#REF!-#REF!</f>
        <v>#REF!</v>
      </c>
      <c r="JB6" t="e">
        <f>#REF!-#REF!</f>
        <v>#REF!</v>
      </c>
      <c r="JC6" t="e">
        <f>#REF!-#REF!</f>
        <v>#REF!</v>
      </c>
      <c r="JD6" t="e">
        <f>#REF!-#REF!</f>
        <v>#REF!</v>
      </c>
      <c r="JE6" t="e">
        <f>#REF!-#REF!</f>
        <v>#REF!</v>
      </c>
    </row>
    <row r="7" spans="1:285" x14ac:dyDescent="0.25">
      <c r="D7" t="e">
        <f>MIN(#REF!:#REF!)</f>
        <v>#REF!</v>
      </c>
      <c r="E7" t="e">
        <f>MAX(#REF!:#REF!)</f>
        <v>#REF!</v>
      </c>
      <c r="R7" t="e">
        <f>MIN(#REF!:#REF!)</f>
        <v>#REF!</v>
      </c>
      <c r="S7" t="e">
        <f>MAX(#REF!:#REF!)</f>
        <v>#REF!</v>
      </c>
      <c r="T7" t="e">
        <f>MIN(#REF!:#REF!)</f>
        <v>#REF!</v>
      </c>
      <c r="U7" t="e">
        <f>MAX(#REF!:#REF!)</f>
        <v>#REF!</v>
      </c>
      <c r="V7" t="e">
        <f>MIN(#REF!:#REF!)</f>
        <v>#REF!</v>
      </c>
      <c r="W7" t="e">
        <f>MAX(#REF!:#REF!)</f>
        <v>#REF!</v>
      </c>
      <c r="X7" t="e">
        <f>MIN(#REF!:#REF!)</f>
        <v>#REF!</v>
      </c>
      <c r="Y7" t="e">
        <f>MAX(#REF!:#REF!)</f>
        <v>#REF!</v>
      </c>
      <c r="Z7" t="e">
        <f>MIN(#REF!:#REF!)</f>
        <v>#REF!</v>
      </c>
      <c r="AA7" t="e">
        <f>MAX(#REF!:#REF!)</f>
        <v>#REF!</v>
      </c>
      <c r="AJ7" t="e">
        <f>MIN(#REF!:#REF!)</f>
        <v>#REF!</v>
      </c>
      <c r="AK7" t="e">
        <f>MAX(#REF!:#REF!)</f>
        <v>#REF!</v>
      </c>
      <c r="AL7" t="e">
        <f>MIN(#REF!:#REF!)</f>
        <v>#REF!</v>
      </c>
      <c r="AM7" t="e">
        <f>MAX(#REF!:#REF!)</f>
        <v>#REF!</v>
      </c>
      <c r="AP7" t="e">
        <f>#REF!</f>
        <v>#REF!</v>
      </c>
      <c r="AQ7" t="e">
        <f>#REF!*(#REF!-#REF!)/(#REF!-#REF!)</f>
        <v>#REF!</v>
      </c>
      <c r="AR7" t="e">
        <f>#REF!</f>
        <v>#REF!</v>
      </c>
      <c r="AS7" t="e">
        <f>#REF!*(#REF!-#REF!)/(#REF!-#REF!)</f>
        <v>#REF!</v>
      </c>
      <c r="AT7" t="e">
        <f>#REF!</f>
        <v>#REF!</v>
      </c>
      <c r="AU7" t="e">
        <f>#REF!*(#REF!-#REF!)/(#REF!-#REF!)</f>
        <v>#REF!</v>
      </c>
      <c r="AV7" t="e">
        <f>#REF!</f>
        <v>#REF!</v>
      </c>
      <c r="AW7" t="e">
        <f>#REF!*(#REF!-#REF!)/(#REF!-#REF!)</f>
        <v>#REF!</v>
      </c>
      <c r="AX7" t="e">
        <f>#REF!</f>
        <v>#REF!</v>
      </c>
      <c r="AY7" t="e">
        <f>#REF!*(#REF!-#REF!)/(#REF!-#REF!)</f>
        <v>#REF!</v>
      </c>
      <c r="AZ7" t="e">
        <f>#REF!</f>
        <v>#REF!</v>
      </c>
      <c r="BA7" t="e">
        <f>#REF!*(#REF!-#REF!)/(#REF!-#REF!)</f>
        <v>#REF!</v>
      </c>
      <c r="BB7" t="e">
        <f>#REF!</f>
        <v>#REF!</v>
      </c>
      <c r="BC7" t="e">
        <f>#REF!*(#REF!-#REF!)/(#REF!-#REF!)</f>
        <v>#REF!</v>
      </c>
      <c r="BD7" t="e">
        <f>#REF!</f>
        <v>#REF!</v>
      </c>
      <c r="BE7" t="e">
        <f>#REF!*(#REF!-#REF!)/(#REF!-#REF!)</f>
        <v>#REF!</v>
      </c>
      <c r="BF7" t="e">
        <f>#REF!</f>
        <v>#REF!</v>
      </c>
      <c r="BG7" t="e">
        <f>#REF!*(#REF!-#REF!)/(#REF!-#REF!)</f>
        <v>#REF!</v>
      </c>
      <c r="BH7" t="e">
        <f>#REF!</f>
        <v>#REF!</v>
      </c>
      <c r="BI7" t="e">
        <f>#REF!*(#REF!-#REF!)/(#REF!-#REF!)</f>
        <v>#REF!</v>
      </c>
      <c r="BJ7" t="e">
        <f>#REF!</f>
        <v>#REF!</v>
      </c>
      <c r="BK7" t="e">
        <f>#REF!*(#REF!-#REF!)/(#REF!-#REF!)</f>
        <v>#REF!</v>
      </c>
      <c r="BL7" t="e">
        <f>#REF!</f>
        <v>#REF!</v>
      </c>
      <c r="BM7" t="e">
        <f>#REF!*(#REF!-#REF!)/(#REF!-#REF!)</f>
        <v>#REF!</v>
      </c>
      <c r="BN7" t="e">
        <f>#REF!</f>
        <v>#REF!</v>
      </c>
      <c r="BO7" t="e">
        <f>#REF!*(#REF!-#REF!)/(#REF!-#REF!)</f>
        <v>#REF!</v>
      </c>
      <c r="BR7" t="e">
        <f>#REF!</f>
        <v>#REF!</v>
      </c>
      <c r="BS7" t="e">
        <f>#REF!*(#REF!-#REF!)/(#REF!-#REF!)</f>
        <v>#REF!</v>
      </c>
      <c r="BT7" t="e">
        <f>#REF!</f>
        <v>#REF!</v>
      </c>
      <c r="BU7" t="e">
        <f>#REF!*(#REF!-#REF!)/(#REF!-#REF!)</f>
        <v>#REF!</v>
      </c>
      <c r="BV7" t="e">
        <f>#REF!</f>
        <v>#REF!</v>
      </c>
      <c r="BW7" t="e">
        <f>#REF!*(#REF!-#REF!)/(#REF!-#REF!)</f>
        <v>#REF!</v>
      </c>
      <c r="CB7" t="e">
        <f>#REF!</f>
        <v>#REF!</v>
      </c>
      <c r="CC7" t="e">
        <f>#REF!*(#REF!-#REF!)/(#REF!-#REF!)</f>
        <v>#REF!</v>
      </c>
      <c r="CF7" t="e">
        <f>#REF!</f>
        <v>#REF!</v>
      </c>
      <c r="CG7" t="e">
        <f>#REF!*(#REF!-#REF!)/(#REF!-#REF!)</f>
        <v>#REF!</v>
      </c>
      <c r="CH7" t="e">
        <f>#REF!</f>
        <v>#REF!</v>
      </c>
      <c r="CI7" t="e">
        <f>#REF!*(#REF!-#REF!)/(#REF!-#REF!)</f>
        <v>#REF!</v>
      </c>
      <c r="CN7" t="e">
        <f>#REF!</f>
        <v>#REF!</v>
      </c>
      <c r="CO7" t="e">
        <f>#REF!*(#REF!-#REF!)/(#REF!-#REF!)</f>
        <v>#REF!</v>
      </c>
      <c r="CP7" t="e">
        <f>#REF!</f>
        <v>#REF!</v>
      </c>
      <c r="CQ7" t="e">
        <f>#REF!*(#REF!-#REF!)/(#REF!-#REF!)</f>
        <v>#REF!</v>
      </c>
      <c r="CR7" t="e">
        <f>#REF!</f>
        <v>#REF!</v>
      </c>
      <c r="CS7" t="e">
        <f>#REF!*(#REF!-#REF!)/(#REF!-#REF!)</f>
        <v>#REF!</v>
      </c>
      <c r="CT7" t="e">
        <f>#REF!</f>
        <v>#REF!</v>
      </c>
      <c r="CU7" t="e">
        <f>#REF!*(#REF!-#REF!)/(#REF!-#REF!)</f>
        <v>#REF!</v>
      </c>
      <c r="CZ7" t="e">
        <f>#REF!</f>
        <v>#REF!</v>
      </c>
      <c r="DA7" t="e">
        <f>#REF!*(#REF!-#REF!)/(#REF!-#REF!)</f>
        <v>#REF!</v>
      </c>
      <c r="DB7" t="e">
        <f>#REF!</f>
        <v>#REF!</v>
      </c>
      <c r="DC7" t="e">
        <f>#REF!*(#REF!-#REF!)/(#REF!-#REF!)</f>
        <v>#REF!</v>
      </c>
      <c r="DD7" t="e">
        <f>#REF!</f>
        <v>#REF!</v>
      </c>
      <c r="DE7" t="e">
        <f>#REF!*(#REF!-#REF!)/(#REF!-#REF!)</f>
        <v>#REF!</v>
      </c>
      <c r="DP7" t="e">
        <f>#REF!</f>
        <v>#REF!</v>
      </c>
      <c r="DQ7" t="e">
        <f>#REF!*(#REF!-#REF!)/(#REF!-#REF!)</f>
        <v>#REF!</v>
      </c>
      <c r="DR7" t="e">
        <f>#REF!</f>
        <v>#REF!</v>
      </c>
      <c r="DS7" t="e">
        <f>#REF!*(#REF!-#REF!)/(#REF!-#REF!)</f>
        <v>#REF!</v>
      </c>
      <c r="DT7" t="e">
        <f>#REF!</f>
        <v>#REF!</v>
      </c>
      <c r="DU7" t="e">
        <f>#REF!*(#REF!-#REF!)/(#REF!-#REF!)</f>
        <v>#REF!</v>
      </c>
      <c r="DV7" t="e">
        <f>#REF!</f>
        <v>#REF!</v>
      </c>
      <c r="DW7" t="e">
        <f>#REF!*(#REF!-#REF!)/(#REF!-#REF!)</f>
        <v>#REF!</v>
      </c>
      <c r="DX7" t="e">
        <f>#REF!</f>
        <v>#REF!</v>
      </c>
      <c r="DY7" t="e">
        <f>#REF!*(#REF!-#REF!)/(#REF!-#REF!)</f>
        <v>#REF!</v>
      </c>
      <c r="DZ7" t="e">
        <f>#REF!</f>
        <v>#REF!</v>
      </c>
      <c r="EA7" t="e">
        <f>#REF!*(#REF!-#REF!)/(#REF!-#REF!)</f>
        <v>#REF!</v>
      </c>
      <c r="EB7" t="e">
        <f>#REF!</f>
        <v>#REF!</v>
      </c>
      <c r="EC7" t="e">
        <f>#REF!*(#REF!-#REF!)/(#REF!-#REF!)</f>
        <v>#REF!</v>
      </c>
      <c r="ED7" t="e">
        <f>#REF!</f>
        <v>#REF!</v>
      </c>
      <c r="EE7" t="e">
        <f>#REF!*(#REF!-#REF!)/(#REF!-#REF!)</f>
        <v>#REF!</v>
      </c>
      <c r="EF7" t="e">
        <f>#REF!</f>
        <v>#REF!</v>
      </c>
      <c r="EG7" t="e">
        <f>#REF!*(#REF!-#REF!)/(#REF!-#REF!)</f>
        <v>#REF!</v>
      </c>
      <c r="EH7" t="e">
        <f>#REF!</f>
        <v>#REF!</v>
      </c>
      <c r="EI7" t="e">
        <f>#REF!*(#REF!-#REF!)/(#REF!-#REF!)</f>
        <v>#REF!</v>
      </c>
      <c r="EL7" t="e">
        <f>#REF!</f>
        <v>#REF!</v>
      </c>
      <c r="EM7" t="e">
        <f>#REF!*(#REF!-#REF!)/(#REF!-#REF!)</f>
        <v>#REF!</v>
      </c>
      <c r="EN7" t="e">
        <f>#REF!</f>
        <v>#REF!</v>
      </c>
      <c r="EO7" t="e">
        <f>#REF!*(#REF!-#REF!)/(#REF!-#REF!)</f>
        <v>#REF!</v>
      </c>
      <c r="EP7" t="e">
        <f>#REF!</f>
        <v>#REF!</v>
      </c>
      <c r="EQ7" t="e">
        <f>#REF!*(#REF!-#REF!)/(#REF!-#REF!)</f>
        <v>#REF!</v>
      </c>
      <c r="ER7" t="e">
        <f>#REF!</f>
        <v>#REF!</v>
      </c>
      <c r="ES7" t="e">
        <f>#REF!*(#REF!-#REF!)/(#REF!-#REF!)</f>
        <v>#REF!</v>
      </c>
      <c r="EV7" t="e">
        <f>#REF!</f>
        <v>#REF!</v>
      </c>
      <c r="EW7" t="e">
        <f>#REF!*(#REF!-#REF!)/(#REF!-#REF!)</f>
        <v>#REF!</v>
      </c>
      <c r="EX7" t="e">
        <f>#REF!</f>
        <v>#REF!</v>
      </c>
      <c r="EY7" t="e">
        <f>#REF!*(#REF!-#REF!)/(#REF!-#REF!)</f>
        <v>#REF!</v>
      </c>
      <c r="EZ7" t="e">
        <f>#REF!</f>
        <v>#REF!</v>
      </c>
      <c r="FA7" t="e">
        <f>#REF!*(#REF!-#REF!)/(#REF!-#REF!)</f>
        <v>#REF!</v>
      </c>
      <c r="FB7" t="e">
        <f>#REF!</f>
        <v>#REF!</v>
      </c>
      <c r="FC7" t="e">
        <f>#REF!*(#REF!-#REF!)/(#REF!-#REF!)</f>
        <v>#REF!</v>
      </c>
      <c r="FD7" t="e">
        <f>#REF!</f>
        <v>#REF!</v>
      </c>
      <c r="FE7" t="e">
        <f>#REF!*(#REF!-#REF!)/(#REF!-#REF!)</f>
        <v>#REF!</v>
      </c>
      <c r="FH7" t="e">
        <f>#REF!</f>
        <v>#REF!</v>
      </c>
      <c r="FI7" t="e">
        <f>#REF!*(#REF!-#REF!)/(#REF!-#REF!)</f>
        <v>#REF!</v>
      </c>
      <c r="FJ7" t="e">
        <f>#REF!</f>
        <v>#REF!</v>
      </c>
      <c r="FK7" t="e">
        <f>#REF!*(#REF!-#REF!)/(#REF!-#REF!)</f>
        <v>#REF!</v>
      </c>
      <c r="FL7" t="e">
        <f>#REF!</f>
        <v>#REF!</v>
      </c>
      <c r="FM7" t="e">
        <f>#REF!*(#REF!-#REF!)/(#REF!-#REF!)</f>
        <v>#REF!</v>
      </c>
      <c r="FN7" t="e">
        <f>#REF!</f>
        <v>#REF!</v>
      </c>
      <c r="FO7" t="e">
        <f>#REF!*(#REF!-#REF!)/(#REF!-#REF!)</f>
        <v>#REF!</v>
      </c>
      <c r="FP7" t="e">
        <f>#REF!</f>
        <v>#REF!</v>
      </c>
      <c r="FQ7" t="e">
        <f>#REF!*(#REF!-#REF!)/(#REF!-#REF!)</f>
        <v>#REF!</v>
      </c>
      <c r="FR7" t="e">
        <f>#REF!</f>
        <v>#REF!</v>
      </c>
      <c r="FS7" t="e">
        <f>#REF!*(#REF!-#REF!)/(#REF!-#REF!)</f>
        <v>#REF!</v>
      </c>
      <c r="FT7" t="e">
        <f>#REF!</f>
        <v>#REF!</v>
      </c>
      <c r="FU7" t="e">
        <f>#REF!*(#REF!-#REF!)/(#REF!-#REF!)</f>
        <v>#REF!</v>
      </c>
      <c r="FX7" t="e">
        <f>#REF!</f>
        <v>#REF!</v>
      </c>
      <c r="FY7" t="e">
        <f>#REF!*(#REF!-#REF!)/(#REF!-#REF!)</f>
        <v>#REF!</v>
      </c>
      <c r="FZ7" t="e">
        <f>#REF!</f>
        <v>#REF!</v>
      </c>
      <c r="GA7" t="e">
        <f>#REF!*(#REF!-#REF!)/(#REF!-#REF!)</f>
        <v>#REF!</v>
      </c>
      <c r="GB7" t="e">
        <f>MIN(#REF!:#REF!)</f>
        <v>#REF!</v>
      </c>
      <c r="GC7" t="e">
        <f>MAX(#REF!:#REF!)</f>
        <v>#REF!</v>
      </c>
      <c r="GD7" t="e">
        <f>MIN(#REF!:#REF!)</f>
        <v>#REF!</v>
      </c>
      <c r="GE7" t="e">
        <f>MAX(#REF!:#REF!)</f>
        <v>#REF!</v>
      </c>
      <c r="GF7" t="e">
        <f>MIN(#REF!:#REF!)</f>
        <v>#REF!</v>
      </c>
      <c r="GG7" t="e">
        <f>MAX(#REF!:#REF!)</f>
        <v>#REF!</v>
      </c>
      <c r="GH7" t="e">
        <f>MIN(#REF!:#REF!)</f>
        <v>#REF!</v>
      </c>
      <c r="GI7" t="e">
        <f>MAX(#REF!:#REF!)</f>
        <v>#REF!</v>
      </c>
      <c r="GJ7" t="e">
        <f>MIN(#REF!:#REF!)</f>
        <v>#REF!</v>
      </c>
      <c r="GK7" t="e">
        <f>MAX(#REF!:#REF!)</f>
        <v>#REF!</v>
      </c>
      <c r="GL7" t="e">
        <f>MIN(#REF!:#REF!)</f>
        <v>#REF!</v>
      </c>
      <c r="GM7" t="e">
        <f>MAX(#REF!:#REF!)</f>
        <v>#REF!</v>
      </c>
      <c r="GN7" t="e">
        <f>MIN(#REF!:#REF!)</f>
        <v>#REF!</v>
      </c>
      <c r="GO7" t="e">
        <f>MAX(#REF!:#REF!)</f>
        <v>#REF!</v>
      </c>
      <c r="GP7" t="e">
        <f>MIN(#REF!:#REF!)</f>
        <v>#REF!</v>
      </c>
      <c r="GQ7" t="e">
        <f>MAX(#REF!:#REF!)</f>
        <v>#REF!</v>
      </c>
      <c r="GR7" t="e">
        <f>MIN(#REF!:#REF!)</f>
        <v>#REF!</v>
      </c>
      <c r="GS7" t="e">
        <f>MAX(#REF!:#REF!)</f>
        <v>#REF!</v>
      </c>
      <c r="GT7" t="e">
        <f>MIN(#REF!:#REF!)</f>
        <v>#REF!</v>
      </c>
      <c r="GU7" t="e">
        <f>MAX(#REF!:#REF!)</f>
        <v>#REF!</v>
      </c>
      <c r="GV7" t="e">
        <f>MIN(#REF!:#REF!)</f>
        <v>#REF!</v>
      </c>
      <c r="GW7" t="e">
        <f>MAX(#REF!:#REF!)</f>
        <v>#REF!</v>
      </c>
      <c r="GX7" t="e">
        <f>MIN(#REF!:#REF!)</f>
        <v>#REF!</v>
      </c>
      <c r="GY7" t="e">
        <f>MAX(#REF!:#REF!)</f>
        <v>#REF!</v>
      </c>
      <c r="GZ7" t="e">
        <f>MIN(#REF!:#REF!)</f>
        <v>#REF!</v>
      </c>
      <c r="HA7" t="e">
        <f>MAX(#REF!:#REF!)</f>
        <v>#REF!</v>
      </c>
      <c r="HB7" t="e">
        <f>MIN(#REF!:#REF!)</f>
        <v>#REF!</v>
      </c>
      <c r="HC7" t="e">
        <f>MAX(#REF!:#REF!)</f>
        <v>#REF!</v>
      </c>
      <c r="HD7" t="e">
        <f>MIN(#REF!:#REF!)</f>
        <v>#REF!</v>
      </c>
      <c r="HE7" t="e">
        <f>MAX(#REF!:#REF!)</f>
        <v>#REF!</v>
      </c>
      <c r="HF7" t="e">
        <f>MIN(#REF!:#REF!)</f>
        <v>#REF!</v>
      </c>
      <c r="HG7" t="e">
        <f>MAX(#REF!:#REF!)</f>
        <v>#REF!</v>
      </c>
      <c r="HH7" t="e">
        <f>MIN(#REF!:#REF!)</f>
        <v>#REF!</v>
      </c>
      <c r="HI7" t="e">
        <f>MAX(#REF!:#REF!)</f>
        <v>#REF!</v>
      </c>
      <c r="HJ7" t="e">
        <f>MIN(#REF!:#REF!)</f>
        <v>#REF!</v>
      </c>
      <c r="HK7" t="e">
        <f>MAX(#REF!:#REF!)</f>
        <v>#REF!</v>
      </c>
      <c r="HL7" t="e">
        <f>MIN(#REF!:#REF!)</f>
        <v>#REF!</v>
      </c>
      <c r="HM7" t="e">
        <f>MAX(#REF!:#REF!)</f>
        <v>#REF!</v>
      </c>
      <c r="HN7" t="e">
        <f>MIN(#REF!:#REF!)</f>
        <v>#REF!</v>
      </c>
      <c r="HO7" t="e">
        <f>MAX(#REF!:#REF!)</f>
        <v>#REF!</v>
      </c>
      <c r="HP7" t="e">
        <f>MIN(#REF!:#REF!)</f>
        <v>#REF!</v>
      </c>
      <c r="HQ7" t="e">
        <f>MAX(#REF!:#REF!)</f>
        <v>#REF!</v>
      </c>
      <c r="HR7" t="e">
        <f>MIN(#REF!:#REF!)</f>
        <v>#REF!</v>
      </c>
      <c r="HS7" t="e">
        <f>MAX(#REF!:#REF!)</f>
        <v>#REF!</v>
      </c>
      <c r="HT7" t="e">
        <f>MIN(#REF!:#REF!)</f>
        <v>#REF!</v>
      </c>
      <c r="HU7" t="e">
        <f>MAX(#REF!:#REF!)</f>
        <v>#REF!</v>
      </c>
      <c r="HV7" t="e">
        <f>MIN(#REF!:#REF!)</f>
        <v>#REF!</v>
      </c>
      <c r="HW7" t="e">
        <f>MAX(#REF!:#REF!)</f>
        <v>#REF!</v>
      </c>
      <c r="HX7" t="e">
        <f>MIN(#REF!:#REF!)</f>
        <v>#REF!</v>
      </c>
      <c r="HY7" t="e">
        <f>MAX(#REF!:#REF!)</f>
        <v>#REF!</v>
      </c>
      <c r="HZ7" t="e">
        <f>MIN(#REF!:#REF!)</f>
        <v>#REF!</v>
      </c>
      <c r="IA7" t="e">
        <f>MAX(#REF!:#REF!)</f>
        <v>#REF!</v>
      </c>
      <c r="IB7" t="e">
        <f>MIN(#REF!:#REF!)</f>
        <v>#REF!</v>
      </c>
      <c r="IC7" t="e">
        <f>MAX(#REF!:#REF!)</f>
        <v>#REF!</v>
      </c>
      <c r="ID7" t="e">
        <f>MIN(#REF!:#REF!)</f>
        <v>#REF!</v>
      </c>
      <c r="IE7" t="e">
        <f>MAX(#REF!:#REF!)</f>
        <v>#REF!</v>
      </c>
      <c r="IF7" t="e">
        <f>MIN(#REF!:#REF!)</f>
        <v>#REF!</v>
      </c>
      <c r="IG7" t="e">
        <f>MAX(#REF!:#REF!)</f>
        <v>#REF!</v>
      </c>
      <c r="IH7" t="e">
        <f>MIN(#REF!:#REF!)</f>
        <v>#REF!</v>
      </c>
      <c r="II7" t="e">
        <f>MAX(#REF!:#REF!)</f>
        <v>#REF!</v>
      </c>
      <c r="IJ7" t="e">
        <f>MIN(#REF!:#REF!)</f>
        <v>#REF!</v>
      </c>
      <c r="IK7" t="e">
        <f>MAX(#REF!:#REF!)</f>
        <v>#REF!</v>
      </c>
      <c r="IL7" t="e">
        <f>MIN(#REF!:#REF!)</f>
        <v>#REF!</v>
      </c>
      <c r="IM7" t="e">
        <f>MAX(#REF!:#REF!)</f>
        <v>#REF!</v>
      </c>
      <c r="IN7" t="e">
        <f>MIN(#REF!:#REF!)</f>
        <v>#REF!</v>
      </c>
      <c r="IO7" t="e">
        <f>MAX(#REF!:#REF!)</f>
        <v>#REF!</v>
      </c>
      <c r="IP7" t="e">
        <f>MIN(#REF!:#REF!)</f>
        <v>#REF!</v>
      </c>
      <c r="IQ7" t="e">
        <f>MAX(#REF!:#REF!)</f>
        <v>#REF!</v>
      </c>
      <c r="IR7" t="e">
        <f>MIN(#REF!:#REF!)</f>
        <v>#REF!</v>
      </c>
      <c r="IS7" t="e">
        <f>MAX(#REF!:#REF!)</f>
        <v>#REF!</v>
      </c>
      <c r="IT7" t="e">
        <f>MIN(#REF!:#REF!)</f>
        <v>#REF!</v>
      </c>
      <c r="IU7" t="e">
        <f>MAX(#REF!:#REF!)</f>
        <v>#REF!</v>
      </c>
      <c r="IV7" t="e">
        <f>MIN(#REF!:#REF!)</f>
        <v>#REF!</v>
      </c>
      <c r="IW7" t="e">
        <f>MAX(#REF!:#REF!)</f>
        <v>#REF!</v>
      </c>
      <c r="IX7" t="e">
        <f>MIN(#REF!:#REF!)</f>
        <v>#REF!</v>
      </c>
      <c r="IY7" t="e">
        <f>MAX(#REF!:#REF!)</f>
        <v>#REF!</v>
      </c>
      <c r="IZ7" t="e">
        <f>MIN(#REF!:#REF!)</f>
        <v>#REF!</v>
      </c>
      <c r="JA7" t="e">
        <f>MAX(#REF!:#REF!)</f>
        <v>#REF!</v>
      </c>
      <c r="JB7" t="e">
        <f>MIN(#REF!:#REF!)</f>
        <v>#REF!</v>
      </c>
      <c r="JC7" t="e">
        <f>MAX(#REF!:#REF!)</f>
        <v>#REF!</v>
      </c>
    </row>
    <row r="8" spans="1:285" x14ac:dyDescent="0.25">
      <c r="D8">
        <v>0</v>
      </c>
      <c r="E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J8">
        <v>0</v>
      </c>
      <c r="AK8">
        <v>0</v>
      </c>
      <c r="AL8">
        <v>0</v>
      </c>
      <c r="AM8">
        <v>0</v>
      </c>
      <c r="AP8" t="e">
        <f>#REF!</f>
        <v>#REF!</v>
      </c>
      <c r="AQ8" t="e">
        <f>#REF!*(#REF!-#REF!)/(#REF!-#REF!)</f>
        <v>#REF!</v>
      </c>
      <c r="AR8" t="e">
        <f>#REF!</f>
        <v>#REF!</v>
      </c>
      <c r="AS8" t="e">
        <f>#REF!*(#REF!-#REF!)/(#REF!-#REF!)</f>
        <v>#REF!</v>
      </c>
      <c r="AT8" t="e">
        <f>#REF!</f>
        <v>#REF!</v>
      </c>
      <c r="AU8" t="e">
        <f>#REF!*(#REF!-#REF!)/(#REF!-#REF!)</f>
        <v>#REF!</v>
      </c>
      <c r="AV8" t="e">
        <f>#REF!</f>
        <v>#REF!</v>
      </c>
      <c r="AW8" t="e">
        <f>#REF!*(#REF!-#REF!)/(#REF!-#REF!)</f>
        <v>#REF!</v>
      </c>
      <c r="AX8" t="e">
        <f>#REF!</f>
        <v>#REF!</v>
      </c>
      <c r="AY8" t="e">
        <f>#REF!*(#REF!-#REF!)/(#REF!-#REF!)</f>
        <v>#REF!</v>
      </c>
      <c r="AZ8" t="e">
        <f>#REF!</f>
        <v>#REF!</v>
      </c>
      <c r="BA8" t="e">
        <f>#REF!*(#REF!-#REF!)/(#REF!-#REF!)</f>
        <v>#REF!</v>
      </c>
      <c r="BB8" t="e">
        <f>#REF!</f>
        <v>#REF!</v>
      </c>
      <c r="BC8" t="e">
        <f>#REF!*(#REF!-#REF!)/(#REF!-#REF!)</f>
        <v>#REF!</v>
      </c>
      <c r="BD8" t="e">
        <f>#REF!</f>
        <v>#REF!</v>
      </c>
      <c r="BE8" t="e">
        <f>#REF!*(#REF!-#REF!)/(#REF!-#REF!)</f>
        <v>#REF!</v>
      </c>
      <c r="BF8" t="e">
        <f>#REF!</f>
        <v>#REF!</v>
      </c>
      <c r="BG8" t="e">
        <f>#REF!*(#REF!-#REF!)/(#REF!-#REF!)</f>
        <v>#REF!</v>
      </c>
      <c r="BH8" t="e">
        <f>#REF!</f>
        <v>#REF!</v>
      </c>
      <c r="BI8" t="e">
        <f>#REF!*(#REF!-#REF!)/(#REF!-#REF!)</f>
        <v>#REF!</v>
      </c>
      <c r="BJ8" t="e">
        <f>#REF!</f>
        <v>#REF!</v>
      </c>
      <c r="BK8" t="e">
        <f>#REF!*(#REF!-#REF!)/(#REF!-#REF!)</f>
        <v>#REF!</v>
      </c>
      <c r="BL8" t="e">
        <f>#REF!</f>
        <v>#REF!</v>
      </c>
      <c r="BM8" t="e">
        <f>#REF!*(#REF!-#REF!)/(#REF!-#REF!)</f>
        <v>#REF!</v>
      </c>
      <c r="BN8" t="e">
        <f>#REF!</f>
        <v>#REF!</v>
      </c>
      <c r="BO8" t="e">
        <f>#REF!*(#REF!-#REF!)/(#REF!-#REF!)</f>
        <v>#REF!</v>
      </c>
      <c r="BR8" t="e">
        <f>#REF!</f>
        <v>#REF!</v>
      </c>
      <c r="BS8" t="e">
        <f>#REF!*(#REF!-#REF!)/(#REF!-#REF!)</f>
        <v>#REF!</v>
      </c>
      <c r="BT8" t="e">
        <f>#REF!</f>
        <v>#REF!</v>
      </c>
      <c r="BU8" t="e">
        <f>#REF!*(#REF!-#REF!)/(#REF!-#REF!)</f>
        <v>#REF!</v>
      </c>
      <c r="BV8" t="e">
        <f>#REF!</f>
        <v>#REF!</v>
      </c>
      <c r="BW8" t="e">
        <f>#REF!*(#REF!-#REF!)/(#REF!-#REF!)</f>
        <v>#REF!</v>
      </c>
      <c r="CB8" t="e">
        <f>#REF!</f>
        <v>#REF!</v>
      </c>
      <c r="CC8" t="e">
        <f>#REF!*(#REF!-#REF!)/(#REF!-#REF!)</f>
        <v>#REF!</v>
      </c>
      <c r="CF8" t="e">
        <f>#REF!</f>
        <v>#REF!</v>
      </c>
      <c r="CG8" t="e">
        <f>#REF!*(#REF!-#REF!)/(#REF!-#REF!)</f>
        <v>#REF!</v>
      </c>
      <c r="CH8" t="e">
        <f>#REF!</f>
        <v>#REF!</v>
      </c>
      <c r="CI8" t="e">
        <f>#REF!*(#REF!-#REF!)/(#REF!-#REF!)</f>
        <v>#REF!</v>
      </c>
      <c r="CN8" t="e">
        <f>#REF!</f>
        <v>#REF!</v>
      </c>
      <c r="CO8" t="e">
        <f>#REF!*(#REF!-#REF!)/(#REF!-#REF!)</f>
        <v>#REF!</v>
      </c>
      <c r="CP8" t="e">
        <f>#REF!</f>
        <v>#REF!</v>
      </c>
      <c r="CQ8" t="e">
        <f>#REF!*(#REF!-#REF!)/(#REF!-#REF!)</f>
        <v>#REF!</v>
      </c>
      <c r="CR8" t="e">
        <f>#REF!</f>
        <v>#REF!</v>
      </c>
      <c r="CS8" t="e">
        <f>#REF!*(#REF!-#REF!)/(#REF!-#REF!)</f>
        <v>#REF!</v>
      </c>
      <c r="CT8" t="e">
        <f>#REF!</f>
        <v>#REF!</v>
      </c>
      <c r="CU8" t="e">
        <f>#REF!*(#REF!-#REF!)/(#REF!-#REF!)</f>
        <v>#REF!</v>
      </c>
      <c r="CZ8" t="e">
        <f>#REF!</f>
        <v>#REF!</v>
      </c>
      <c r="DA8" t="e">
        <f>#REF!*(#REF!-#REF!)/(#REF!-#REF!)</f>
        <v>#REF!</v>
      </c>
      <c r="DB8" t="e">
        <f>#REF!</f>
        <v>#REF!</v>
      </c>
      <c r="DC8" t="e">
        <f>#REF!*(#REF!-#REF!)/(#REF!-#REF!)</f>
        <v>#REF!</v>
      </c>
      <c r="DD8" t="e">
        <f>#REF!</f>
        <v>#REF!</v>
      </c>
      <c r="DE8" t="e">
        <f>#REF!*(#REF!-#REF!)/(#REF!-#REF!)</f>
        <v>#REF!</v>
      </c>
      <c r="DP8" t="e">
        <f>#REF!</f>
        <v>#REF!</v>
      </c>
      <c r="DQ8" t="e">
        <f>#REF!*(#REF!-#REF!)/(#REF!-#REF!)</f>
        <v>#REF!</v>
      </c>
      <c r="DR8" t="e">
        <f>#REF!</f>
        <v>#REF!</v>
      </c>
      <c r="DS8" t="e">
        <f>#REF!*(#REF!-#REF!)/(#REF!-#REF!)</f>
        <v>#REF!</v>
      </c>
      <c r="DT8" t="e">
        <f>#REF!</f>
        <v>#REF!</v>
      </c>
      <c r="DU8" t="e">
        <f>#REF!*(#REF!-#REF!)/(#REF!-#REF!)</f>
        <v>#REF!</v>
      </c>
      <c r="DV8" t="e">
        <f>#REF!</f>
        <v>#REF!</v>
      </c>
      <c r="DW8" t="e">
        <f>#REF!*(#REF!-#REF!)/(#REF!-#REF!)</f>
        <v>#REF!</v>
      </c>
      <c r="DX8" t="e">
        <f>#REF!</f>
        <v>#REF!</v>
      </c>
      <c r="DY8" t="e">
        <f>#REF!*(#REF!-#REF!)/(#REF!-#REF!)</f>
        <v>#REF!</v>
      </c>
      <c r="DZ8" t="e">
        <f>#REF!</f>
        <v>#REF!</v>
      </c>
      <c r="EA8" t="e">
        <f>#REF!*(#REF!-#REF!)/(#REF!-#REF!)</f>
        <v>#REF!</v>
      </c>
      <c r="EB8" t="e">
        <f>#REF!</f>
        <v>#REF!</v>
      </c>
      <c r="EC8" t="e">
        <f>#REF!*(#REF!-#REF!)/(#REF!-#REF!)</f>
        <v>#REF!</v>
      </c>
      <c r="ED8" t="e">
        <f>#REF!</f>
        <v>#REF!</v>
      </c>
      <c r="EE8" t="e">
        <f>#REF!*(#REF!-#REF!)/(#REF!-#REF!)</f>
        <v>#REF!</v>
      </c>
      <c r="EF8" t="e">
        <f>#REF!</f>
        <v>#REF!</v>
      </c>
      <c r="EG8" t="e">
        <f>#REF!*(#REF!-#REF!)/(#REF!-#REF!)</f>
        <v>#REF!</v>
      </c>
      <c r="EH8" t="e">
        <f>#REF!</f>
        <v>#REF!</v>
      </c>
      <c r="EI8" t="e">
        <f>#REF!*(#REF!-#REF!)/(#REF!-#REF!)</f>
        <v>#REF!</v>
      </c>
      <c r="EL8" t="e">
        <f>#REF!</f>
        <v>#REF!</v>
      </c>
      <c r="EM8" t="e">
        <f>#REF!*(#REF!-#REF!)/(#REF!-#REF!)</f>
        <v>#REF!</v>
      </c>
      <c r="EN8" t="e">
        <f>#REF!</f>
        <v>#REF!</v>
      </c>
      <c r="EO8" t="e">
        <f>#REF!*(#REF!-#REF!)/(#REF!-#REF!)</f>
        <v>#REF!</v>
      </c>
      <c r="EP8" t="e">
        <f>#REF!</f>
        <v>#REF!</v>
      </c>
      <c r="EQ8" t="e">
        <f>#REF!*(#REF!-#REF!)/(#REF!-#REF!)</f>
        <v>#REF!</v>
      </c>
      <c r="ER8" t="e">
        <f>#REF!</f>
        <v>#REF!</v>
      </c>
      <c r="ES8" t="e">
        <f>#REF!*(#REF!-#REF!)/(#REF!-#REF!)</f>
        <v>#REF!</v>
      </c>
      <c r="EV8" t="e">
        <f>#REF!</f>
        <v>#REF!</v>
      </c>
      <c r="EW8" t="e">
        <f>#REF!*(#REF!-#REF!)/(#REF!-#REF!)</f>
        <v>#REF!</v>
      </c>
      <c r="EX8" t="e">
        <f>#REF!</f>
        <v>#REF!</v>
      </c>
      <c r="EY8" t="e">
        <f>#REF!*(#REF!-#REF!)/(#REF!-#REF!)</f>
        <v>#REF!</v>
      </c>
      <c r="EZ8" t="e">
        <f>#REF!</f>
        <v>#REF!</v>
      </c>
      <c r="FA8" t="e">
        <f>#REF!*(#REF!-#REF!)/(#REF!-#REF!)</f>
        <v>#REF!</v>
      </c>
      <c r="FB8" t="e">
        <f>#REF!</f>
        <v>#REF!</v>
      </c>
      <c r="FC8" t="e">
        <f>#REF!*(#REF!-#REF!)/(#REF!-#REF!)</f>
        <v>#REF!</v>
      </c>
      <c r="FD8" t="e">
        <f>#REF!</f>
        <v>#REF!</v>
      </c>
      <c r="FE8" t="e">
        <f>#REF!*(#REF!-#REF!)/(#REF!-#REF!)</f>
        <v>#REF!</v>
      </c>
      <c r="FH8" t="e">
        <f>#REF!</f>
        <v>#REF!</v>
      </c>
      <c r="FI8" t="e">
        <f>#REF!*(#REF!-#REF!)/(#REF!-#REF!)</f>
        <v>#REF!</v>
      </c>
      <c r="FJ8" t="e">
        <f>#REF!</f>
        <v>#REF!</v>
      </c>
      <c r="FK8" t="e">
        <f>#REF!*(#REF!-#REF!)/(#REF!-#REF!)</f>
        <v>#REF!</v>
      </c>
      <c r="FL8" t="e">
        <f>#REF!</f>
        <v>#REF!</v>
      </c>
      <c r="FM8" t="e">
        <f>#REF!*(#REF!-#REF!)/(#REF!-#REF!)</f>
        <v>#REF!</v>
      </c>
      <c r="FN8" t="e">
        <f>#REF!</f>
        <v>#REF!</v>
      </c>
      <c r="FO8" t="e">
        <f>#REF!*(#REF!-#REF!)/(#REF!-#REF!)</f>
        <v>#REF!</v>
      </c>
      <c r="FP8" t="e">
        <f>#REF!</f>
        <v>#REF!</v>
      </c>
      <c r="FQ8" t="e">
        <f>#REF!*(#REF!-#REF!)/(#REF!-#REF!)</f>
        <v>#REF!</v>
      </c>
      <c r="FR8" t="e">
        <f>#REF!</f>
        <v>#REF!</v>
      </c>
      <c r="FS8" t="e">
        <f>#REF!*(#REF!-#REF!)/(#REF!-#REF!)</f>
        <v>#REF!</v>
      </c>
      <c r="FT8" t="e">
        <f>#REF!</f>
        <v>#REF!</v>
      </c>
      <c r="FU8" t="e">
        <f>#REF!*(#REF!-#REF!)/(#REF!-#REF!)</f>
        <v>#REF!</v>
      </c>
      <c r="FX8" t="e">
        <f>#REF!</f>
        <v>#REF!</v>
      </c>
      <c r="FY8" t="e">
        <f>#REF!*(#REF!-#REF!)/(#REF!-#REF!)</f>
        <v>#REF!</v>
      </c>
      <c r="FZ8" t="e">
        <f>#REF!</f>
        <v>#REF!</v>
      </c>
      <c r="GA8" t="e">
        <f>#REF!*(#REF!-#REF!)/(#REF!-#REF!)</f>
        <v>#REF!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</row>
    <row r="9" spans="1:285" x14ac:dyDescent="0.25">
      <c r="AP9" t="e">
        <f>#REF!</f>
        <v>#REF!</v>
      </c>
      <c r="AQ9" t="e">
        <f>#REF!*(#REF!-#REF!)/(#REF!-#REF!)</f>
        <v>#REF!</v>
      </c>
      <c r="AR9" t="e">
        <f>#REF!</f>
        <v>#REF!</v>
      </c>
      <c r="AS9" t="e">
        <f>#REF!*(#REF!-#REF!)/(#REF!-#REF!)</f>
        <v>#REF!</v>
      </c>
      <c r="AT9" t="e">
        <f>#REF!</f>
        <v>#REF!</v>
      </c>
      <c r="AU9" t="e">
        <f>#REF!*(#REF!-#REF!)/(#REF!-#REF!)</f>
        <v>#REF!</v>
      </c>
      <c r="AV9" t="e">
        <f>#REF!</f>
        <v>#REF!</v>
      </c>
      <c r="AW9" t="e">
        <f>#REF!*(#REF!-#REF!)/(#REF!-#REF!)</f>
        <v>#REF!</v>
      </c>
      <c r="AX9" t="e">
        <f>#REF!</f>
        <v>#REF!</v>
      </c>
      <c r="AY9" t="e">
        <f>#REF!*(#REF!-#REF!)/(#REF!-#REF!)</f>
        <v>#REF!</v>
      </c>
      <c r="AZ9" t="e">
        <f>#REF!</f>
        <v>#REF!</v>
      </c>
      <c r="BA9" t="e">
        <f>#REF!*(#REF!-#REF!)/(#REF!-#REF!)</f>
        <v>#REF!</v>
      </c>
      <c r="BB9" t="e">
        <f>#REF!</f>
        <v>#REF!</v>
      </c>
      <c r="BC9" t="e">
        <f>#REF!*(#REF!-#REF!)/(#REF!-#REF!)</f>
        <v>#REF!</v>
      </c>
      <c r="BD9" t="e">
        <f>#REF!</f>
        <v>#REF!</v>
      </c>
      <c r="BE9" t="e">
        <f>#REF!*(#REF!-#REF!)/(#REF!-#REF!)</f>
        <v>#REF!</v>
      </c>
      <c r="BF9" t="e">
        <f>#REF!</f>
        <v>#REF!</v>
      </c>
      <c r="BG9" t="e">
        <f>#REF!*(#REF!-#REF!)/(#REF!-#REF!)</f>
        <v>#REF!</v>
      </c>
      <c r="BH9" t="e">
        <f>#REF!</f>
        <v>#REF!</v>
      </c>
      <c r="BI9" t="e">
        <f>#REF!*(#REF!-#REF!)/(#REF!-#REF!)</f>
        <v>#REF!</v>
      </c>
      <c r="BJ9" t="e">
        <f>#REF!</f>
        <v>#REF!</v>
      </c>
      <c r="BK9" t="e">
        <f>#REF!*(#REF!-#REF!)/(#REF!-#REF!)</f>
        <v>#REF!</v>
      </c>
      <c r="BL9" t="e">
        <f>#REF!</f>
        <v>#REF!</v>
      </c>
      <c r="BM9" t="e">
        <f>#REF!*(#REF!-#REF!)/(#REF!-#REF!)</f>
        <v>#REF!</v>
      </c>
      <c r="BN9" t="e">
        <f>#REF!</f>
        <v>#REF!</v>
      </c>
      <c r="BO9" t="e">
        <f>#REF!*(#REF!-#REF!)/(#REF!-#REF!)</f>
        <v>#REF!</v>
      </c>
      <c r="BR9" t="e">
        <f>#REF!</f>
        <v>#REF!</v>
      </c>
      <c r="BS9" t="e">
        <f>#REF!*(#REF!-#REF!)/(#REF!-#REF!)</f>
        <v>#REF!</v>
      </c>
      <c r="BT9" t="e">
        <f>#REF!</f>
        <v>#REF!</v>
      </c>
      <c r="BU9" t="e">
        <f>#REF!*(#REF!-#REF!)/(#REF!-#REF!)</f>
        <v>#REF!</v>
      </c>
      <c r="BV9" t="e">
        <f>#REF!</f>
        <v>#REF!</v>
      </c>
      <c r="BW9" t="e">
        <f>#REF!*(#REF!-#REF!)/(#REF!-#REF!)</f>
        <v>#REF!</v>
      </c>
      <c r="CB9" t="e">
        <f>#REF!</f>
        <v>#REF!</v>
      </c>
      <c r="CC9" t="e">
        <f>#REF!*(#REF!-#REF!)/(#REF!-#REF!)</f>
        <v>#REF!</v>
      </c>
      <c r="CF9" t="e">
        <f>#REF!</f>
        <v>#REF!</v>
      </c>
      <c r="CG9" t="e">
        <f>#REF!*(#REF!-#REF!)/(#REF!-#REF!)</f>
        <v>#REF!</v>
      </c>
      <c r="CH9" t="e">
        <f>#REF!</f>
        <v>#REF!</v>
      </c>
      <c r="CI9" t="e">
        <f>#REF!*(#REF!-#REF!)/(#REF!-#REF!)</f>
        <v>#REF!</v>
      </c>
      <c r="CN9" t="e">
        <f>#REF!</f>
        <v>#REF!</v>
      </c>
      <c r="CO9" t="e">
        <f>#REF!*(#REF!-#REF!)/(#REF!-#REF!)</f>
        <v>#REF!</v>
      </c>
      <c r="CP9" t="e">
        <f>#REF!</f>
        <v>#REF!</v>
      </c>
      <c r="CQ9" t="e">
        <f>#REF!*(#REF!-#REF!)/(#REF!-#REF!)</f>
        <v>#REF!</v>
      </c>
      <c r="CR9" t="e">
        <f>#REF!</f>
        <v>#REF!</v>
      </c>
      <c r="CS9" t="e">
        <f>#REF!*(#REF!-#REF!)/(#REF!-#REF!)</f>
        <v>#REF!</v>
      </c>
      <c r="CT9" t="e">
        <f>#REF!</f>
        <v>#REF!</v>
      </c>
      <c r="CU9" t="e">
        <f>#REF!*(#REF!-#REF!)/(#REF!-#REF!)</f>
        <v>#REF!</v>
      </c>
      <c r="CZ9" t="e">
        <f>#REF!</f>
        <v>#REF!</v>
      </c>
      <c r="DA9" t="e">
        <f>#REF!*(#REF!-#REF!)/(#REF!-#REF!)</f>
        <v>#REF!</v>
      </c>
      <c r="DB9" t="e">
        <f>#REF!</f>
        <v>#REF!</v>
      </c>
      <c r="DC9" t="e">
        <f>#REF!*(#REF!-#REF!)/(#REF!-#REF!)</f>
        <v>#REF!</v>
      </c>
      <c r="DD9" t="e">
        <f>#REF!</f>
        <v>#REF!</v>
      </c>
      <c r="DE9" t="e">
        <f>#REF!*(#REF!-#REF!)/(#REF!-#REF!)</f>
        <v>#REF!</v>
      </c>
      <c r="DP9" t="e">
        <f>#REF!</f>
        <v>#REF!</v>
      </c>
      <c r="DQ9" t="e">
        <f>#REF!*(#REF!-#REF!)/(#REF!-#REF!)</f>
        <v>#REF!</v>
      </c>
      <c r="DR9" t="e">
        <f>#REF!</f>
        <v>#REF!</v>
      </c>
      <c r="DS9" t="e">
        <f>#REF!*(#REF!-#REF!)/(#REF!-#REF!)</f>
        <v>#REF!</v>
      </c>
      <c r="DT9" t="e">
        <f>#REF!</f>
        <v>#REF!</v>
      </c>
      <c r="DU9" t="e">
        <f>#REF!*(#REF!-#REF!)/(#REF!-#REF!)</f>
        <v>#REF!</v>
      </c>
      <c r="DV9" t="e">
        <f>#REF!</f>
        <v>#REF!</v>
      </c>
      <c r="DW9" t="e">
        <f>#REF!*(#REF!-#REF!)/(#REF!-#REF!)</f>
        <v>#REF!</v>
      </c>
      <c r="DX9" t="e">
        <f>#REF!</f>
        <v>#REF!</v>
      </c>
      <c r="DY9" t="e">
        <f>#REF!*(#REF!-#REF!)/(#REF!-#REF!)</f>
        <v>#REF!</v>
      </c>
      <c r="DZ9" t="e">
        <f>#REF!</f>
        <v>#REF!</v>
      </c>
      <c r="EA9" t="e">
        <f>#REF!*(#REF!-#REF!)/(#REF!-#REF!)</f>
        <v>#REF!</v>
      </c>
      <c r="EB9" t="e">
        <f>#REF!</f>
        <v>#REF!</v>
      </c>
      <c r="EC9" t="e">
        <f>#REF!*(#REF!-#REF!)/(#REF!-#REF!)</f>
        <v>#REF!</v>
      </c>
      <c r="ED9" t="e">
        <f>#REF!</f>
        <v>#REF!</v>
      </c>
      <c r="EE9" t="e">
        <f>#REF!*(#REF!-#REF!)/(#REF!-#REF!)</f>
        <v>#REF!</v>
      </c>
      <c r="EF9" t="e">
        <f>#REF!</f>
        <v>#REF!</v>
      </c>
      <c r="EG9" t="e">
        <f>#REF!*(#REF!-#REF!)/(#REF!-#REF!)</f>
        <v>#REF!</v>
      </c>
      <c r="EH9" t="e">
        <f>#REF!</f>
        <v>#REF!</v>
      </c>
      <c r="EI9" t="e">
        <f>#REF!*(#REF!-#REF!)/(#REF!-#REF!)</f>
        <v>#REF!</v>
      </c>
      <c r="EL9" t="e">
        <f>#REF!</f>
        <v>#REF!</v>
      </c>
      <c r="EM9" t="e">
        <f>#REF!*(#REF!-#REF!)/(#REF!-#REF!)</f>
        <v>#REF!</v>
      </c>
      <c r="EN9" t="e">
        <f>#REF!</f>
        <v>#REF!</v>
      </c>
      <c r="EO9" t="e">
        <f>#REF!*(#REF!-#REF!)/(#REF!-#REF!)</f>
        <v>#REF!</v>
      </c>
      <c r="EP9" t="e">
        <f>#REF!</f>
        <v>#REF!</v>
      </c>
      <c r="EQ9" t="e">
        <f>#REF!*(#REF!-#REF!)/(#REF!-#REF!)</f>
        <v>#REF!</v>
      </c>
      <c r="ER9" t="e">
        <f>#REF!</f>
        <v>#REF!</v>
      </c>
      <c r="ES9" t="e">
        <f>#REF!*(#REF!-#REF!)/(#REF!-#REF!)</f>
        <v>#REF!</v>
      </c>
      <c r="EV9" t="e">
        <f>#REF!</f>
        <v>#REF!</v>
      </c>
      <c r="EW9" t="e">
        <f>#REF!*(#REF!-#REF!)/(#REF!-#REF!)</f>
        <v>#REF!</v>
      </c>
      <c r="EX9" t="e">
        <f>#REF!</f>
        <v>#REF!</v>
      </c>
      <c r="EY9" t="e">
        <f>#REF!*(#REF!-#REF!)/(#REF!-#REF!)</f>
        <v>#REF!</v>
      </c>
      <c r="EZ9" t="e">
        <f>#REF!</f>
        <v>#REF!</v>
      </c>
      <c r="FA9" t="e">
        <f>#REF!*(#REF!-#REF!)/(#REF!-#REF!)</f>
        <v>#REF!</v>
      </c>
      <c r="FB9" t="e">
        <f>#REF!</f>
        <v>#REF!</v>
      </c>
      <c r="FC9" t="e">
        <f>#REF!*(#REF!-#REF!)/(#REF!-#REF!)</f>
        <v>#REF!</v>
      </c>
      <c r="FD9" t="e">
        <f>#REF!</f>
        <v>#REF!</v>
      </c>
      <c r="FE9" t="e">
        <f>#REF!*(#REF!-#REF!)/(#REF!-#REF!)</f>
        <v>#REF!</v>
      </c>
      <c r="FH9" t="e">
        <f>#REF!</f>
        <v>#REF!</v>
      </c>
      <c r="FI9" t="e">
        <f>#REF!*(#REF!-#REF!)/(#REF!-#REF!)</f>
        <v>#REF!</v>
      </c>
      <c r="FJ9" t="e">
        <f>#REF!</f>
        <v>#REF!</v>
      </c>
      <c r="FK9" t="e">
        <f>#REF!*(#REF!-#REF!)/(#REF!-#REF!)</f>
        <v>#REF!</v>
      </c>
      <c r="FL9" t="e">
        <f>#REF!</f>
        <v>#REF!</v>
      </c>
      <c r="FM9" t="e">
        <f>#REF!*(#REF!-#REF!)/(#REF!-#REF!)</f>
        <v>#REF!</v>
      </c>
      <c r="FN9" t="e">
        <f>#REF!</f>
        <v>#REF!</v>
      </c>
      <c r="FO9" t="e">
        <f>#REF!*(#REF!-#REF!)/(#REF!-#REF!)</f>
        <v>#REF!</v>
      </c>
      <c r="FP9" t="e">
        <f>#REF!</f>
        <v>#REF!</v>
      </c>
      <c r="FQ9" t="e">
        <f>#REF!*(#REF!-#REF!)/(#REF!-#REF!)</f>
        <v>#REF!</v>
      </c>
      <c r="FR9" t="e">
        <f>#REF!</f>
        <v>#REF!</v>
      </c>
      <c r="FS9" t="e">
        <f>#REF!*(#REF!-#REF!)/(#REF!-#REF!)</f>
        <v>#REF!</v>
      </c>
      <c r="FT9" t="e">
        <f>#REF!</f>
        <v>#REF!</v>
      </c>
      <c r="FU9" t="e">
        <f>#REF!*(#REF!-#REF!)/(#REF!-#REF!)</f>
        <v>#REF!</v>
      </c>
      <c r="FX9" t="e">
        <f>#REF!</f>
        <v>#REF!</v>
      </c>
      <c r="FY9" t="e">
        <f>#REF!*(#REF!-#REF!)/(#REF!-#REF!)</f>
        <v>#REF!</v>
      </c>
      <c r="FZ9" t="e">
        <f>#REF!</f>
        <v>#REF!</v>
      </c>
      <c r="GA9" t="e">
        <f>#REF!*(#REF!-#REF!)/(#REF!-#REF!)</f>
        <v>#REF!</v>
      </c>
    </row>
    <row r="10" spans="1:285" x14ac:dyDescent="0.25">
      <c r="AP10" t="e">
        <f>#REF!</f>
        <v>#REF!</v>
      </c>
      <c r="AQ10" t="e">
        <f>#REF!*(#REF!-#REF!)/(#REF!-#REF!)</f>
        <v>#REF!</v>
      </c>
      <c r="AR10" t="e">
        <f>#REF!</f>
        <v>#REF!</v>
      </c>
      <c r="AS10" t="e">
        <f>#REF!*(#REF!-#REF!)/(#REF!-#REF!)</f>
        <v>#REF!</v>
      </c>
      <c r="AT10" t="e">
        <f>#REF!</f>
        <v>#REF!</v>
      </c>
      <c r="AU10" t="e">
        <f>#REF!*(#REF!-#REF!)/(#REF!-#REF!)</f>
        <v>#REF!</v>
      </c>
      <c r="AV10" t="e">
        <f>#REF!</f>
        <v>#REF!</v>
      </c>
      <c r="AW10" t="e">
        <f>#REF!*(#REF!-#REF!)/(#REF!-#REF!)</f>
        <v>#REF!</v>
      </c>
      <c r="AX10" t="e">
        <f>#REF!</f>
        <v>#REF!</v>
      </c>
      <c r="AY10" t="e">
        <f>#REF!*(#REF!-#REF!)/(#REF!-#REF!)</f>
        <v>#REF!</v>
      </c>
      <c r="AZ10" t="e">
        <f>#REF!</f>
        <v>#REF!</v>
      </c>
      <c r="BA10" t="e">
        <f>#REF!*(#REF!-#REF!)/(#REF!-#REF!)</f>
        <v>#REF!</v>
      </c>
      <c r="BB10" t="e">
        <f>#REF!</f>
        <v>#REF!</v>
      </c>
      <c r="BC10" t="e">
        <f>#REF!*(#REF!-#REF!)/(#REF!-#REF!)</f>
        <v>#REF!</v>
      </c>
      <c r="BD10" t="e">
        <f>#REF!</f>
        <v>#REF!</v>
      </c>
      <c r="BE10" t="e">
        <f>#REF!*(#REF!-#REF!)/(#REF!-#REF!)</f>
        <v>#REF!</v>
      </c>
      <c r="BF10" t="e">
        <f>#REF!</f>
        <v>#REF!</v>
      </c>
      <c r="BG10" t="e">
        <f>#REF!*(#REF!-#REF!)/(#REF!-#REF!)</f>
        <v>#REF!</v>
      </c>
      <c r="BH10" t="e">
        <f>#REF!</f>
        <v>#REF!</v>
      </c>
      <c r="BI10" t="e">
        <f>#REF!*(#REF!-#REF!)/(#REF!-#REF!)</f>
        <v>#REF!</v>
      </c>
      <c r="BJ10" t="e">
        <f>#REF!</f>
        <v>#REF!</v>
      </c>
      <c r="BK10" t="e">
        <f>#REF!*(#REF!-#REF!)/(#REF!-#REF!)</f>
        <v>#REF!</v>
      </c>
      <c r="BL10" t="e">
        <f>#REF!</f>
        <v>#REF!</v>
      </c>
      <c r="BM10" t="e">
        <f>#REF!*(#REF!-#REF!)/(#REF!-#REF!)</f>
        <v>#REF!</v>
      </c>
      <c r="BN10" t="e">
        <f>#REF!</f>
        <v>#REF!</v>
      </c>
      <c r="BO10" t="e">
        <f>#REF!*(#REF!-#REF!)/(#REF!-#REF!)</f>
        <v>#REF!</v>
      </c>
      <c r="BR10" t="e">
        <f>#REF!</f>
        <v>#REF!</v>
      </c>
      <c r="BS10" t="e">
        <f>#REF!*(#REF!-#REF!)/(#REF!-#REF!)</f>
        <v>#REF!</v>
      </c>
      <c r="BT10" t="e">
        <f>#REF!</f>
        <v>#REF!</v>
      </c>
      <c r="BU10" t="e">
        <f>#REF!*(#REF!-#REF!)/(#REF!-#REF!)</f>
        <v>#REF!</v>
      </c>
      <c r="BV10" t="e">
        <f>#REF!</f>
        <v>#REF!</v>
      </c>
      <c r="BW10" t="e">
        <f>#REF!*(#REF!-#REF!)/(#REF!-#REF!)</f>
        <v>#REF!</v>
      </c>
      <c r="CB10" t="e">
        <f>#REF!</f>
        <v>#REF!</v>
      </c>
      <c r="CC10" t="e">
        <f>#REF!*(#REF!-#REF!)/(#REF!-#REF!)</f>
        <v>#REF!</v>
      </c>
      <c r="CF10" t="e">
        <f>#REF!</f>
        <v>#REF!</v>
      </c>
      <c r="CG10" t="e">
        <f>#REF!*(#REF!-#REF!)/(#REF!-#REF!)</f>
        <v>#REF!</v>
      </c>
      <c r="CH10" t="e">
        <f>#REF!</f>
        <v>#REF!</v>
      </c>
      <c r="CI10" t="e">
        <f>#REF!*(#REF!-#REF!)/(#REF!-#REF!)</f>
        <v>#REF!</v>
      </c>
      <c r="CN10" t="e">
        <f>#REF!</f>
        <v>#REF!</v>
      </c>
      <c r="CO10" t="e">
        <f>#REF!*(#REF!-#REF!)/(#REF!-#REF!)</f>
        <v>#REF!</v>
      </c>
      <c r="CP10" t="e">
        <f>#REF!</f>
        <v>#REF!</v>
      </c>
      <c r="CQ10" t="e">
        <f>#REF!*(#REF!-#REF!)/(#REF!-#REF!)</f>
        <v>#REF!</v>
      </c>
      <c r="CR10" t="e">
        <f>#REF!</f>
        <v>#REF!</v>
      </c>
      <c r="CS10" t="e">
        <f>#REF!*(#REF!-#REF!)/(#REF!-#REF!)</f>
        <v>#REF!</v>
      </c>
      <c r="CT10" t="e">
        <f>#REF!</f>
        <v>#REF!</v>
      </c>
      <c r="CU10" t="e">
        <f>#REF!*(#REF!-#REF!)/(#REF!-#REF!)</f>
        <v>#REF!</v>
      </c>
      <c r="CZ10" t="e">
        <f>#REF!</f>
        <v>#REF!</v>
      </c>
      <c r="DA10" t="e">
        <f>#REF!*(#REF!-#REF!)/(#REF!-#REF!)</f>
        <v>#REF!</v>
      </c>
      <c r="DB10" t="e">
        <f>#REF!</f>
        <v>#REF!</v>
      </c>
      <c r="DC10" t="e">
        <f>#REF!*(#REF!-#REF!)/(#REF!-#REF!)</f>
        <v>#REF!</v>
      </c>
      <c r="DD10" t="e">
        <f>#REF!</f>
        <v>#REF!</v>
      </c>
      <c r="DE10" t="e">
        <f>#REF!*(#REF!-#REF!)/(#REF!-#REF!)</f>
        <v>#REF!</v>
      </c>
      <c r="DP10" t="e">
        <f>#REF!</f>
        <v>#REF!</v>
      </c>
      <c r="DQ10" t="e">
        <f>#REF!*(#REF!-#REF!)/(#REF!-#REF!)</f>
        <v>#REF!</v>
      </c>
      <c r="DR10" t="e">
        <f>#REF!</f>
        <v>#REF!</v>
      </c>
      <c r="DS10" t="e">
        <f>#REF!*(#REF!-#REF!)/(#REF!-#REF!)</f>
        <v>#REF!</v>
      </c>
      <c r="DT10" t="e">
        <f>#REF!</f>
        <v>#REF!</v>
      </c>
      <c r="DU10" t="e">
        <f>#REF!*(#REF!-#REF!)/(#REF!-#REF!)</f>
        <v>#REF!</v>
      </c>
      <c r="DV10" t="e">
        <f>#REF!</f>
        <v>#REF!</v>
      </c>
      <c r="DW10" t="e">
        <f>#REF!*(#REF!-#REF!)/(#REF!-#REF!)</f>
        <v>#REF!</v>
      </c>
      <c r="DX10" t="e">
        <f>#REF!</f>
        <v>#REF!</v>
      </c>
      <c r="DY10" t="e">
        <f>#REF!*(#REF!-#REF!)/(#REF!-#REF!)</f>
        <v>#REF!</v>
      </c>
      <c r="DZ10" t="e">
        <f>#REF!</f>
        <v>#REF!</v>
      </c>
      <c r="EA10" t="e">
        <f>#REF!*(#REF!-#REF!)/(#REF!-#REF!)</f>
        <v>#REF!</v>
      </c>
      <c r="EB10" t="e">
        <f>#REF!</f>
        <v>#REF!</v>
      </c>
      <c r="EC10" t="e">
        <f>#REF!*(#REF!-#REF!)/(#REF!-#REF!)</f>
        <v>#REF!</v>
      </c>
      <c r="ED10" t="e">
        <f>#REF!</f>
        <v>#REF!</v>
      </c>
      <c r="EE10" t="e">
        <f>#REF!*(#REF!-#REF!)/(#REF!-#REF!)</f>
        <v>#REF!</v>
      </c>
      <c r="EF10" t="e">
        <f>#REF!</f>
        <v>#REF!</v>
      </c>
      <c r="EG10" t="e">
        <f>#REF!*(#REF!-#REF!)/(#REF!-#REF!)</f>
        <v>#REF!</v>
      </c>
      <c r="EH10" t="e">
        <f>#REF!</f>
        <v>#REF!</v>
      </c>
      <c r="EI10" t="e">
        <f>#REF!*(#REF!-#REF!)/(#REF!-#REF!)</f>
        <v>#REF!</v>
      </c>
      <c r="EL10" t="e">
        <f>#REF!</f>
        <v>#REF!</v>
      </c>
      <c r="EM10" t="e">
        <f>#REF!*(#REF!-#REF!)/(#REF!-#REF!)</f>
        <v>#REF!</v>
      </c>
      <c r="EN10" t="e">
        <f>#REF!</f>
        <v>#REF!</v>
      </c>
      <c r="EO10" t="e">
        <f>#REF!*(#REF!-#REF!)/(#REF!-#REF!)</f>
        <v>#REF!</v>
      </c>
      <c r="EP10" t="e">
        <f>#REF!</f>
        <v>#REF!</v>
      </c>
      <c r="EQ10" t="e">
        <f>#REF!*(#REF!-#REF!)/(#REF!-#REF!)</f>
        <v>#REF!</v>
      </c>
      <c r="ER10" t="e">
        <f>#REF!</f>
        <v>#REF!</v>
      </c>
      <c r="ES10" t="e">
        <f>#REF!*(#REF!-#REF!)/(#REF!-#REF!)</f>
        <v>#REF!</v>
      </c>
      <c r="EV10" t="e">
        <f>#REF!</f>
        <v>#REF!</v>
      </c>
      <c r="EW10" t="e">
        <f>#REF!*(#REF!-#REF!)/(#REF!-#REF!)</f>
        <v>#REF!</v>
      </c>
      <c r="EX10" t="e">
        <f>#REF!</f>
        <v>#REF!</v>
      </c>
      <c r="EY10" t="e">
        <f>#REF!*(#REF!-#REF!)/(#REF!-#REF!)</f>
        <v>#REF!</v>
      </c>
      <c r="EZ10" t="e">
        <f>#REF!</f>
        <v>#REF!</v>
      </c>
      <c r="FA10" t="e">
        <f>#REF!*(#REF!-#REF!)/(#REF!-#REF!)</f>
        <v>#REF!</v>
      </c>
      <c r="FB10" t="e">
        <f>#REF!</f>
        <v>#REF!</v>
      </c>
      <c r="FC10" t="e">
        <f>#REF!*(#REF!-#REF!)/(#REF!-#REF!)</f>
        <v>#REF!</v>
      </c>
      <c r="FD10" t="e">
        <f>#REF!</f>
        <v>#REF!</v>
      </c>
      <c r="FE10" t="e">
        <f>#REF!*(#REF!-#REF!)/(#REF!-#REF!)</f>
        <v>#REF!</v>
      </c>
      <c r="FH10" t="e">
        <f>#REF!</f>
        <v>#REF!</v>
      </c>
      <c r="FI10" t="e">
        <f>#REF!*(#REF!-#REF!)/(#REF!-#REF!)</f>
        <v>#REF!</v>
      </c>
      <c r="FJ10" t="e">
        <f>#REF!</f>
        <v>#REF!</v>
      </c>
      <c r="FK10" t="e">
        <f>#REF!*(#REF!-#REF!)/(#REF!-#REF!)</f>
        <v>#REF!</v>
      </c>
      <c r="FL10" t="e">
        <f>#REF!</f>
        <v>#REF!</v>
      </c>
      <c r="FM10" t="e">
        <f>#REF!*(#REF!-#REF!)/(#REF!-#REF!)</f>
        <v>#REF!</v>
      </c>
      <c r="FN10" t="e">
        <f>#REF!</f>
        <v>#REF!</v>
      </c>
      <c r="FO10" t="e">
        <f>#REF!*(#REF!-#REF!)/(#REF!-#REF!)</f>
        <v>#REF!</v>
      </c>
      <c r="FP10" t="e">
        <f>#REF!</f>
        <v>#REF!</v>
      </c>
      <c r="FQ10" t="e">
        <f>#REF!*(#REF!-#REF!)/(#REF!-#REF!)</f>
        <v>#REF!</v>
      </c>
      <c r="FR10" t="e">
        <f>#REF!</f>
        <v>#REF!</v>
      </c>
      <c r="FS10" t="e">
        <f>#REF!*(#REF!-#REF!)/(#REF!-#REF!)</f>
        <v>#REF!</v>
      </c>
      <c r="FT10" t="e">
        <f>#REF!</f>
        <v>#REF!</v>
      </c>
      <c r="FU10" t="e">
        <f>#REF!*(#REF!-#REF!)/(#REF!-#REF!)</f>
        <v>#REF!</v>
      </c>
      <c r="FX10" t="e">
        <f>#REF!</f>
        <v>#REF!</v>
      </c>
      <c r="FY10" t="e">
        <f>#REF!*(#REF!-#REF!)/(#REF!-#REF!)</f>
        <v>#REF!</v>
      </c>
      <c r="FZ10" t="e">
        <f>#REF!</f>
        <v>#REF!</v>
      </c>
      <c r="GA10" t="e">
        <f>#REF!*(#REF!-#REF!)/(#REF!-#REF!)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Table"/>
  <dimension ref="A1:AM207"/>
  <sheetViews>
    <sheetView showGridLines="0" tabSelected="1" topLeftCell="E1" workbookViewId="0">
      <selection activeCell="AM2" sqref="AM2"/>
    </sheetView>
  </sheetViews>
  <sheetFormatPr defaultRowHeight="15" x14ac:dyDescent="0.25"/>
  <cols>
    <col min="1" max="16" width="0.140625" style="31" customWidth="1"/>
    <col min="17" max="26" width="6.42578125" customWidth="1"/>
    <col min="27" max="27" width="7.42578125" customWidth="1"/>
    <col min="28" max="28" width="7.5703125" customWidth="1"/>
    <col min="30" max="30" width="8.42578125" customWidth="1"/>
    <col min="35" max="35" width="19.5703125" customWidth="1"/>
  </cols>
  <sheetData>
    <row r="1" spans="1:36" ht="15.75" thickBot="1" x14ac:dyDescent="0.3">
      <c r="A1" s="30"/>
      <c r="B1" s="31" t="s">
        <v>4</v>
      </c>
      <c r="C1" s="31" t="s">
        <v>4</v>
      </c>
      <c r="D1" s="31" t="s">
        <v>4</v>
      </c>
      <c r="E1" s="31" t="s">
        <v>4</v>
      </c>
      <c r="F1" s="31" t="s">
        <v>4</v>
      </c>
      <c r="G1" s="31" t="s">
        <v>4</v>
      </c>
      <c r="N1" s="31" t="e">
        <f>EXP(INDEX(LINEST(LN($R$6:$R$7),$Q$6:$Q$7),1,2))</f>
        <v>#VALUE!</v>
      </c>
      <c r="O1" s="31" t="e">
        <f>SLOPE($T$7:$T$1000,$S$7:$S$1000)</f>
        <v>#DIV/0!</v>
      </c>
      <c r="P1" s="31" t="e">
        <f>EXP(INDEX(LINEST(LN($V$6:$V$7),LN($U$6:$U$7)),1,2))</f>
        <v>#VALUE!</v>
      </c>
      <c r="Q1">
        <f>MIN(Q7:Q1000,S7:S1000,U7:U1000)</f>
        <v>0</v>
      </c>
      <c r="W1" t="s">
        <v>29</v>
      </c>
    </row>
    <row r="2" spans="1:36" x14ac:dyDescent="0.25">
      <c r="N2" s="31" t="e">
        <f>INDEX(LINEST(LN($R$6:$R$7),$Q$6:$Q$7),1)</f>
        <v>#VALUE!</v>
      </c>
      <c r="O2" s="31" t="e">
        <f>INTERCEPT($T$7:$T$1000,$S$7:$S$1000)</f>
        <v>#DIV/0!</v>
      </c>
      <c r="P2" s="31" t="e">
        <f>INDEX(LINEST(LN($V$6:$V$7),LN($U$6:$U$7)),1)</f>
        <v>#VALUE!</v>
      </c>
      <c r="Q2">
        <f>MAX(Q7:Q1000,S7:S1000,U7:U1000)</f>
        <v>0</v>
      </c>
      <c r="W2" s="3" t="s">
        <v>0</v>
      </c>
      <c r="X2" s="4" t="s">
        <v>1</v>
      </c>
      <c r="Y2" s="3" t="s">
        <v>2</v>
      </c>
      <c r="Z2" s="5" t="s">
        <v>3</v>
      </c>
      <c r="AJ2" s="49" t="e" cm="1">
        <f t="array" ref="AJ2">"y = " &amp; betcif(N1,5) &amp; " ∙ " &amp; betcif(N2,5)</f>
        <v>#VALUE!</v>
      </c>
    </row>
    <row r="3" spans="1:36" ht="15.75" thickBot="1" x14ac:dyDescent="0.3">
      <c r="W3" s="6"/>
      <c r="X3" s="7"/>
      <c r="Y3" s="8"/>
      <c r="Z3" s="9"/>
      <c r="AJ3" s="49" t="e" cm="1">
        <f t="array" ref="AJ3">"y = " &amp; betcif(O1,5) &amp; " ∙ " &amp; betcif(O2,5)</f>
        <v>#VALUE!</v>
      </c>
    </row>
    <row r="4" spans="1:36" ht="14.45" customHeight="1" x14ac:dyDescent="0.25">
      <c r="A4" s="33" t="s">
        <v>12</v>
      </c>
      <c r="N4" s="31" t="e">
        <f>INDEX(LINEST($R$7:$R$10,$Q$7:$Q$10^{1,2,3}),1,4)</f>
        <v>#VALUE!</v>
      </c>
      <c r="AJ4" s="49" t="e" cm="1">
        <f t="array" ref="AJ4">"y = " &amp; betcif(P1,5) &amp; " ∙ " &amp; betcif(P2,5)</f>
        <v>#VALUE!</v>
      </c>
    </row>
    <row r="5" spans="1:36" ht="15.75" thickBot="1" x14ac:dyDescent="0.3">
      <c r="A5" s="32"/>
      <c r="Q5" s="1" t="s">
        <v>28</v>
      </c>
      <c r="S5" s="28"/>
      <c r="U5" s="28"/>
      <c r="W5" s="1" t="s">
        <v>30</v>
      </c>
      <c r="Y5" s="1" t="s">
        <v>31</v>
      </c>
    </row>
    <row r="6" spans="1:36" ht="15.75" thickBot="1" x14ac:dyDescent="0.3">
      <c r="A6" s="46" t="s">
        <v>4</v>
      </c>
      <c r="B6" s="46" t="s">
        <v>5</v>
      </c>
      <c r="C6" s="46" t="s">
        <v>6</v>
      </c>
      <c r="D6" s="46" t="s">
        <v>7</v>
      </c>
      <c r="E6" s="46" t="s">
        <v>8</v>
      </c>
      <c r="F6" s="46" t="s">
        <v>9</v>
      </c>
      <c r="G6" s="46" t="s">
        <v>10</v>
      </c>
      <c r="H6" s="46" t="s">
        <v>17</v>
      </c>
      <c r="I6" s="46"/>
      <c r="J6" s="46"/>
      <c r="K6" s="46"/>
      <c r="L6" s="46"/>
      <c r="M6" s="46"/>
      <c r="N6" s="31" t="e">
        <f>R6-$N$1*EXP($N$2*Q6)</f>
        <v>#VALUE!</v>
      </c>
      <c r="O6" s="31" t="e">
        <f>T6-($O$1*S6+$O$2)</f>
        <v>#VALUE!</v>
      </c>
      <c r="P6" s="31" t="e">
        <f>V6-$P$1*U6^$P$2</f>
        <v>#VALUE!</v>
      </c>
      <c r="Q6" s="34" t="s">
        <v>4</v>
      </c>
      <c r="R6" s="37" t="s">
        <v>11</v>
      </c>
      <c r="S6" s="35" t="s">
        <v>4</v>
      </c>
      <c r="T6" s="41" t="s">
        <v>11</v>
      </c>
      <c r="U6" s="35" t="s">
        <v>4</v>
      </c>
      <c r="V6" s="25" t="s">
        <v>11</v>
      </c>
      <c r="W6" s="14"/>
      <c r="X6" s="17"/>
      <c r="Y6" s="24" t="s">
        <v>4</v>
      </c>
      <c r="Z6" s="25" t="s">
        <v>11</v>
      </c>
    </row>
    <row r="7" spans="1:36" x14ac:dyDescent="0.25">
      <c r="A7" s="31">
        <f t="shared" ref="A7:A70" si="0">($X$3-$W$3)/200*(ROW(A6)-6)+$W$3</f>
        <v>0</v>
      </c>
      <c r="Q7" s="22"/>
      <c r="R7" s="38"/>
      <c r="S7" s="26"/>
      <c r="T7" s="38"/>
      <c r="U7" s="22"/>
      <c r="V7" s="38"/>
      <c r="W7" s="15"/>
      <c r="X7" s="18"/>
      <c r="Y7" s="26"/>
      <c r="Z7" s="23"/>
    </row>
    <row r="8" spans="1:36" x14ac:dyDescent="0.25">
      <c r="A8" s="31">
        <f t="shared" si="0"/>
        <v>0</v>
      </c>
      <c r="Q8" s="10"/>
      <c r="R8" s="39"/>
      <c r="S8" s="20"/>
      <c r="T8" s="39"/>
      <c r="U8" s="10"/>
      <c r="V8" s="39"/>
      <c r="W8" s="15"/>
      <c r="X8" s="18"/>
      <c r="Y8" s="20"/>
      <c r="Z8" s="11"/>
    </row>
    <row r="9" spans="1:36" x14ac:dyDescent="0.25">
      <c r="A9" s="31">
        <f t="shared" si="0"/>
        <v>0</v>
      </c>
      <c r="Q9" s="10"/>
      <c r="R9" s="39"/>
      <c r="S9" s="20"/>
      <c r="T9" s="39"/>
      <c r="U9" s="10"/>
      <c r="V9" s="39"/>
      <c r="W9" s="15"/>
      <c r="X9" s="18"/>
      <c r="Y9" s="20"/>
      <c r="Z9" s="11"/>
    </row>
    <row r="10" spans="1:36" x14ac:dyDescent="0.25">
      <c r="A10" s="31">
        <f t="shared" si="0"/>
        <v>0</v>
      </c>
      <c r="Q10" s="10"/>
      <c r="R10" s="39"/>
      <c r="S10" s="20"/>
      <c r="T10" s="39"/>
      <c r="U10" s="10"/>
      <c r="V10" s="39"/>
      <c r="W10" s="15"/>
      <c r="X10" s="18"/>
      <c r="Y10" s="20"/>
      <c r="Z10" s="11"/>
    </row>
    <row r="11" spans="1:36" ht="15.75" thickBot="1" x14ac:dyDescent="0.3">
      <c r="A11" s="31">
        <f t="shared" si="0"/>
        <v>0</v>
      </c>
      <c r="Q11" s="10"/>
      <c r="R11" s="39"/>
      <c r="S11" s="20"/>
      <c r="T11" s="39"/>
      <c r="U11" s="10"/>
      <c r="V11" s="39"/>
      <c r="W11" s="15"/>
      <c r="X11" s="18"/>
      <c r="Y11" s="21"/>
      <c r="Z11" s="16"/>
    </row>
    <row r="12" spans="1:36" x14ac:dyDescent="0.25">
      <c r="A12" s="31">
        <f t="shared" si="0"/>
        <v>0</v>
      </c>
      <c r="Q12" s="12"/>
      <c r="R12" s="40"/>
      <c r="S12" s="36"/>
      <c r="T12" s="40"/>
      <c r="U12" s="12"/>
      <c r="V12" s="40"/>
      <c r="W12" s="15"/>
      <c r="X12" s="18"/>
    </row>
    <row r="13" spans="1:36" x14ac:dyDescent="0.25">
      <c r="A13" s="31">
        <f t="shared" si="0"/>
        <v>0</v>
      </c>
      <c r="Q13" s="12"/>
      <c r="R13" s="40"/>
      <c r="S13" s="36"/>
      <c r="T13" s="40"/>
      <c r="U13" s="12"/>
      <c r="V13" s="40"/>
      <c r="W13" s="15"/>
      <c r="X13" s="18"/>
    </row>
    <row r="14" spans="1:36" x14ac:dyDescent="0.25">
      <c r="A14" s="31">
        <f t="shared" si="0"/>
        <v>0</v>
      </c>
      <c r="Q14" s="12"/>
      <c r="R14" s="40"/>
      <c r="S14" s="36"/>
      <c r="T14" s="40"/>
      <c r="U14" s="12"/>
      <c r="V14" s="40"/>
      <c r="W14" s="15"/>
      <c r="X14" s="18"/>
    </row>
    <row r="15" spans="1:36" x14ac:dyDescent="0.25">
      <c r="A15" s="31">
        <f t="shared" si="0"/>
        <v>0</v>
      </c>
      <c r="Q15" s="12"/>
      <c r="R15" s="40"/>
      <c r="S15" s="36"/>
      <c r="T15" s="40"/>
      <c r="U15" s="12"/>
      <c r="V15" s="40"/>
      <c r="W15" s="15"/>
      <c r="X15" s="18"/>
    </row>
    <row r="16" spans="1:36" x14ac:dyDescent="0.25">
      <c r="A16" s="31">
        <f t="shared" si="0"/>
        <v>0</v>
      </c>
      <c r="Q16" s="12"/>
      <c r="R16" s="40"/>
      <c r="S16" s="36"/>
      <c r="T16" s="40"/>
      <c r="U16" s="12"/>
      <c r="V16" s="40"/>
      <c r="W16" s="15"/>
      <c r="X16" s="18"/>
    </row>
    <row r="17" spans="1:39" x14ac:dyDescent="0.25">
      <c r="A17" s="31">
        <f t="shared" si="0"/>
        <v>0</v>
      </c>
      <c r="Q17" s="12"/>
      <c r="R17" s="40"/>
      <c r="S17" s="36"/>
      <c r="T17" s="40"/>
      <c r="U17" s="12"/>
      <c r="V17" s="40"/>
      <c r="W17" s="15"/>
      <c r="X17" s="18"/>
    </row>
    <row r="18" spans="1:39" x14ac:dyDescent="0.25">
      <c r="A18" s="31">
        <f t="shared" si="0"/>
        <v>0</v>
      </c>
      <c r="Q18" s="12"/>
      <c r="R18" s="40"/>
      <c r="S18" s="36"/>
      <c r="T18" s="40"/>
      <c r="U18" s="36"/>
      <c r="V18" s="40"/>
      <c r="W18" s="50"/>
      <c r="X18" s="18"/>
    </row>
    <row r="19" spans="1:39" x14ac:dyDescent="0.25">
      <c r="A19" s="31">
        <f t="shared" si="0"/>
        <v>0</v>
      </c>
      <c r="Q19" s="12"/>
      <c r="R19" s="40"/>
      <c r="S19" s="36"/>
      <c r="T19" s="40"/>
      <c r="U19" s="36"/>
      <c r="V19" s="40"/>
      <c r="W19" s="50"/>
      <c r="X19" s="18"/>
      <c r="AK19" s="1" t="s">
        <v>18</v>
      </c>
      <c r="AL19" s="1" t="s">
        <v>19</v>
      </c>
      <c r="AM19" s="1" t="s">
        <v>20</v>
      </c>
    </row>
    <row r="20" spans="1:39" ht="18.75" x14ac:dyDescent="0.35">
      <c r="A20" s="31">
        <f t="shared" si="0"/>
        <v>0</v>
      </c>
      <c r="Q20" s="12"/>
      <c r="R20" s="40"/>
      <c r="S20" s="36"/>
      <c r="T20" s="40"/>
      <c r="U20" s="36"/>
      <c r="V20" s="40"/>
      <c r="W20" s="50"/>
      <c r="X20" s="18"/>
      <c r="AJ20" s="45" t="s">
        <v>25</v>
      </c>
      <c r="AK20" s="42" t="str">
        <f>IF(Data!B4&lt;&gt;"",SQRT(SUMSQ(Data!B4:B1000)/(COUNT(Data!B4:B1000)-2)),"")</f>
        <v/>
      </c>
      <c r="AL20" s="42" t="str">
        <f>IF(Data!D4&lt;&gt;"",SQRT(SUMSQ(Data!D4:D1000)/(COUNT(Data!D4:D1000)-2)),"")</f>
        <v/>
      </c>
      <c r="AM20" s="42" t="str">
        <f>IF(Data!F4&lt;&gt;"",SQRT(SUMSQ(Data!F4:F1000)/(COUNT(Data!F4:F1000)-2)),"")</f>
        <v/>
      </c>
    </row>
    <row r="21" spans="1:39" x14ac:dyDescent="0.25">
      <c r="A21" s="31">
        <f t="shared" si="0"/>
        <v>0</v>
      </c>
      <c r="Q21" s="12"/>
      <c r="R21" s="40"/>
      <c r="S21" s="36"/>
      <c r="T21" s="40"/>
      <c r="U21" s="36"/>
      <c r="V21" s="40"/>
      <c r="W21" s="50"/>
      <c r="X21" s="18"/>
      <c r="AJ21" s="43" t="s">
        <v>23</v>
      </c>
      <c r="AK21" s="44" t="str">
        <f>IF(N3="LIN","±" &amp; _xlfn.T.INV.2T(0.05,COUNT(Data!A4:A1000)-2)*AK20/(SQRT(COUNT(Q$7:Q$1000))*AK26),"")</f>
        <v/>
      </c>
      <c r="AL21" t="str">
        <f>IF(O3="LIN","±" &amp; _xlfn.T.INV.2T(0.05,COUNT(Data!C4:C1000)-2)*AL20/(SQRT(COUNT(S$7:S$1000))*AL26),"")</f>
        <v/>
      </c>
      <c r="AM21" t="str">
        <f>IF(P3="LIN","±" &amp; _xlfn.T.INV.2T(0.05,COUNT(Data!E4:E1000)-2)*AM20/(SQRT(COUNT(U$7:U$1000))*AM26),"")</f>
        <v/>
      </c>
    </row>
    <row r="22" spans="1:39" x14ac:dyDescent="0.25">
      <c r="A22" s="31">
        <f t="shared" si="0"/>
        <v>0</v>
      </c>
      <c r="Q22" s="12"/>
      <c r="R22" s="40"/>
      <c r="S22" s="36"/>
      <c r="T22" s="40"/>
      <c r="U22" s="36"/>
      <c r="V22" s="40"/>
      <c r="W22" s="50"/>
      <c r="X22" s="18"/>
      <c r="AJ22" t="s">
        <v>26</v>
      </c>
      <c r="AK22" t="str">
        <f>IF(N7&lt;&gt;"",CORREL(Q7:Q1000,R7:R1000),"")</f>
        <v/>
      </c>
      <c r="AL22" t="str">
        <f>IF(O7&lt;&gt;"",CORREL(S7:S1000,T7:T1000),"")</f>
        <v/>
      </c>
      <c r="AM22" t="str">
        <f>IF(P7&lt;&gt;"",CORREL(U7:U1000,V7:V1000),"")</f>
        <v/>
      </c>
    </row>
    <row r="23" spans="1:39" ht="17.25" x14ac:dyDescent="0.25">
      <c r="A23" s="31">
        <f t="shared" si="0"/>
        <v>0</v>
      </c>
      <c r="Q23" s="12"/>
      <c r="R23" s="40"/>
      <c r="S23" s="36"/>
      <c r="T23" s="40"/>
      <c r="U23" s="36"/>
      <c r="V23" s="40"/>
      <c r="W23" s="50"/>
      <c r="X23" s="18"/>
      <c r="AJ23" t="s">
        <v>24</v>
      </c>
      <c r="AK23" t="str">
        <f>IF(AK22&lt;&gt;"",AK22^2,"")</f>
        <v/>
      </c>
      <c r="AL23" t="str">
        <f>IF(AL22&lt;&gt;"",AL22^2,"")</f>
        <v/>
      </c>
      <c r="AM23" t="str">
        <f>IF(AM22&lt;&gt;"",AM22^2,"")</f>
        <v/>
      </c>
    </row>
    <row r="24" spans="1:39" x14ac:dyDescent="0.25">
      <c r="A24" s="31">
        <f t="shared" si="0"/>
        <v>0</v>
      </c>
      <c r="Q24" s="12"/>
      <c r="R24" s="40"/>
      <c r="S24" s="36"/>
      <c r="T24" s="40"/>
      <c r="U24" s="36"/>
      <c r="V24" s="40"/>
      <c r="W24" s="50"/>
      <c r="X24" s="18"/>
    </row>
    <row r="25" spans="1:39" ht="15.75" thickBot="1" x14ac:dyDescent="0.3">
      <c r="A25" s="31">
        <f t="shared" si="0"/>
        <v>0</v>
      </c>
      <c r="Q25" s="12"/>
      <c r="R25" s="40"/>
      <c r="S25" s="36"/>
      <c r="T25" s="40"/>
      <c r="U25" s="36"/>
      <c r="V25" s="39"/>
      <c r="W25" s="51"/>
      <c r="X25" s="19"/>
      <c r="AJ25" t="s">
        <v>21</v>
      </c>
      <c r="AK25" t="str">
        <f>IF(Q7&lt;&gt;"",AVERAGE(Q7:Q1000),"")</f>
        <v/>
      </c>
      <c r="AL25" t="str">
        <f>IF(S7&lt;&gt;"",AVERAGE(S7:S1000),"")</f>
        <v/>
      </c>
      <c r="AM25" t="str">
        <f>IF(U7&lt;&gt;"",AVERAGE(U7:U1000),"")</f>
        <v/>
      </c>
    </row>
    <row r="26" spans="1:39" x14ac:dyDescent="0.25">
      <c r="A26" s="31">
        <f t="shared" si="0"/>
        <v>0</v>
      </c>
      <c r="Q26" s="12"/>
      <c r="R26" s="40"/>
      <c r="S26" s="36"/>
      <c r="T26" s="40"/>
      <c r="U26" s="36"/>
      <c r="V26" s="13"/>
      <c r="AJ26" t="s">
        <v>22</v>
      </c>
      <c r="AK26" t="str">
        <f>IF(Q7&lt;&gt;"",SQRT(_xlfn.VAR.P(Q7:Q1000)),"")</f>
        <v/>
      </c>
      <c r="AL26" t="str">
        <f>IF(S7&lt;&gt;"",SQRT(_xlfn.VAR.P(S7:S1000)),"")</f>
        <v/>
      </c>
      <c r="AM26" t="str">
        <f>IF(U7&lt;&gt;"",SQRT(_xlfn.VAR.P(U7:U1000)),"")</f>
        <v/>
      </c>
    </row>
    <row r="27" spans="1:39" x14ac:dyDescent="0.25">
      <c r="A27" s="31">
        <f t="shared" si="0"/>
        <v>0</v>
      </c>
      <c r="Q27" s="12"/>
      <c r="R27" s="40"/>
      <c r="S27" s="36"/>
      <c r="T27" s="40"/>
      <c r="U27" s="36"/>
      <c r="V27" s="13"/>
    </row>
    <row r="28" spans="1:39" x14ac:dyDescent="0.25">
      <c r="A28" s="31">
        <f t="shared" si="0"/>
        <v>0</v>
      </c>
      <c r="Q28" s="12"/>
      <c r="R28" s="40"/>
      <c r="S28" s="36"/>
      <c r="T28" s="40"/>
      <c r="U28" s="36"/>
      <c r="V28" s="13"/>
    </row>
    <row r="29" spans="1:39" x14ac:dyDescent="0.25">
      <c r="A29" s="31">
        <f t="shared" si="0"/>
        <v>0</v>
      </c>
      <c r="Q29" s="12"/>
      <c r="R29" s="40"/>
      <c r="S29" s="36"/>
      <c r="T29" s="40"/>
      <c r="U29" s="36"/>
      <c r="V29" s="13"/>
    </row>
    <row r="30" spans="1:39" x14ac:dyDescent="0.25">
      <c r="A30" s="31">
        <f t="shared" si="0"/>
        <v>0</v>
      </c>
      <c r="Q30" s="12"/>
      <c r="R30" s="40"/>
      <c r="S30" s="36"/>
      <c r="T30" s="40"/>
      <c r="U30" s="36"/>
      <c r="V30" s="13"/>
    </row>
    <row r="31" spans="1:39" x14ac:dyDescent="0.25">
      <c r="A31" s="31">
        <f t="shared" si="0"/>
        <v>0</v>
      </c>
      <c r="Q31" s="12"/>
      <c r="R31" s="40"/>
      <c r="S31" s="36"/>
      <c r="T31" s="40"/>
      <c r="U31" s="36"/>
      <c r="V31" s="13"/>
    </row>
    <row r="32" spans="1:39" x14ac:dyDescent="0.25">
      <c r="A32" s="31">
        <f t="shared" si="0"/>
        <v>0</v>
      </c>
      <c r="Q32" s="12"/>
      <c r="R32" s="40"/>
      <c r="S32" s="36"/>
      <c r="T32" s="40"/>
      <c r="U32" s="36"/>
      <c r="V32" s="13"/>
    </row>
    <row r="33" spans="1:30" x14ac:dyDescent="0.25">
      <c r="A33" s="31">
        <f t="shared" si="0"/>
        <v>0</v>
      </c>
      <c r="Q33" s="12"/>
      <c r="R33" s="40"/>
      <c r="S33" s="36"/>
      <c r="T33" s="40"/>
      <c r="U33" s="36"/>
      <c r="V33" s="13"/>
    </row>
    <row r="34" spans="1:30" x14ac:dyDescent="0.25">
      <c r="A34" s="31">
        <f t="shared" si="0"/>
        <v>0</v>
      </c>
      <c r="Q34" s="12"/>
      <c r="R34" s="40"/>
      <c r="S34" s="36"/>
      <c r="T34" s="40"/>
      <c r="U34" s="36"/>
      <c r="V34" s="13"/>
    </row>
    <row r="35" spans="1:30" x14ac:dyDescent="0.25">
      <c r="A35" s="31">
        <f t="shared" si="0"/>
        <v>0</v>
      </c>
      <c r="Q35" s="12"/>
      <c r="R35" s="40"/>
      <c r="S35" s="36"/>
      <c r="T35" s="40"/>
      <c r="U35" s="36"/>
      <c r="V35" s="13"/>
    </row>
    <row r="36" spans="1:30" x14ac:dyDescent="0.25">
      <c r="A36" s="31">
        <f t="shared" si="0"/>
        <v>0</v>
      </c>
      <c r="Q36" s="12"/>
      <c r="R36" s="40"/>
      <c r="S36" s="36"/>
      <c r="T36" s="40"/>
      <c r="U36" s="36"/>
      <c r="V36" s="13"/>
    </row>
    <row r="37" spans="1:30" x14ac:dyDescent="0.25">
      <c r="A37" s="31">
        <f t="shared" si="0"/>
        <v>0</v>
      </c>
      <c r="Q37" s="12"/>
      <c r="R37" s="40"/>
      <c r="S37" s="36"/>
      <c r="T37" s="40"/>
      <c r="U37" s="36"/>
      <c r="V37" s="13"/>
    </row>
    <row r="38" spans="1:30" x14ac:dyDescent="0.25">
      <c r="A38" s="31">
        <f t="shared" si="0"/>
        <v>0</v>
      </c>
      <c r="Q38" s="12"/>
      <c r="R38" s="40"/>
      <c r="S38" s="36"/>
      <c r="T38" s="40"/>
      <c r="U38" s="36"/>
      <c r="V38" s="13"/>
    </row>
    <row r="39" spans="1:30" x14ac:dyDescent="0.25">
      <c r="A39" s="31">
        <f t="shared" si="0"/>
        <v>0</v>
      </c>
      <c r="Q39" s="12"/>
      <c r="R39" s="40"/>
      <c r="S39" s="36"/>
      <c r="T39" s="40"/>
      <c r="U39" s="36"/>
      <c r="V39" s="13"/>
    </row>
    <row r="40" spans="1:30" x14ac:dyDescent="0.25">
      <c r="A40" s="31">
        <f t="shared" si="0"/>
        <v>0</v>
      </c>
      <c r="Q40" s="12"/>
      <c r="R40" s="40"/>
      <c r="S40" s="36"/>
      <c r="T40" s="40"/>
      <c r="U40" s="36"/>
      <c r="V40" s="13"/>
    </row>
    <row r="41" spans="1:30" x14ac:dyDescent="0.25">
      <c r="A41" s="31">
        <f t="shared" si="0"/>
        <v>0</v>
      </c>
      <c r="Q41" s="12"/>
      <c r="R41" s="40"/>
      <c r="S41" s="36"/>
      <c r="T41" s="40"/>
      <c r="U41" s="36"/>
      <c r="V41" s="13"/>
      <c r="AD41" t="str">
        <f>IF(COUNT(Data!E4:E1000)&gt;0,COUNT(Data!E4:E1000)-2,"")</f>
        <v/>
      </c>
    </row>
    <row r="42" spans="1:30" x14ac:dyDescent="0.25">
      <c r="A42" s="31">
        <f t="shared" si="0"/>
        <v>0</v>
      </c>
      <c r="Q42" s="12"/>
      <c r="R42" s="40"/>
      <c r="S42" s="36"/>
      <c r="T42" s="40"/>
      <c r="U42" s="36"/>
      <c r="V42" s="13"/>
    </row>
    <row r="43" spans="1:30" x14ac:dyDescent="0.25">
      <c r="A43" s="31">
        <f t="shared" si="0"/>
        <v>0</v>
      </c>
      <c r="Q43" s="12"/>
      <c r="R43" s="40"/>
      <c r="S43" s="36"/>
      <c r="T43" s="40"/>
      <c r="U43" s="36"/>
      <c r="V43" s="13"/>
    </row>
    <row r="44" spans="1:30" x14ac:dyDescent="0.25">
      <c r="A44" s="31">
        <f t="shared" si="0"/>
        <v>0</v>
      </c>
      <c r="Q44" s="12"/>
      <c r="R44" s="40"/>
      <c r="S44" s="36"/>
      <c r="T44" s="40"/>
      <c r="U44" s="36"/>
      <c r="V44" s="13"/>
    </row>
    <row r="45" spans="1:30" x14ac:dyDescent="0.25">
      <c r="A45" s="31">
        <f t="shared" si="0"/>
        <v>0</v>
      </c>
      <c r="Q45" s="12"/>
      <c r="R45" s="40"/>
      <c r="S45" s="36"/>
      <c r="T45" s="40"/>
      <c r="U45" s="36"/>
      <c r="V45" s="13"/>
    </row>
    <row r="46" spans="1:30" x14ac:dyDescent="0.25">
      <c r="A46" s="31">
        <f t="shared" si="0"/>
        <v>0</v>
      </c>
      <c r="Q46" s="12"/>
      <c r="R46" s="40"/>
      <c r="S46" s="36"/>
      <c r="T46" s="40"/>
      <c r="U46" s="36"/>
      <c r="V46" s="13"/>
    </row>
    <row r="47" spans="1:30" x14ac:dyDescent="0.25">
      <c r="A47" s="31">
        <f t="shared" si="0"/>
        <v>0</v>
      </c>
      <c r="Q47" s="12"/>
      <c r="R47" s="40"/>
      <c r="S47" s="36"/>
      <c r="T47" s="40"/>
      <c r="U47" s="36"/>
      <c r="V47" s="13"/>
    </row>
    <row r="48" spans="1:30" x14ac:dyDescent="0.25">
      <c r="A48" s="31">
        <f t="shared" si="0"/>
        <v>0</v>
      </c>
      <c r="Q48" s="12"/>
      <c r="R48" s="40"/>
      <c r="S48" s="36"/>
      <c r="T48" s="40"/>
      <c r="U48" s="36"/>
      <c r="V48" s="13"/>
    </row>
    <row r="49" spans="1:22" x14ac:dyDescent="0.25">
      <c r="A49" s="31">
        <f t="shared" si="0"/>
        <v>0</v>
      </c>
      <c r="Q49" s="12"/>
      <c r="R49" s="40"/>
      <c r="S49" s="36"/>
      <c r="T49" s="40"/>
      <c r="U49" s="36"/>
      <c r="V49" s="13"/>
    </row>
    <row r="50" spans="1:22" x14ac:dyDescent="0.25">
      <c r="A50" s="31">
        <f t="shared" si="0"/>
        <v>0</v>
      </c>
      <c r="Q50" s="27"/>
      <c r="R50" s="39"/>
      <c r="S50" s="20"/>
      <c r="T50" s="39"/>
      <c r="U50" s="20"/>
      <c r="V50" s="27"/>
    </row>
    <row r="51" spans="1:22" x14ac:dyDescent="0.25">
      <c r="A51" s="31">
        <f t="shared" si="0"/>
        <v>0</v>
      </c>
    </row>
    <row r="52" spans="1:22" x14ac:dyDescent="0.25">
      <c r="A52" s="31">
        <f t="shared" si="0"/>
        <v>0</v>
      </c>
    </row>
    <row r="53" spans="1:22" x14ac:dyDescent="0.25">
      <c r="A53" s="31">
        <f t="shared" si="0"/>
        <v>0</v>
      </c>
    </row>
    <row r="54" spans="1:22" x14ac:dyDescent="0.25">
      <c r="A54" s="31">
        <f t="shared" si="0"/>
        <v>0</v>
      </c>
    </row>
    <row r="55" spans="1:22" x14ac:dyDescent="0.25">
      <c r="A55" s="31">
        <f t="shared" si="0"/>
        <v>0</v>
      </c>
    </row>
    <row r="56" spans="1:22" x14ac:dyDescent="0.25">
      <c r="A56" s="31">
        <f t="shared" si="0"/>
        <v>0</v>
      </c>
    </row>
    <row r="57" spans="1:22" x14ac:dyDescent="0.25">
      <c r="A57" s="31">
        <f t="shared" si="0"/>
        <v>0</v>
      </c>
    </row>
    <row r="58" spans="1:22" x14ac:dyDescent="0.25">
      <c r="A58" s="31">
        <f t="shared" si="0"/>
        <v>0</v>
      </c>
    </row>
    <row r="59" spans="1:22" x14ac:dyDescent="0.25">
      <c r="A59" s="31">
        <f t="shared" si="0"/>
        <v>0</v>
      </c>
    </row>
    <row r="60" spans="1:22" x14ac:dyDescent="0.25">
      <c r="A60" s="31">
        <f t="shared" si="0"/>
        <v>0</v>
      </c>
    </row>
    <row r="61" spans="1:22" x14ac:dyDescent="0.25">
      <c r="A61" s="31">
        <f t="shared" si="0"/>
        <v>0</v>
      </c>
    </row>
    <row r="62" spans="1:22" x14ac:dyDescent="0.25">
      <c r="A62" s="31">
        <f t="shared" si="0"/>
        <v>0</v>
      </c>
    </row>
    <row r="63" spans="1:22" x14ac:dyDescent="0.25">
      <c r="A63" s="31">
        <f t="shared" si="0"/>
        <v>0</v>
      </c>
    </row>
    <row r="64" spans="1:22" x14ac:dyDescent="0.25">
      <c r="A64" s="31">
        <f t="shared" si="0"/>
        <v>0</v>
      </c>
    </row>
    <row r="65" spans="1:1" x14ac:dyDescent="0.25">
      <c r="A65" s="31">
        <f t="shared" si="0"/>
        <v>0</v>
      </c>
    </row>
    <row r="66" spans="1:1" x14ac:dyDescent="0.25">
      <c r="A66" s="31">
        <f t="shared" si="0"/>
        <v>0</v>
      </c>
    </row>
    <row r="67" spans="1:1" x14ac:dyDescent="0.25">
      <c r="A67" s="31">
        <f t="shared" si="0"/>
        <v>0</v>
      </c>
    </row>
    <row r="68" spans="1:1" x14ac:dyDescent="0.25">
      <c r="A68" s="31">
        <f t="shared" si="0"/>
        <v>0</v>
      </c>
    </row>
    <row r="69" spans="1:1" x14ac:dyDescent="0.25">
      <c r="A69" s="31">
        <f t="shared" si="0"/>
        <v>0</v>
      </c>
    </row>
    <row r="70" spans="1:1" x14ac:dyDescent="0.25">
      <c r="A70" s="31">
        <f t="shared" si="0"/>
        <v>0</v>
      </c>
    </row>
    <row r="71" spans="1:1" x14ac:dyDescent="0.25">
      <c r="A71" s="31">
        <f t="shared" ref="A71:A134" si="1">($X$3-$W$3)/200*(ROW(A70)-6)+$W$3</f>
        <v>0</v>
      </c>
    </row>
    <row r="72" spans="1:1" x14ac:dyDescent="0.25">
      <c r="A72" s="31">
        <f t="shared" si="1"/>
        <v>0</v>
      </c>
    </row>
    <row r="73" spans="1:1" x14ac:dyDescent="0.25">
      <c r="A73" s="31">
        <f t="shared" si="1"/>
        <v>0</v>
      </c>
    </row>
    <row r="74" spans="1:1" x14ac:dyDescent="0.25">
      <c r="A74" s="31">
        <f t="shared" si="1"/>
        <v>0</v>
      </c>
    </row>
    <row r="75" spans="1:1" x14ac:dyDescent="0.25">
      <c r="A75" s="31">
        <f t="shared" si="1"/>
        <v>0</v>
      </c>
    </row>
    <row r="76" spans="1:1" x14ac:dyDescent="0.25">
      <c r="A76" s="31">
        <f t="shared" si="1"/>
        <v>0</v>
      </c>
    </row>
    <row r="77" spans="1:1" x14ac:dyDescent="0.25">
      <c r="A77" s="31">
        <f t="shared" si="1"/>
        <v>0</v>
      </c>
    </row>
    <row r="78" spans="1:1" x14ac:dyDescent="0.25">
      <c r="A78" s="31">
        <f t="shared" si="1"/>
        <v>0</v>
      </c>
    </row>
    <row r="79" spans="1:1" x14ac:dyDescent="0.25">
      <c r="A79" s="31">
        <f t="shared" si="1"/>
        <v>0</v>
      </c>
    </row>
    <row r="80" spans="1:1" x14ac:dyDescent="0.25">
      <c r="A80" s="31">
        <f t="shared" si="1"/>
        <v>0</v>
      </c>
    </row>
    <row r="81" spans="1:1" x14ac:dyDescent="0.25">
      <c r="A81" s="31">
        <f t="shared" si="1"/>
        <v>0</v>
      </c>
    </row>
    <row r="82" spans="1:1" x14ac:dyDescent="0.25">
      <c r="A82" s="31">
        <f t="shared" si="1"/>
        <v>0</v>
      </c>
    </row>
    <row r="83" spans="1:1" x14ac:dyDescent="0.25">
      <c r="A83" s="31">
        <f t="shared" si="1"/>
        <v>0</v>
      </c>
    </row>
    <row r="84" spans="1:1" x14ac:dyDescent="0.25">
      <c r="A84" s="31">
        <f t="shared" si="1"/>
        <v>0</v>
      </c>
    </row>
    <row r="85" spans="1:1" x14ac:dyDescent="0.25">
      <c r="A85" s="31">
        <f t="shared" si="1"/>
        <v>0</v>
      </c>
    </row>
    <row r="86" spans="1:1" x14ac:dyDescent="0.25">
      <c r="A86" s="31">
        <f t="shared" si="1"/>
        <v>0</v>
      </c>
    </row>
    <row r="87" spans="1:1" x14ac:dyDescent="0.25">
      <c r="A87" s="31">
        <f t="shared" si="1"/>
        <v>0</v>
      </c>
    </row>
    <row r="88" spans="1:1" x14ac:dyDescent="0.25">
      <c r="A88" s="31">
        <f t="shared" si="1"/>
        <v>0</v>
      </c>
    </row>
    <row r="89" spans="1:1" x14ac:dyDescent="0.25">
      <c r="A89" s="31">
        <f t="shared" si="1"/>
        <v>0</v>
      </c>
    </row>
    <row r="90" spans="1:1" x14ac:dyDescent="0.25">
      <c r="A90" s="31">
        <f t="shared" si="1"/>
        <v>0</v>
      </c>
    </row>
    <row r="91" spans="1:1" x14ac:dyDescent="0.25">
      <c r="A91" s="31">
        <f t="shared" si="1"/>
        <v>0</v>
      </c>
    </row>
    <row r="92" spans="1:1" x14ac:dyDescent="0.25">
      <c r="A92" s="31">
        <f t="shared" si="1"/>
        <v>0</v>
      </c>
    </row>
    <row r="93" spans="1:1" x14ac:dyDescent="0.25">
      <c r="A93" s="31">
        <f t="shared" si="1"/>
        <v>0</v>
      </c>
    </row>
    <row r="94" spans="1:1" x14ac:dyDescent="0.25">
      <c r="A94" s="31">
        <f t="shared" si="1"/>
        <v>0</v>
      </c>
    </row>
    <row r="95" spans="1:1" x14ac:dyDescent="0.25">
      <c r="A95" s="31">
        <f t="shared" si="1"/>
        <v>0</v>
      </c>
    </row>
    <row r="96" spans="1:1" x14ac:dyDescent="0.25">
      <c r="A96" s="31">
        <f t="shared" si="1"/>
        <v>0</v>
      </c>
    </row>
    <row r="97" spans="1:1" x14ac:dyDescent="0.25">
      <c r="A97" s="31">
        <f t="shared" si="1"/>
        <v>0</v>
      </c>
    </row>
    <row r="98" spans="1:1" x14ac:dyDescent="0.25">
      <c r="A98" s="31">
        <f t="shared" si="1"/>
        <v>0</v>
      </c>
    </row>
    <row r="99" spans="1:1" x14ac:dyDescent="0.25">
      <c r="A99" s="31">
        <f t="shared" si="1"/>
        <v>0</v>
      </c>
    </row>
    <row r="100" spans="1:1" x14ac:dyDescent="0.25">
      <c r="A100" s="31">
        <f t="shared" si="1"/>
        <v>0</v>
      </c>
    </row>
    <row r="101" spans="1:1" x14ac:dyDescent="0.25">
      <c r="A101" s="31">
        <f t="shared" si="1"/>
        <v>0</v>
      </c>
    </row>
    <row r="102" spans="1:1" x14ac:dyDescent="0.25">
      <c r="A102" s="31">
        <f t="shared" si="1"/>
        <v>0</v>
      </c>
    </row>
    <row r="103" spans="1:1" x14ac:dyDescent="0.25">
      <c r="A103" s="31">
        <f t="shared" si="1"/>
        <v>0</v>
      </c>
    </row>
    <row r="104" spans="1:1" x14ac:dyDescent="0.25">
      <c r="A104" s="31">
        <f t="shared" si="1"/>
        <v>0</v>
      </c>
    </row>
    <row r="105" spans="1:1" x14ac:dyDescent="0.25">
      <c r="A105" s="31">
        <f t="shared" si="1"/>
        <v>0</v>
      </c>
    </row>
    <row r="106" spans="1:1" x14ac:dyDescent="0.25">
      <c r="A106" s="31">
        <f t="shared" si="1"/>
        <v>0</v>
      </c>
    </row>
    <row r="107" spans="1:1" x14ac:dyDescent="0.25">
      <c r="A107" s="31">
        <f t="shared" si="1"/>
        <v>0</v>
      </c>
    </row>
    <row r="108" spans="1:1" x14ac:dyDescent="0.25">
      <c r="A108" s="31">
        <f t="shared" si="1"/>
        <v>0</v>
      </c>
    </row>
    <row r="109" spans="1:1" x14ac:dyDescent="0.25">
      <c r="A109" s="31">
        <f t="shared" si="1"/>
        <v>0</v>
      </c>
    </row>
    <row r="110" spans="1:1" x14ac:dyDescent="0.25">
      <c r="A110" s="31">
        <f t="shared" si="1"/>
        <v>0</v>
      </c>
    </row>
    <row r="111" spans="1:1" x14ac:dyDescent="0.25">
      <c r="A111" s="31">
        <f t="shared" si="1"/>
        <v>0</v>
      </c>
    </row>
    <row r="112" spans="1:1" x14ac:dyDescent="0.25">
      <c r="A112" s="31">
        <f t="shared" si="1"/>
        <v>0</v>
      </c>
    </row>
    <row r="113" spans="1:1" x14ac:dyDescent="0.25">
      <c r="A113" s="31">
        <f t="shared" si="1"/>
        <v>0</v>
      </c>
    </row>
    <row r="114" spans="1:1" x14ac:dyDescent="0.25">
      <c r="A114" s="31">
        <f t="shared" si="1"/>
        <v>0</v>
      </c>
    </row>
    <row r="115" spans="1:1" x14ac:dyDescent="0.25">
      <c r="A115" s="31">
        <f t="shared" si="1"/>
        <v>0</v>
      </c>
    </row>
    <row r="116" spans="1:1" x14ac:dyDescent="0.25">
      <c r="A116" s="31">
        <f t="shared" si="1"/>
        <v>0</v>
      </c>
    </row>
    <row r="117" spans="1:1" x14ac:dyDescent="0.25">
      <c r="A117" s="31">
        <f t="shared" si="1"/>
        <v>0</v>
      </c>
    </row>
    <row r="118" spans="1:1" x14ac:dyDescent="0.25">
      <c r="A118" s="31">
        <f t="shared" si="1"/>
        <v>0</v>
      </c>
    </row>
    <row r="119" spans="1:1" x14ac:dyDescent="0.25">
      <c r="A119" s="31">
        <f t="shared" si="1"/>
        <v>0</v>
      </c>
    </row>
    <row r="120" spans="1:1" x14ac:dyDescent="0.25">
      <c r="A120" s="31">
        <f t="shared" si="1"/>
        <v>0</v>
      </c>
    </row>
    <row r="121" spans="1:1" x14ac:dyDescent="0.25">
      <c r="A121" s="31">
        <f t="shared" si="1"/>
        <v>0</v>
      </c>
    </row>
    <row r="122" spans="1:1" x14ac:dyDescent="0.25">
      <c r="A122" s="31">
        <f t="shared" si="1"/>
        <v>0</v>
      </c>
    </row>
    <row r="123" spans="1:1" x14ac:dyDescent="0.25">
      <c r="A123" s="31">
        <f t="shared" si="1"/>
        <v>0</v>
      </c>
    </row>
    <row r="124" spans="1:1" x14ac:dyDescent="0.25">
      <c r="A124" s="31">
        <f t="shared" si="1"/>
        <v>0</v>
      </c>
    </row>
    <row r="125" spans="1:1" x14ac:dyDescent="0.25">
      <c r="A125" s="31">
        <f t="shared" si="1"/>
        <v>0</v>
      </c>
    </row>
    <row r="126" spans="1:1" x14ac:dyDescent="0.25">
      <c r="A126" s="31">
        <f t="shared" si="1"/>
        <v>0</v>
      </c>
    </row>
    <row r="127" spans="1:1" x14ac:dyDescent="0.25">
      <c r="A127" s="31">
        <f t="shared" si="1"/>
        <v>0</v>
      </c>
    </row>
    <row r="128" spans="1:1" x14ac:dyDescent="0.25">
      <c r="A128" s="31">
        <f t="shared" si="1"/>
        <v>0</v>
      </c>
    </row>
    <row r="129" spans="1:1" x14ac:dyDescent="0.25">
      <c r="A129" s="31">
        <f t="shared" si="1"/>
        <v>0</v>
      </c>
    </row>
    <row r="130" spans="1:1" x14ac:dyDescent="0.25">
      <c r="A130" s="31">
        <f t="shared" si="1"/>
        <v>0</v>
      </c>
    </row>
    <row r="131" spans="1:1" x14ac:dyDescent="0.25">
      <c r="A131" s="31">
        <f t="shared" si="1"/>
        <v>0</v>
      </c>
    </row>
    <row r="132" spans="1:1" x14ac:dyDescent="0.25">
      <c r="A132" s="31">
        <f t="shared" si="1"/>
        <v>0</v>
      </c>
    </row>
    <row r="133" spans="1:1" x14ac:dyDescent="0.25">
      <c r="A133" s="31">
        <f t="shared" si="1"/>
        <v>0</v>
      </c>
    </row>
    <row r="134" spans="1:1" x14ac:dyDescent="0.25">
      <c r="A134" s="31">
        <f t="shared" si="1"/>
        <v>0</v>
      </c>
    </row>
    <row r="135" spans="1:1" x14ac:dyDescent="0.25">
      <c r="A135" s="31">
        <f t="shared" ref="A135:A198" si="2">($X$3-$W$3)/200*(ROW(A134)-6)+$W$3</f>
        <v>0</v>
      </c>
    </row>
    <row r="136" spans="1:1" x14ac:dyDescent="0.25">
      <c r="A136" s="31">
        <f t="shared" si="2"/>
        <v>0</v>
      </c>
    </row>
    <row r="137" spans="1:1" x14ac:dyDescent="0.25">
      <c r="A137" s="31">
        <f t="shared" si="2"/>
        <v>0</v>
      </c>
    </row>
    <row r="138" spans="1:1" x14ac:dyDescent="0.25">
      <c r="A138" s="31">
        <f t="shared" si="2"/>
        <v>0</v>
      </c>
    </row>
    <row r="139" spans="1:1" x14ac:dyDescent="0.25">
      <c r="A139" s="31">
        <f t="shared" si="2"/>
        <v>0</v>
      </c>
    </row>
    <row r="140" spans="1:1" x14ac:dyDescent="0.25">
      <c r="A140" s="31">
        <f t="shared" si="2"/>
        <v>0</v>
      </c>
    </row>
    <row r="141" spans="1:1" x14ac:dyDescent="0.25">
      <c r="A141" s="31">
        <f t="shared" si="2"/>
        <v>0</v>
      </c>
    </row>
    <row r="142" spans="1:1" x14ac:dyDescent="0.25">
      <c r="A142" s="31">
        <f t="shared" si="2"/>
        <v>0</v>
      </c>
    </row>
    <row r="143" spans="1:1" x14ac:dyDescent="0.25">
      <c r="A143" s="31">
        <f t="shared" si="2"/>
        <v>0</v>
      </c>
    </row>
    <row r="144" spans="1:1" x14ac:dyDescent="0.25">
      <c r="A144" s="31">
        <f t="shared" si="2"/>
        <v>0</v>
      </c>
    </row>
    <row r="145" spans="1:1" x14ac:dyDescent="0.25">
      <c r="A145" s="31">
        <f t="shared" si="2"/>
        <v>0</v>
      </c>
    </row>
    <row r="146" spans="1:1" x14ac:dyDescent="0.25">
      <c r="A146" s="31">
        <f t="shared" si="2"/>
        <v>0</v>
      </c>
    </row>
    <row r="147" spans="1:1" x14ac:dyDescent="0.25">
      <c r="A147" s="31">
        <f t="shared" si="2"/>
        <v>0</v>
      </c>
    </row>
    <row r="148" spans="1:1" x14ac:dyDescent="0.25">
      <c r="A148" s="31">
        <f t="shared" si="2"/>
        <v>0</v>
      </c>
    </row>
    <row r="149" spans="1:1" x14ac:dyDescent="0.25">
      <c r="A149" s="31">
        <f t="shared" si="2"/>
        <v>0</v>
      </c>
    </row>
    <row r="150" spans="1:1" x14ac:dyDescent="0.25">
      <c r="A150" s="31">
        <f t="shared" si="2"/>
        <v>0</v>
      </c>
    </row>
    <row r="151" spans="1:1" x14ac:dyDescent="0.25">
      <c r="A151" s="31">
        <f t="shared" si="2"/>
        <v>0</v>
      </c>
    </row>
    <row r="152" spans="1:1" x14ac:dyDescent="0.25">
      <c r="A152" s="31">
        <f t="shared" si="2"/>
        <v>0</v>
      </c>
    </row>
    <row r="153" spans="1:1" x14ac:dyDescent="0.25">
      <c r="A153" s="31">
        <f t="shared" si="2"/>
        <v>0</v>
      </c>
    </row>
    <row r="154" spans="1:1" x14ac:dyDescent="0.25">
      <c r="A154" s="31">
        <f t="shared" si="2"/>
        <v>0</v>
      </c>
    </row>
    <row r="155" spans="1:1" x14ac:dyDescent="0.25">
      <c r="A155" s="31">
        <f t="shared" si="2"/>
        <v>0</v>
      </c>
    </row>
    <row r="156" spans="1:1" x14ac:dyDescent="0.25">
      <c r="A156" s="31">
        <f t="shared" si="2"/>
        <v>0</v>
      </c>
    </row>
    <row r="157" spans="1:1" x14ac:dyDescent="0.25">
      <c r="A157" s="31">
        <f t="shared" si="2"/>
        <v>0</v>
      </c>
    </row>
    <row r="158" spans="1:1" x14ac:dyDescent="0.25">
      <c r="A158" s="31">
        <f t="shared" si="2"/>
        <v>0</v>
      </c>
    </row>
    <row r="159" spans="1:1" x14ac:dyDescent="0.25">
      <c r="A159" s="31">
        <f t="shared" si="2"/>
        <v>0</v>
      </c>
    </row>
    <row r="160" spans="1:1" x14ac:dyDescent="0.25">
      <c r="A160" s="31">
        <f t="shared" si="2"/>
        <v>0</v>
      </c>
    </row>
    <row r="161" spans="1:1" x14ac:dyDescent="0.25">
      <c r="A161" s="31">
        <f t="shared" si="2"/>
        <v>0</v>
      </c>
    </row>
    <row r="162" spans="1:1" x14ac:dyDescent="0.25">
      <c r="A162" s="31">
        <f t="shared" si="2"/>
        <v>0</v>
      </c>
    </row>
    <row r="163" spans="1:1" x14ac:dyDescent="0.25">
      <c r="A163" s="31">
        <f t="shared" si="2"/>
        <v>0</v>
      </c>
    </row>
    <row r="164" spans="1:1" x14ac:dyDescent="0.25">
      <c r="A164" s="31">
        <f t="shared" si="2"/>
        <v>0</v>
      </c>
    </row>
    <row r="165" spans="1:1" x14ac:dyDescent="0.25">
      <c r="A165" s="31">
        <f t="shared" si="2"/>
        <v>0</v>
      </c>
    </row>
    <row r="166" spans="1:1" x14ac:dyDescent="0.25">
      <c r="A166" s="31">
        <f t="shared" si="2"/>
        <v>0</v>
      </c>
    </row>
    <row r="167" spans="1:1" x14ac:dyDescent="0.25">
      <c r="A167" s="31">
        <f t="shared" si="2"/>
        <v>0</v>
      </c>
    </row>
    <row r="168" spans="1:1" x14ac:dyDescent="0.25">
      <c r="A168" s="31">
        <f t="shared" si="2"/>
        <v>0</v>
      </c>
    </row>
    <row r="169" spans="1:1" x14ac:dyDescent="0.25">
      <c r="A169" s="31">
        <f t="shared" si="2"/>
        <v>0</v>
      </c>
    </row>
    <row r="170" spans="1:1" x14ac:dyDescent="0.25">
      <c r="A170" s="31">
        <f t="shared" si="2"/>
        <v>0</v>
      </c>
    </row>
    <row r="171" spans="1:1" x14ac:dyDescent="0.25">
      <c r="A171" s="31">
        <f t="shared" si="2"/>
        <v>0</v>
      </c>
    </row>
    <row r="172" spans="1:1" x14ac:dyDescent="0.25">
      <c r="A172" s="31">
        <f t="shared" si="2"/>
        <v>0</v>
      </c>
    </row>
    <row r="173" spans="1:1" x14ac:dyDescent="0.25">
      <c r="A173" s="31">
        <f t="shared" si="2"/>
        <v>0</v>
      </c>
    </row>
    <row r="174" spans="1:1" x14ac:dyDescent="0.25">
      <c r="A174" s="31">
        <f t="shared" si="2"/>
        <v>0</v>
      </c>
    </row>
    <row r="175" spans="1:1" x14ac:dyDescent="0.25">
      <c r="A175" s="31">
        <f t="shared" si="2"/>
        <v>0</v>
      </c>
    </row>
    <row r="176" spans="1:1" x14ac:dyDescent="0.25">
      <c r="A176" s="31">
        <f t="shared" si="2"/>
        <v>0</v>
      </c>
    </row>
    <row r="177" spans="1:1" x14ac:dyDescent="0.25">
      <c r="A177" s="31">
        <f t="shared" si="2"/>
        <v>0</v>
      </c>
    </row>
    <row r="178" spans="1:1" x14ac:dyDescent="0.25">
      <c r="A178" s="31">
        <f t="shared" si="2"/>
        <v>0</v>
      </c>
    </row>
    <row r="179" spans="1:1" x14ac:dyDescent="0.25">
      <c r="A179" s="31">
        <f t="shared" si="2"/>
        <v>0</v>
      </c>
    </row>
    <row r="180" spans="1:1" x14ac:dyDescent="0.25">
      <c r="A180" s="31">
        <f t="shared" si="2"/>
        <v>0</v>
      </c>
    </row>
    <row r="181" spans="1:1" x14ac:dyDescent="0.25">
      <c r="A181" s="31">
        <f t="shared" si="2"/>
        <v>0</v>
      </c>
    </row>
    <row r="182" spans="1:1" x14ac:dyDescent="0.25">
      <c r="A182" s="31">
        <f t="shared" si="2"/>
        <v>0</v>
      </c>
    </row>
    <row r="183" spans="1:1" x14ac:dyDescent="0.25">
      <c r="A183" s="31">
        <f t="shared" si="2"/>
        <v>0</v>
      </c>
    </row>
    <row r="184" spans="1:1" x14ac:dyDescent="0.25">
      <c r="A184" s="31">
        <f t="shared" si="2"/>
        <v>0</v>
      </c>
    </row>
    <row r="185" spans="1:1" x14ac:dyDescent="0.25">
      <c r="A185" s="31">
        <f t="shared" si="2"/>
        <v>0</v>
      </c>
    </row>
    <row r="186" spans="1:1" x14ac:dyDescent="0.25">
      <c r="A186" s="31">
        <f t="shared" si="2"/>
        <v>0</v>
      </c>
    </row>
    <row r="187" spans="1:1" x14ac:dyDescent="0.25">
      <c r="A187" s="31">
        <f t="shared" si="2"/>
        <v>0</v>
      </c>
    </row>
    <row r="188" spans="1:1" x14ac:dyDescent="0.25">
      <c r="A188" s="31">
        <f t="shared" si="2"/>
        <v>0</v>
      </c>
    </row>
    <row r="189" spans="1:1" x14ac:dyDescent="0.25">
      <c r="A189" s="31">
        <f t="shared" si="2"/>
        <v>0</v>
      </c>
    </row>
    <row r="190" spans="1:1" x14ac:dyDescent="0.25">
      <c r="A190" s="31">
        <f t="shared" si="2"/>
        <v>0</v>
      </c>
    </row>
    <row r="191" spans="1:1" x14ac:dyDescent="0.25">
      <c r="A191" s="31">
        <f t="shared" si="2"/>
        <v>0</v>
      </c>
    </row>
    <row r="192" spans="1:1" x14ac:dyDescent="0.25">
      <c r="A192" s="31">
        <f t="shared" si="2"/>
        <v>0</v>
      </c>
    </row>
    <row r="193" spans="1:1" x14ac:dyDescent="0.25">
      <c r="A193" s="31">
        <f t="shared" si="2"/>
        <v>0</v>
      </c>
    </row>
    <row r="194" spans="1:1" x14ac:dyDescent="0.25">
      <c r="A194" s="31">
        <f t="shared" si="2"/>
        <v>0</v>
      </c>
    </row>
    <row r="195" spans="1:1" x14ac:dyDescent="0.25">
      <c r="A195" s="31">
        <f t="shared" si="2"/>
        <v>0</v>
      </c>
    </row>
    <row r="196" spans="1:1" x14ac:dyDescent="0.25">
      <c r="A196" s="31">
        <f t="shared" si="2"/>
        <v>0</v>
      </c>
    </row>
    <row r="197" spans="1:1" x14ac:dyDescent="0.25">
      <c r="A197" s="31">
        <f t="shared" si="2"/>
        <v>0</v>
      </c>
    </row>
    <row r="198" spans="1:1" x14ac:dyDescent="0.25">
      <c r="A198" s="31">
        <f t="shared" si="2"/>
        <v>0</v>
      </c>
    </row>
    <row r="199" spans="1:1" x14ac:dyDescent="0.25">
      <c r="A199" s="31">
        <f t="shared" ref="A199:A207" si="3">($X$3-$W$3)/200*(ROW(A198)-6)+$W$3</f>
        <v>0</v>
      </c>
    </row>
    <row r="200" spans="1:1" x14ac:dyDescent="0.25">
      <c r="A200" s="31">
        <f t="shared" si="3"/>
        <v>0</v>
      </c>
    </row>
    <row r="201" spans="1:1" x14ac:dyDescent="0.25">
      <c r="A201" s="31">
        <f t="shared" si="3"/>
        <v>0</v>
      </c>
    </row>
    <row r="202" spans="1:1" x14ac:dyDescent="0.25">
      <c r="A202" s="31">
        <f t="shared" si="3"/>
        <v>0</v>
      </c>
    </row>
    <row r="203" spans="1:1" x14ac:dyDescent="0.25">
      <c r="A203" s="31">
        <f t="shared" si="3"/>
        <v>0</v>
      </c>
    </row>
    <row r="204" spans="1:1" x14ac:dyDescent="0.25">
      <c r="A204" s="31">
        <f t="shared" si="3"/>
        <v>0</v>
      </c>
    </row>
    <row r="205" spans="1:1" x14ac:dyDescent="0.25">
      <c r="A205" s="31">
        <f t="shared" si="3"/>
        <v>0</v>
      </c>
    </row>
    <row r="206" spans="1:1" x14ac:dyDescent="0.25">
      <c r="A206" s="31">
        <f t="shared" si="3"/>
        <v>0</v>
      </c>
    </row>
    <row r="207" spans="1:1" x14ac:dyDescent="0.25">
      <c r="A207" s="31">
        <f t="shared" si="3"/>
        <v>0</v>
      </c>
    </row>
  </sheetData>
  <pageMargins left="0.7" right="0.7" top="0.75" bottom="0.75" header="0.3" footer="0.3"/>
  <pageSetup orientation="portrait" r:id="rId1"/>
  <ignoredErrors>
    <ignoredError sqref="AJ2:AJ4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1" r:id="rId4" name="Button 15">
              <controlPr defaultSize="0" print="0" autoFill="0" autoPict="0" macro="[0]!VisResidualer">
                <anchor moveWithCells="1" sizeWithCells="1">
                  <from>
                    <xdr:col>34</xdr:col>
                    <xdr:colOff>1200150</xdr:colOff>
                    <xdr:row>16</xdr:row>
                    <xdr:rowOff>95250</xdr:rowOff>
                  </from>
                  <to>
                    <xdr:col>37</xdr:col>
                    <xdr:colOff>476250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5" name="ButtonFunctions">
              <controlPr defaultSize="0" print="0" autoFill="0" autoPict="0" macro="[0]!ArkTable.RedigerFunktioner">
                <anchor moveWithCells="1" sizeWithCells="1">
                  <from>
                    <xdr:col>4</xdr:col>
                    <xdr:colOff>0</xdr:colOff>
                    <xdr:row>0</xdr:row>
                    <xdr:rowOff>38100</xdr:rowOff>
                  </from>
                  <to>
                    <xdr:col>19</xdr:col>
                    <xdr:colOff>161925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6" name="ButtonTangent">
              <controlPr defaultSize="0" print="0" autoFill="0" autoPict="0" macro="[0]!ArkTable.Tangent_Click">
                <anchor moveWithCells="1" sizeWithCells="1">
                  <from>
                    <xdr:col>5</xdr:col>
                    <xdr:colOff>0</xdr:colOff>
                    <xdr:row>2</xdr:row>
                    <xdr:rowOff>28575</xdr:rowOff>
                  </from>
                  <to>
                    <xdr:col>19</xdr:col>
                    <xdr:colOff>161925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7" name="Button 12">
              <controlPr defaultSize="0" print="0" autoFill="0" autoPict="0" macro="[0]!Knap12_Klik">
                <anchor moveWithCells="1" sizeWithCells="1">
                  <from>
                    <xdr:col>19</xdr:col>
                    <xdr:colOff>180975</xdr:colOff>
                    <xdr:row>0</xdr:row>
                    <xdr:rowOff>28575</xdr:rowOff>
                  </from>
                  <to>
                    <xdr:col>21</xdr:col>
                    <xdr:colOff>295275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Data"/>
  <dimension ref="A1:F1000"/>
  <sheetViews>
    <sheetView workbookViewId="0">
      <selection activeCell="H5" sqref="H5"/>
    </sheetView>
  </sheetViews>
  <sheetFormatPr defaultRowHeight="15" x14ac:dyDescent="0.25"/>
  <cols>
    <col min="1" max="6" width="4.85546875" customWidth="1"/>
  </cols>
  <sheetData>
    <row r="1" spans="1:6" ht="18.75" x14ac:dyDescent="0.3">
      <c r="A1" s="29" t="s">
        <v>13</v>
      </c>
    </row>
    <row r="2" spans="1:6" ht="15.75" thickBot="1" x14ac:dyDescent="0.3">
      <c r="A2" s="1" t="s">
        <v>14</v>
      </c>
      <c r="B2" s="1"/>
      <c r="C2" s="1" t="s">
        <v>15</v>
      </c>
      <c r="D2" s="1"/>
      <c r="E2" s="1" t="s">
        <v>16</v>
      </c>
    </row>
    <row r="3" spans="1:6" ht="15.75" thickBot="1" x14ac:dyDescent="0.3">
      <c r="A3" s="24" t="s">
        <v>4</v>
      </c>
      <c r="B3" s="25" t="s">
        <v>27</v>
      </c>
      <c r="C3" s="24" t="s">
        <v>4</v>
      </c>
      <c r="D3" s="25" t="s">
        <v>27</v>
      </c>
      <c r="E3" s="24" t="s">
        <v>4</v>
      </c>
      <c r="F3" s="25" t="s">
        <v>27</v>
      </c>
    </row>
    <row r="4" spans="1:6" x14ac:dyDescent="0.25">
      <c r="A4" s="47" t="str">
        <f>IF(Tabel!N7="","",Tabel!Q7)</f>
        <v/>
      </c>
      <c r="B4" s="48" t="str">
        <f>IF(Tabel!N7="","",IF(Tabel!Q7="","",Tabel!N7))</f>
        <v/>
      </c>
      <c r="C4" s="47" t="str">
        <f>IF(Tabel!O7="","",Tabel!S7)</f>
        <v/>
      </c>
      <c r="D4" s="48" t="str">
        <f>IF(Tabel!O7="","",IF(Tabel!S7="","",Tabel!O7))</f>
        <v/>
      </c>
      <c r="E4" s="47" t="str">
        <f>IF(Tabel!P7="","",Tabel!T7)</f>
        <v/>
      </c>
      <c r="F4" s="48" t="str">
        <f>IF(Tabel!P7="","",IF(Tabel!U7="","",Tabel!P7))</f>
        <v/>
      </c>
    </row>
    <row r="5" spans="1:6" x14ac:dyDescent="0.25">
      <c r="A5" s="22" t="str">
        <f>IF(Tabel!N8="","",Tabel!Q8)</f>
        <v/>
      </c>
      <c r="B5" s="11" t="str">
        <f>IF(Tabel!N8="","",IF(Tabel!Q8="","",Tabel!N8))</f>
        <v/>
      </c>
      <c r="C5" s="22" t="str">
        <f>IF(Tabel!O8="","",Tabel!S8)</f>
        <v/>
      </c>
      <c r="D5" s="11" t="str">
        <f>IF(Tabel!O8="","",IF(Tabel!S8="","",Tabel!O8))</f>
        <v/>
      </c>
      <c r="E5" s="22" t="str">
        <f>IF(Tabel!P8="","",Tabel!T8)</f>
        <v/>
      </c>
      <c r="F5" s="11" t="str">
        <f>IF(Tabel!P8="","",IF(Tabel!U8="","",Tabel!P8))</f>
        <v/>
      </c>
    </row>
    <row r="6" spans="1:6" x14ac:dyDescent="0.25">
      <c r="A6" s="22" t="str">
        <f>IF(Tabel!N9="","",Tabel!Q9)</f>
        <v/>
      </c>
      <c r="B6" s="11" t="str">
        <f>IF(Tabel!N9="","",IF(Tabel!Q9="","",Tabel!N9))</f>
        <v/>
      </c>
      <c r="C6" s="22" t="str">
        <f>IF(Tabel!O9="","",Tabel!S9)</f>
        <v/>
      </c>
      <c r="D6" s="11" t="str">
        <f>IF(Tabel!O9="","",IF(Tabel!S9="","",Tabel!O9))</f>
        <v/>
      </c>
      <c r="E6" s="22" t="str">
        <f>IF(Tabel!P9="","",Tabel!T9)</f>
        <v/>
      </c>
      <c r="F6" s="11" t="str">
        <f>IF(Tabel!P9="","",IF(Tabel!U9="","",Tabel!P9))</f>
        <v/>
      </c>
    </row>
    <row r="7" spans="1:6" x14ac:dyDescent="0.25">
      <c r="A7" s="22" t="str">
        <f>IF(Tabel!N10="","",Tabel!Q10)</f>
        <v/>
      </c>
      <c r="B7" s="11" t="str">
        <f>IF(Tabel!N10="","",IF(Tabel!Q10="","",Tabel!N10))</f>
        <v/>
      </c>
      <c r="C7" s="22" t="str">
        <f>IF(Tabel!O10="","",Tabel!S10)</f>
        <v/>
      </c>
      <c r="D7" s="11" t="str">
        <f>IF(Tabel!O10="","",IF(Tabel!S10="","",Tabel!O10))</f>
        <v/>
      </c>
      <c r="E7" s="22" t="str">
        <f>IF(Tabel!P10="","",Tabel!T10)</f>
        <v/>
      </c>
      <c r="F7" s="11" t="str">
        <f>IF(Tabel!P10="","",IF(Tabel!U10="","",Tabel!P10))</f>
        <v/>
      </c>
    </row>
    <row r="8" spans="1:6" x14ac:dyDescent="0.25">
      <c r="A8" s="22" t="str">
        <f>IF(Tabel!N11="","",Tabel!Q11)</f>
        <v/>
      </c>
      <c r="B8" s="11" t="str">
        <f>IF(Tabel!N11="","",IF(Tabel!Q11="","",Tabel!N11))</f>
        <v/>
      </c>
      <c r="C8" s="22" t="str">
        <f>IF(Tabel!O11="","",Tabel!S11)</f>
        <v/>
      </c>
      <c r="D8" s="11" t="str">
        <f>IF(Tabel!O11="","",IF(Tabel!S11="","",Tabel!O11))</f>
        <v/>
      </c>
      <c r="E8" s="22" t="str">
        <f>IF(Tabel!P11="","",Tabel!T11)</f>
        <v/>
      </c>
      <c r="F8" s="11" t="str">
        <f>IF(Tabel!P11="","",IF(Tabel!U11="","",Tabel!P11))</f>
        <v/>
      </c>
    </row>
    <row r="9" spans="1:6" x14ac:dyDescent="0.25">
      <c r="A9" s="22" t="str">
        <f>IF(Tabel!N12="","",Tabel!Q12)</f>
        <v/>
      </c>
      <c r="B9" s="11" t="str">
        <f>IF(Tabel!N12="","",IF(Tabel!Q12="","",Tabel!N12))</f>
        <v/>
      </c>
      <c r="C9" s="22" t="str">
        <f>IF(Tabel!O12="","",Tabel!S12)</f>
        <v/>
      </c>
      <c r="D9" s="11" t="str">
        <f>IF(Tabel!O12="","",IF(Tabel!S12="","",Tabel!O12))</f>
        <v/>
      </c>
      <c r="E9" s="22" t="str">
        <f>IF(Tabel!P12="","",Tabel!T12)</f>
        <v/>
      </c>
      <c r="F9" s="11" t="str">
        <f>IF(Tabel!P12="","",IF(Tabel!U12="","",Tabel!P12))</f>
        <v/>
      </c>
    </row>
    <row r="10" spans="1:6" x14ac:dyDescent="0.25">
      <c r="A10" s="22" t="str">
        <f>IF(Tabel!N13="","",Tabel!Q13)</f>
        <v/>
      </c>
      <c r="B10" s="11" t="str">
        <f>IF(Tabel!N13="","",IF(Tabel!Q13="","",Tabel!N13))</f>
        <v/>
      </c>
      <c r="C10" s="22" t="str">
        <f>IF(Tabel!O13="","",Tabel!S13)</f>
        <v/>
      </c>
      <c r="D10" s="11" t="str">
        <f>IF(Tabel!O13="","",IF(Tabel!S13="","",Tabel!O13))</f>
        <v/>
      </c>
      <c r="E10" s="22" t="str">
        <f>IF(Tabel!P13="","",Tabel!T13)</f>
        <v/>
      </c>
      <c r="F10" s="11" t="str">
        <f>IF(Tabel!P13="","",IF(Tabel!U13="","",Tabel!P13))</f>
        <v/>
      </c>
    </row>
    <row r="11" spans="1:6" x14ac:dyDescent="0.25">
      <c r="A11" s="22" t="str">
        <f>IF(Tabel!N14="","",Tabel!Q14)</f>
        <v/>
      </c>
      <c r="B11" s="11" t="str">
        <f>IF(Tabel!N14="","",IF(Tabel!Q14="","",Tabel!N14))</f>
        <v/>
      </c>
      <c r="C11" s="22" t="str">
        <f>IF(Tabel!O14="","",Tabel!S14)</f>
        <v/>
      </c>
      <c r="D11" s="11" t="str">
        <f>IF(Tabel!O14="","",IF(Tabel!S14="","",Tabel!O14))</f>
        <v/>
      </c>
      <c r="E11" s="22" t="str">
        <f>IF(Tabel!P14="","",Tabel!T14)</f>
        <v/>
      </c>
      <c r="F11" s="11" t="str">
        <f>IF(Tabel!P14="","",IF(Tabel!U14="","",Tabel!P14))</f>
        <v/>
      </c>
    </row>
    <row r="12" spans="1:6" x14ac:dyDescent="0.25">
      <c r="A12" s="22" t="str">
        <f>IF(Tabel!N15="","",Tabel!Q15)</f>
        <v/>
      </c>
      <c r="B12" s="11" t="str">
        <f>IF(Tabel!N15="","",IF(Tabel!Q15="","",Tabel!N15))</f>
        <v/>
      </c>
      <c r="C12" s="22" t="str">
        <f>IF(Tabel!O15="","",Tabel!S15)</f>
        <v/>
      </c>
      <c r="D12" s="11" t="str">
        <f>IF(Tabel!O15="","",IF(Tabel!S15="","",Tabel!O15))</f>
        <v/>
      </c>
      <c r="E12" s="22" t="str">
        <f>IF(Tabel!P15="","",Tabel!T15)</f>
        <v/>
      </c>
      <c r="F12" s="11" t="str">
        <f>IF(Tabel!P15="","",IF(Tabel!U15="","",Tabel!P15))</f>
        <v/>
      </c>
    </row>
    <row r="13" spans="1:6" x14ac:dyDescent="0.25">
      <c r="A13" s="22" t="str">
        <f>IF(Tabel!N16="","",Tabel!Q16)</f>
        <v/>
      </c>
      <c r="B13" s="11" t="str">
        <f>IF(Tabel!N16="","",IF(Tabel!Q16="","",Tabel!N16))</f>
        <v/>
      </c>
      <c r="C13" s="22" t="str">
        <f>IF(Tabel!O16="","",Tabel!S16)</f>
        <v/>
      </c>
      <c r="D13" s="11" t="str">
        <f>IF(Tabel!O16="","",IF(Tabel!S16="","",Tabel!O16))</f>
        <v/>
      </c>
      <c r="E13" s="22" t="str">
        <f>IF(Tabel!P16="","",Tabel!T16)</f>
        <v/>
      </c>
      <c r="F13" s="11" t="str">
        <f>IF(Tabel!P16="","",IF(Tabel!U16="","",Tabel!P16))</f>
        <v/>
      </c>
    </row>
    <row r="14" spans="1:6" x14ac:dyDescent="0.25">
      <c r="A14" s="22" t="str">
        <f>IF(Tabel!N17="","",Tabel!Q17)</f>
        <v/>
      </c>
      <c r="B14" s="11" t="str">
        <f>IF(Tabel!N17="","",IF(Tabel!Q17="","",Tabel!N17))</f>
        <v/>
      </c>
      <c r="C14" s="22" t="str">
        <f>IF(Tabel!O17="","",Tabel!S17)</f>
        <v/>
      </c>
      <c r="D14" s="11" t="str">
        <f>IF(Tabel!O17="","",IF(Tabel!S17="","",Tabel!O17))</f>
        <v/>
      </c>
      <c r="E14" s="22" t="str">
        <f>IF(Tabel!P17="","",Tabel!T17)</f>
        <v/>
      </c>
      <c r="F14" s="11" t="str">
        <f>IF(Tabel!P17="","",IF(Tabel!U17="","",Tabel!P17))</f>
        <v/>
      </c>
    </row>
    <row r="15" spans="1:6" x14ac:dyDescent="0.25">
      <c r="A15" s="22" t="str">
        <f>IF(Tabel!N18="","",Tabel!Q18)</f>
        <v/>
      </c>
      <c r="B15" s="11" t="str">
        <f>IF(Tabel!N18="","",IF(Tabel!Q18="","",Tabel!N18))</f>
        <v/>
      </c>
      <c r="C15" s="22" t="str">
        <f>IF(Tabel!O18="","",Tabel!S18)</f>
        <v/>
      </c>
      <c r="D15" s="11" t="str">
        <f>IF(Tabel!O18="","",IF(Tabel!S18="","",Tabel!O18))</f>
        <v/>
      </c>
      <c r="E15" s="22" t="str">
        <f>IF(Tabel!P18="","",Tabel!T18)</f>
        <v/>
      </c>
      <c r="F15" s="11" t="str">
        <f>IF(Tabel!P18="","",IF(Tabel!U18="","",Tabel!P18))</f>
        <v/>
      </c>
    </row>
    <row r="16" spans="1:6" x14ac:dyDescent="0.25">
      <c r="A16" s="22" t="str">
        <f>IF(Tabel!N19="","",Tabel!Q19)</f>
        <v/>
      </c>
      <c r="B16" s="11" t="str">
        <f>IF(Tabel!N19="","",IF(Tabel!Q19="","",Tabel!N19))</f>
        <v/>
      </c>
      <c r="C16" s="22" t="str">
        <f>IF(Tabel!O19="","",Tabel!S19)</f>
        <v/>
      </c>
      <c r="D16" s="11" t="str">
        <f>IF(Tabel!O19="","",IF(Tabel!S19="","",Tabel!O19))</f>
        <v/>
      </c>
      <c r="E16" s="22" t="str">
        <f>IF(Tabel!P19="","",Tabel!T19)</f>
        <v/>
      </c>
      <c r="F16" s="11" t="str">
        <f>IF(Tabel!P19="","",IF(Tabel!U19="","",Tabel!P19))</f>
        <v/>
      </c>
    </row>
    <row r="17" spans="1:6" x14ac:dyDescent="0.25">
      <c r="A17" s="22" t="str">
        <f>IF(Tabel!N20="","",Tabel!Q20)</f>
        <v/>
      </c>
      <c r="B17" s="11" t="str">
        <f>IF(Tabel!N20="","",IF(Tabel!Q20="","",Tabel!N20))</f>
        <v/>
      </c>
      <c r="C17" s="22" t="str">
        <f>IF(Tabel!O20="","",Tabel!S20)</f>
        <v/>
      </c>
      <c r="D17" s="11" t="str">
        <f>IF(Tabel!O20="","",IF(Tabel!S20="","",Tabel!O20))</f>
        <v/>
      </c>
      <c r="E17" s="22" t="str">
        <f>IF(Tabel!P20="","",Tabel!T20)</f>
        <v/>
      </c>
      <c r="F17" s="11" t="str">
        <f>IF(Tabel!P20="","",IF(Tabel!U20="","",Tabel!P20))</f>
        <v/>
      </c>
    </row>
    <row r="18" spans="1:6" x14ac:dyDescent="0.25">
      <c r="A18" s="22" t="str">
        <f>IF(Tabel!N21="","",Tabel!Q21)</f>
        <v/>
      </c>
      <c r="B18" s="11" t="str">
        <f>IF(Tabel!N21="","",IF(Tabel!Q21="","",Tabel!N21))</f>
        <v/>
      </c>
      <c r="C18" s="22" t="str">
        <f>IF(Tabel!O21="","",Tabel!S21)</f>
        <v/>
      </c>
      <c r="D18" s="11" t="str">
        <f>IF(Tabel!O21="","",IF(Tabel!S21="","",Tabel!O21))</f>
        <v/>
      </c>
      <c r="E18" s="22" t="str">
        <f>IF(Tabel!P21="","",Tabel!T21)</f>
        <v/>
      </c>
      <c r="F18" s="11" t="str">
        <f>IF(Tabel!P21="","",IF(Tabel!U21="","",Tabel!P21))</f>
        <v/>
      </c>
    </row>
    <row r="19" spans="1:6" x14ac:dyDescent="0.25">
      <c r="A19" s="22" t="str">
        <f>IF(Tabel!N22="","",Tabel!Q22)</f>
        <v/>
      </c>
      <c r="B19" s="11" t="str">
        <f>IF(Tabel!N22="","",IF(Tabel!Q22="","",Tabel!N22))</f>
        <v/>
      </c>
      <c r="C19" s="22" t="str">
        <f>IF(Tabel!O22="","",Tabel!S22)</f>
        <v/>
      </c>
      <c r="D19" s="11" t="str">
        <f>IF(Tabel!O22="","",IF(Tabel!S22="","",Tabel!O22))</f>
        <v/>
      </c>
      <c r="E19" s="22" t="str">
        <f>IF(Tabel!P22="","",Tabel!T22)</f>
        <v/>
      </c>
      <c r="F19" s="11" t="str">
        <f>IF(Tabel!P22="","",IF(Tabel!U22="","",Tabel!P22))</f>
        <v/>
      </c>
    </row>
    <row r="20" spans="1:6" x14ac:dyDescent="0.25">
      <c r="A20" s="22" t="str">
        <f>IF(Tabel!N23="","",Tabel!Q23)</f>
        <v/>
      </c>
      <c r="B20" s="11" t="str">
        <f>IF(Tabel!N23="","",IF(Tabel!Q23="","",Tabel!N23))</f>
        <v/>
      </c>
      <c r="C20" s="22" t="str">
        <f>IF(Tabel!O23="","",Tabel!S23)</f>
        <v/>
      </c>
      <c r="D20" s="11" t="str">
        <f>IF(Tabel!O23="","",IF(Tabel!S23="","",Tabel!O23))</f>
        <v/>
      </c>
      <c r="E20" s="22" t="str">
        <f>IF(Tabel!P23="","",Tabel!T23)</f>
        <v/>
      </c>
      <c r="F20" s="11" t="str">
        <f>IF(Tabel!P23="","",IF(Tabel!U23="","",Tabel!P23))</f>
        <v/>
      </c>
    </row>
    <row r="21" spans="1:6" x14ac:dyDescent="0.25">
      <c r="A21" s="22" t="str">
        <f>IF(Tabel!N24="","",Tabel!Q24)</f>
        <v/>
      </c>
      <c r="B21" s="11" t="str">
        <f>IF(Tabel!N24="","",IF(Tabel!Q24="","",Tabel!N24))</f>
        <v/>
      </c>
      <c r="C21" s="22" t="str">
        <f>IF(Tabel!O24="","",Tabel!S24)</f>
        <v/>
      </c>
      <c r="D21" s="11" t="str">
        <f>IF(Tabel!O24="","",IF(Tabel!S24="","",Tabel!O24))</f>
        <v/>
      </c>
      <c r="E21" s="22" t="str">
        <f>IF(Tabel!P24="","",Tabel!T24)</f>
        <v/>
      </c>
      <c r="F21" s="11" t="str">
        <f>IF(Tabel!P24="","",IF(Tabel!U24="","",Tabel!P24))</f>
        <v/>
      </c>
    </row>
    <row r="22" spans="1:6" x14ac:dyDescent="0.25">
      <c r="A22" s="22" t="str">
        <f>IF(Tabel!N25="","",Tabel!Q25)</f>
        <v/>
      </c>
      <c r="B22" s="11" t="str">
        <f>IF(Tabel!N25="","",IF(Tabel!Q25="","",Tabel!N25))</f>
        <v/>
      </c>
      <c r="C22" s="22" t="str">
        <f>IF(Tabel!O25="","",Tabel!S25)</f>
        <v/>
      </c>
      <c r="D22" s="11" t="str">
        <f>IF(Tabel!O25="","",IF(Tabel!S25="","",Tabel!O25))</f>
        <v/>
      </c>
      <c r="E22" s="22" t="str">
        <f>IF(Tabel!P25="","",Tabel!T25)</f>
        <v/>
      </c>
      <c r="F22" s="11" t="str">
        <f>IF(Tabel!P25="","",IF(Tabel!U25="","",Tabel!P25))</f>
        <v/>
      </c>
    </row>
    <row r="23" spans="1:6" x14ac:dyDescent="0.25">
      <c r="A23" s="22" t="str">
        <f>IF(Tabel!N26="","",Tabel!Q26)</f>
        <v/>
      </c>
      <c r="B23" s="11" t="str">
        <f>IF(Tabel!N26="","",IF(Tabel!Q26="","",Tabel!N26))</f>
        <v/>
      </c>
      <c r="C23" s="22" t="str">
        <f>IF(Tabel!O26="","",Tabel!S26)</f>
        <v/>
      </c>
      <c r="D23" s="11" t="str">
        <f>IF(Tabel!O26="","",IF(Tabel!S26="","",Tabel!O26))</f>
        <v/>
      </c>
      <c r="E23" s="22" t="str">
        <f>IF(Tabel!P26="","",Tabel!T26)</f>
        <v/>
      </c>
      <c r="F23" s="11" t="str">
        <f>IF(Tabel!P26="","",IF(Tabel!U26="","",Tabel!P26))</f>
        <v/>
      </c>
    </row>
    <row r="24" spans="1:6" x14ac:dyDescent="0.25">
      <c r="A24" s="22" t="str">
        <f>IF(Tabel!N27="","",Tabel!Q27)</f>
        <v/>
      </c>
      <c r="B24" s="11" t="str">
        <f>IF(Tabel!N27="","",IF(Tabel!Q27="","",Tabel!N27))</f>
        <v/>
      </c>
      <c r="C24" s="22" t="str">
        <f>IF(Tabel!O27="","",Tabel!S27)</f>
        <v/>
      </c>
      <c r="D24" s="11" t="str">
        <f>IF(Tabel!O27="","",IF(Tabel!S27="","",Tabel!O27))</f>
        <v/>
      </c>
      <c r="E24" s="22" t="str">
        <f>IF(Tabel!P27="","",Tabel!T27)</f>
        <v/>
      </c>
      <c r="F24" s="11" t="str">
        <f>IF(Tabel!P27="","",IF(Tabel!U27="","",Tabel!P27))</f>
        <v/>
      </c>
    </row>
    <row r="25" spans="1:6" x14ac:dyDescent="0.25">
      <c r="A25" s="22" t="str">
        <f>IF(Tabel!N28="","",Tabel!Q28)</f>
        <v/>
      </c>
      <c r="B25" s="11" t="str">
        <f>IF(Tabel!N28="","",IF(Tabel!Q28="","",Tabel!N28))</f>
        <v/>
      </c>
      <c r="C25" s="22" t="str">
        <f>IF(Tabel!O28="","",Tabel!S28)</f>
        <v/>
      </c>
      <c r="D25" s="11" t="str">
        <f>IF(Tabel!O28="","",IF(Tabel!S28="","",Tabel!O28))</f>
        <v/>
      </c>
      <c r="E25" s="22" t="str">
        <f>IF(Tabel!P28="","",Tabel!T28)</f>
        <v/>
      </c>
      <c r="F25" s="11" t="str">
        <f>IF(Tabel!P28="","",IF(Tabel!U28="","",Tabel!P28))</f>
        <v/>
      </c>
    </row>
    <row r="26" spans="1:6" x14ac:dyDescent="0.25">
      <c r="A26" s="22" t="str">
        <f>IF(Tabel!N29="","",Tabel!Q29)</f>
        <v/>
      </c>
      <c r="B26" s="11" t="str">
        <f>IF(Tabel!N29="","",IF(Tabel!Q29="","",Tabel!N29))</f>
        <v/>
      </c>
      <c r="C26" s="22" t="str">
        <f>IF(Tabel!O29="","",Tabel!S29)</f>
        <v/>
      </c>
      <c r="D26" s="11" t="str">
        <f>IF(Tabel!O29="","",IF(Tabel!S29="","",Tabel!O29))</f>
        <v/>
      </c>
      <c r="E26" s="22" t="str">
        <f>IF(Tabel!P29="","",Tabel!T29)</f>
        <v/>
      </c>
      <c r="F26" s="11" t="str">
        <f>IF(Tabel!P29="","",IF(Tabel!U29="","",Tabel!P29))</f>
        <v/>
      </c>
    </row>
    <row r="27" spans="1:6" x14ac:dyDescent="0.25">
      <c r="A27" s="22" t="str">
        <f>IF(Tabel!N30="","",Tabel!Q30)</f>
        <v/>
      </c>
      <c r="B27" s="11" t="str">
        <f>IF(Tabel!N30="","",IF(Tabel!Q30="","",Tabel!N30))</f>
        <v/>
      </c>
      <c r="C27" s="22" t="str">
        <f>IF(Tabel!O30="","",Tabel!S30)</f>
        <v/>
      </c>
      <c r="D27" s="11" t="str">
        <f>IF(Tabel!O30="","",IF(Tabel!S30="","",Tabel!O30))</f>
        <v/>
      </c>
      <c r="E27" s="22" t="str">
        <f>IF(Tabel!P30="","",Tabel!T30)</f>
        <v/>
      </c>
      <c r="F27" s="11" t="str">
        <f>IF(Tabel!P30="","",IF(Tabel!U30="","",Tabel!P30))</f>
        <v/>
      </c>
    </row>
    <row r="28" spans="1:6" x14ac:dyDescent="0.25">
      <c r="A28" s="22" t="str">
        <f>IF(Tabel!N31="","",Tabel!Q31)</f>
        <v/>
      </c>
      <c r="B28" s="11" t="str">
        <f>IF(Tabel!N31="","",IF(Tabel!Q31="","",Tabel!N31))</f>
        <v/>
      </c>
      <c r="C28" s="22" t="str">
        <f>IF(Tabel!O31="","",Tabel!S31)</f>
        <v/>
      </c>
      <c r="D28" s="11" t="str">
        <f>IF(Tabel!O31="","",IF(Tabel!S31="","",Tabel!O31))</f>
        <v/>
      </c>
      <c r="E28" s="22" t="str">
        <f>IF(Tabel!P31="","",Tabel!T31)</f>
        <v/>
      </c>
      <c r="F28" s="11" t="str">
        <f>IF(Tabel!P31="","",IF(Tabel!U31="","",Tabel!P31))</f>
        <v/>
      </c>
    </row>
    <row r="29" spans="1:6" x14ac:dyDescent="0.25">
      <c r="A29" s="22" t="str">
        <f>IF(Tabel!N32="","",Tabel!Q32)</f>
        <v/>
      </c>
      <c r="B29" s="11" t="str">
        <f>IF(Tabel!N32="","",IF(Tabel!Q32="","",Tabel!N32))</f>
        <v/>
      </c>
      <c r="C29" s="22" t="str">
        <f>IF(Tabel!O32="","",Tabel!S32)</f>
        <v/>
      </c>
      <c r="D29" s="11" t="str">
        <f>IF(Tabel!O32="","",IF(Tabel!S32="","",Tabel!O32))</f>
        <v/>
      </c>
      <c r="E29" s="22" t="str">
        <f>IF(Tabel!P32="","",Tabel!T32)</f>
        <v/>
      </c>
      <c r="F29" s="11" t="str">
        <f>IF(Tabel!P32="","",IF(Tabel!U32="","",Tabel!P32))</f>
        <v/>
      </c>
    </row>
    <row r="30" spans="1:6" x14ac:dyDescent="0.25">
      <c r="A30" s="22" t="str">
        <f>IF(Tabel!N33="","",Tabel!Q33)</f>
        <v/>
      </c>
      <c r="B30" s="11" t="str">
        <f>IF(Tabel!N33="","",IF(Tabel!Q33="","",Tabel!N33))</f>
        <v/>
      </c>
      <c r="C30" s="22" t="str">
        <f>IF(Tabel!O33="","",Tabel!S33)</f>
        <v/>
      </c>
      <c r="D30" s="11" t="str">
        <f>IF(Tabel!O33="","",IF(Tabel!S33="","",Tabel!O33))</f>
        <v/>
      </c>
      <c r="E30" s="22" t="str">
        <f>IF(Tabel!P33="","",Tabel!T33)</f>
        <v/>
      </c>
      <c r="F30" s="11" t="str">
        <f>IF(Tabel!P33="","",IF(Tabel!U33="","",Tabel!P33))</f>
        <v/>
      </c>
    </row>
    <row r="31" spans="1:6" x14ac:dyDescent="0.25">
      <c r="A31" s="22" t="str">
        <f>IF(Tabel!N34="","",Tabel!Q34)</f>
        <v/>
      </c>
      <c r="B31" s="11" t="str">
        <f>IF(Tabel!N34="","",IF(Tabel!Q34="","",Tabel!N34))</f>
        <v/>
      </c>
      <c r="C31" s="22" t="str">
        <f>IF(Tabel!O34="","",Tabel!S34)</f>
        <v/>
      </c>
      <c r="D31" s="11" t="str">
        <f>IF(Tabel!O34="","",IF(Tabel!S34="","",Tabel!O34))</f>
        <v/>
      </c>
      <c r="E31" s="22" t="str">
        <f>IF(Tabel!P34="","",Tabel!T34)</f>
        <v/>
      </c>
      <c r="F31" s="11" t="str">
        <f>IF(Tabel!P34="","",IF(Tabel!U34="","",Tabel!P34))</f>
        <v/>
      </c>
    </row>
    <row r="32" spans="1:6" x14ac:dyDescent="0.25">
      <c r="A32" s="22" t="str">
        <f>IF(Tabel!N35="","",Tabel!Q35)</f>
        <v/>
      </c>
      <c r="B32" s="11" t="str">
        <f>IF(Tabel!N35="","",IF(Tabel!Q35="","",Tabel!N35))</f>
        <v/>
      </c>
      <c r="C32" s="22" t="str">
        <f>IF(Tabel!O35="","",Tabel!S35)</f>
        <v/>
      </c>
      <c r="D32" s="11" t="str">
        <f>IF(Tabel!O35="","",IF(Tabel!S35="","",Tabel!O35))</f>
        <v/>
      </c>
      <c r="E32" s="22" t="str">
        <f>IF(Tabel!P35="","",Tabel!T35)</f>
        <v/>
      </c>
      <c r="F32" s="11" t="str">
        <f>IF(Tabel!P35="","",IF(Tabel!U35="","",Tabel!P35))</f>
        <v/>
      </c>
    </row>
    <row r="33" spans="1:6" x14ac:dyDescent="0.25">
      <c r="A33" s="22" t="str">
        <f>IF(Tabel!N36="","",Tabel!Q36)</f>
        <v/>
      </c>
      <c r="B33" s="11" t="str">
        <f>IF(Tabel!N36="","",IF(Tabel!Q36="","",Tabel!N36))</f>
        <v/>
      </c>
      <c r="C33" s="22" t="str">
        <f>IF(Tabel!O36="","",Tabel!S36)</f>
        <v/>
      </c>
      <c r="D33" s="11" t="str">
        <f>IF(Tabel!O36="","",IF(Tabel!S36="","",Tabel!O36))</f>
        <v/>
      </c>
      <c r="E33" s="22" t="str">
        <f>IF(Tabel!P36="","",Tabel!T36)</f>
        <v/>
      </c>
      <c r="F33" s="11" t="str">
        <f>IF(Tabel!P36="","",IF(Tabel!U36="","",Tabel!P36))</f>
        <v/>
      </c>
    </row>
    <row r="34" spans="1:6" x14ac:dyDescent="0.25">
      <c r="A34" s="22" t="str">
        <f>IF(Tabel!N37="","",Tabel!Q37)</f>
        <v/>
      </c>
      <c r="B34" s="11" t="str">
        <f>IF(Tabel!N37="","",IF(Tabel!Q37="","",Tabel!N37))</f>
        <v/>
      </c>
      <c r="C34" s="22" t="str">
        <f>IF(Tabel!O37="","",Tabel!S37)</f>
        <v/>
      </c>
      <c r="D34" s="11" t="str">
        <f>IF(Tabel!O37="","",IF(Tabel!S37="","",Tabel!O37))</f>
        <v/>
      </c>
      <c r="E34" s="22" t="str">
        <f>IF(Tabel!P37="","",Tabel!T37)</f>
        <v/>
      </c>
      <c r="F34" s="11" t="str">
        <f>IF(Tabel!P37="","",IF(Tabel!U37="","",Tabel!P37))</f>
        <v/>
      </c>
    </row>
    <row r="35" spans="1:6" x14ac:dyDescent="0.25">
      <c r="A35" s="22" t="str">
        <f>IF(Tabel!N38="","",Tabel!Q38)</f>
        <v/>
      </c>
      <c r="B35" s="11" t="str">
        <f>IF(Tabel!N38="","",IF(Tabel!Q38="","",Tabel!N38))</f>
        <v/>
      </c>
      <c r="C35" s="22" t="str">
        <f>IF(Tabel!O38="","",Tabel!S38)</f>
        <v/>
      </c>
      <c r="D35" s="11" t="str">
        <f>IF(Tabel!O38="","",IF(Tabel!S38="","",Tabel!O38))</f>
        <v/>
      </c>
      <c r="E35" s="22" t="str">
        <f>IF(Tabel!P38="","",Tabel!T38)</f>
        <v/>
      </c>
      <c r="F35" s="11" t="str">
        <f>IF(Tabel!P38="","",IF(Tabel!U38="","",Tabel!P38))</f>
        <v/>
      </c>
    </row>
    <row r="36" spans="1:6" x14ac:dyDescent="0.25">
      <c r="A36" s="22" t="str">
        <f>IF(Tabel!N39="","",Tabel!Q39)</f>
        <v/>
      </c>
      <c r="B36" s="11" t="str">
        <f>IF(Tabel!N39="","",IF(Tabel!Q39="","",Tabel!N39))</f>
        <v/>
      </c>
      <c r="C36" s="22" t="str">
        <f>IF(Tabel!O39="","",Tabel!S39)</f>
        <v/>
      </c>
      <c r="D36" s="11" t="str">
        <f>IF(Tabel!O39="","",IF(Tabel!S39="","",Tabel!O39))</f>
        <v/>
      </c>
      <c r="E36" s="22" t="str">
        <f>IF(Tabel!P39="","",Tabel!T39)</f>
        <v/>
      </c>
      <c r="F36" s="11" t="str">
        <f>IF(Tabel!P39="","",IF(Tabel!U39="","",Tabel!P39))</f>
        <v/>
      </c>
    </row>
    <row r="37" spans="1:6" x14ac:dyDescent="0.25">
      <c r="A37" s="22" t="str">
        <f>IF(Tabel!N40="","",Tabel!Q40)</f>
        <v/>
      </c>
      <c r="B37" s="11" t="str">
        <f>IF(Tabel!N40="","",IF(Tabel!Q40="","",Tabel!N40))</f>
        <v/>
      </c>
      <c r="C37" s="22" t="str">
        <f>IF(Tabel!O40="","",Tabel!S40)</f>
        <v/>
      </c>
      <c r="D37" s="11" t="str">
        <f>IF(Tabel!O40="","",IF(Tabel!S40="","",Tabel!O40))</f>
        <v/>
      </c>
      <c r="E37" s="22" t="str">
        <f>IF(Tabel!P40="","",Tabel!T40)</f>
        <v/>
      </c>
      <c r="F37" s="11" t="str">
        <f>IF(Tabel!P40="","",IF(Tabel!U40="","",Tabel!P40))</f>
        <v/>
      </c>
    </row>
    <row r="38" spans="1:6" x14ac:dyDescent="0.25">
      <c r="A38" s="22" t="str">
        <f>IF(Tabel!N41="","",Tabel!Q41)</f>
        <v/>
      </c>
      <c r="B38" s="11" t="str">
        <f>IF(Tabel!N41="","",IF(Tabel!Q41="","",Tabel!N41))</f>
        <v/>
      </c>
      <c r="C38" s="22" t="str">
        <f>IF(Tabel!O41="","",Tabel!S41)</f>
        <v/>
      </c>
      <c r="D38" s="11" t="str">
        <f>IF(Tabel!O41="","",IF(Tabel!S41="","",Tabel!O41))</f>
        <v/>
      </c>
      <c r="E38" s="22" t="str">
        <f>IF(Tabel!P41="","",Tabel!T41)</f>
        <v/>
      </c>
      <c r="F38" s="11" t="str">
        <f>IF(Tabel!P41="","",IF(Tabel!U41="","",Tabel!P41))</f>
        <v/>
      </c>
    </row>
    <row r="39" spans="1:6" x14ac:dyDescent="0.25">
      <c r="A39" s="22" t="str">
        <f>IF(Tabel!N42="","",Tabel!Q42)</f>
        <v/>
      </c>
      <c r="B39" s="11" t="str">
        <f>IF(Tabel!N42="","",IF(Tabel!Q42="","",Tabel!N42))</f>
        <v/>
      </c>
      <c r="C39" s="22" t="str">
        <f>IF(Tabel!O42="","",Tabel!S42)</f>
        <v/>
      </c>
      <c r="D39" s="11" t="str">
        <f>IF(Tabel!O42="","",IF(Tabel!S42="","",Tabel!O42))</f>
        <v/>
      </c>
      <c r="E39" s="22" t="str">
        <f>IF(Tabel!P42="","",Tabel!T42)</f>
        <v/>
      </c>
      <c r="F39" s="11" t="str">
        <f>IF(Tabel!P42="","",IF(Tabel!U42="","",Tabel!P42))</f>
        <v/>
      </c>
    </row>
    <row r="40" spans="1:6" x14ac:dyDescent="0.25">
      <c r="A40" s="22" t="str">
        <f>IF(Tabel!N43="","",Tabel!Q43)</f>
        <v/>
      </c>
      <c r="B40" s="11" t="str">
        <f>IF(Tabel!N43="","",IF(Tabel!Q43="","",Tabel!N43))</f>
        <v/>
      </c>
      <c r="C40" s="22" t="str">
        <f>IF(Tabel!O43="","",Tabel!S43)</f>
        <v/>
      </c>
      <c r="D40" s="11" t="str">
        <f>IF(Tabel!O43="","",IF(Tabel!S43="","",Tabel!O43))</f>
        <v/>
      </c>
      <c r="E40" s="22" t="str">
        <f>IF(Tabel!P43="","",Tabel!T43)</f>
        <v/>
      </c>
      <c r="F40" s="11" t="str">
        <f>IF(Tabel!P43="","",IF(Tabel!U43="","",Tabel!P43))</f>
        <v/>
      </c>
    </row>
    <row r="41" spans="1:6" x14ac:dyDescent="0.25">
      <c r="A41" s="22" t="str">
        <f>IF(Tabel!N44="","",Tabel!Q44)</f>
        <v/>
      </c>
      <c r="B41" s="11" t="str">
        <f>IF(Tabel!N44="","",IF(Tabel!Q44="","",Tabel!N44))</f>
        <v/>
      </c>
      <c r="C41" s="22" t="str">
        <f>IF(Tabel!O44="","",Tabel!S44)</f>
        <v/>
      </c>
      <c r="D41" s="11" t="str">
        <f>IF(Tabel!O44="","",IF(Tabel!S44="","",Tabel!O44))</f>
        <v/>
      </c>
      <c r="E41" s="22" t="str">
        <f>IF(Tabel!P44="","",Tabel!T44)</f>
        <v/>
      </c>
      <c r="F41" s="11" t="str">
        <f>IF(Tabel!P44="","",IF(Tabel!U44="","",Tabel!P44))</f>
        <v/>
      </c>
    </row>
    <row r="42" spans="1:6" x14ac:dyDescent="0.25">
      <c r="A42" s="22" t="str">
        <f>IF(Tabel!N45="","",Tabel!Q45)</f>
        <v/>
      </c>
      <c r="B42" s="11" t="str">
        <f>IF(Tabel!N45="","",IF(Tabel!Q45="","",Tabel!N45))</f>
        <v/>
      </c>
      <c r="C42" s="22" t="str">
        <f>IF(Tabel!O45="","",Tabel!S45)</f>
        <v/>
      </c>
      <c r="D42" s="11" t="str">
        <f>IF(Tabel!O45="","",IF(Tabel!S45="","",Tabel!O45))</f>
        <v/>
      </c>
      <c r="E42" s="22" t="str">
        <f>IF(Tabel!P45="","",Tabel!T45)</f>
        <v/>
      </c>
      <c r="F42" s="11" t="str">
        <f>IF(Tabel!P45="","",IF(Tabel!U45="","",Tabel!P45))</f>
        <v/>
      </c>
    </row>
    <row r="43" spans="1:6" x14ac:dyDescent="0.25">
      <c r="A43" s="22" t="str">
        <f>IF(Tabel!N46="","",Tabel!Q46)</f>
        <v/>
      </c>
      <c r="B43" s="11" t="str">
        <f>IF(Tabel!N46="","",IF(Tabel!Q46="","",Tabel!N46))</f>
        <v/>
      </c>
      <c r="C43" s="22" t="str">
        <f>IF(Tabel!O46="","",Tabel!S46)</f>
        <v/>
      </c>
      <c r="D43" s="11" t="str">
        <f>IF(Tabel!O46="","",IF(Tabel!S46="","",Tabel!O46))</f>
        <v/>
      </c>
      <c r="E43" s="22" t="str">
        <f>IF(Tabel!P46="","",Tabel!T46)</f>
        <v/>
      </c>
      <c r="F43" s="11" t="str">
        <f>IF(Tabel!P46="","",IF(Tabel!U46="","",Tabel!P46))</f>
        <v/>
      </c>
    </row>
    <row r="44" spans="1:6" x14ac:dyDescent="0.25">
      <c r="A44" s="22" t="str">
        <f>IF(Tabel!N47="","",Tabel!Q47)</f>
        <v/>
      </c>
      <c r="B44" s="11" t="str">
        <f>IF(Tabel!N47="","",IF(Tabel!Q47="","",Tabel!N47))</f>
        <v/>
      </c>
      <c r="C44" s="22" t="str">
        <f>IF(Tabel!O47="","",Tabel!S47)</f>
        <v/>
      </c>
      <c r="D44" s="11" t="str">
        <f>IF(Tabel!O47="","",IF(Tabel!S47="","",Tabel!O47))</f>
        <v/>
      </c>
      <c r="E44" s="22" t="str">
        <f>IF(Tabel!P47="","",Tabel!T47)</f>
        <v/>
      </c>
      <c r="F44" s="11" t="str">
        <f>IF(Tabel!P47="","",IF(Tabel!U47="","",Tabel!P47))</f>
        <v/>
      </c>
    </row>
    <row r="45" spans="1:6" x14ac:dyDescent="0.25">
      <c r="A45" s="22" t="str">
        <f>IF(Tabel!N48="","",Tabel!Q48)</f>
        <v/>
      </c>
      <c r="B45" s="11" t="str">
        <f>IF(Tabel!N48="","",IF(Tabel!Q48="","",Tabel!N48))</f>
        <v/>
      </c>
      <c r="C45" s="22" t="str">
        <f>IF(Tabel!O48="","",Tabel!S48)</f>
        <v/>
      </c>
      <c r="D45" s="11" t="str">
        <f>IF(Tabel!O48="","",IF(Tabel!S48="","",Tabel!O48))</f>
        <v/>
      </c>
      <c r="E45" s="22" t="str">
        <f>IF(Tabel!P48="","",Tabel!T48)</f>
        <v/>
      </c>
      <c r="F45" s="11" t="str">
        <f>IF(Tabel!P48="","",IF(Tabel!U48="","",Tabel!P48))</f>
        <v/>
      </c>
    </row>
    <row r="46" spans="1:6" x14ac:dyDescent="0.25">
      <c r="A46" s="22" t="str">
        <f>IF(Tabel!N49="","",Tabel!Q49)</f>
        <v/>
      </c>
      <c r="B46" s="11" t="str">
        <f>IF(Tabel!N49="","",IF(Tabel!Q49="","",Tabel!N49))</f>
        <v/>
      </c>
      <c r="C46" s="22" t="str">
        <f>IF(Tabel!O49="","",Tabel!S49)</f>
        <v/>
      </c>
      <c r="D46" s="11" t="str">
        <f>IF(Tabel!O49="","",IF(Tabel!S49="","",Tabel!O49))</f>
        <v/>
      </c>
      <c r="E46" s="22" t="str">
        <f>IF(Tabel!P49="","",Tabel!T49)</f>
        <v/>
      </c>
      <c r="F46" s="11" t="str">
        <f>IF(Tabel!P49="","",IF(Tabel!U49="","",Tabel!P49))</f>
        <v/>
      </c>
    </row>
    <row r="47" spans="1:6" x14ac:dyDescent="0.25">
      <c r="A47" s="22" t="str">
        <f>IF(Tabel!N50="","",Tabel!Q50)</f>
        <v/>
      </c>
      <c r="B47" s="11" t="str">
        <f>IF(Tabel!N50="","",IF(Tabel!Q50="","",Tabel!N50))</f>
        <v/>
      </c>
      <c r="C47" s="22" t="str">
        <f>IF(Tabel!O50="","",Tabel!S50)</f>
        <v/>
      </c>
      <c r="D47" s="11" t="str">
        <f>IF(Tabel!O50="","",IF(Tabel!S50="","",Tabel!O50))</f>
        <v/>
      </c>
      <c r="E47" s="22" t="str">
        <f>IF(Tabel!P50="","",Tabel!T50)</f>
        <v/>
      </c>
      <c r="F47" s="11" t="str">
        <f>IF(Tabel!P50="","",IF(Tabel!U50="","",Tabel!P50))</f>
        <v/>
      </c>
    </row>
    <row r="48" spans="1:6" x14ac:dyDescent="0.25">
      <c r="A48" s="22" t="str">
        <f>IF(Tabel!N51="","",Tabel!Q51)</f>
        <v/>
      </c>
      <c r="B48" s="11" t="str">
        <f>IF(Tabel!N51="","",IF(Tabel!Q51="","",Tabel!N51))</f>
        <v/>
      </c>
      <c r="C48" s="22" t="str">
        <f>IF(Tabel!O51="","",Tabel!S51)</f>
        <v/>
      </c>
      <c r="D48" s="11" t="str">
        <f>IF(Tabel!O51="","",IF(Tabel!S51="","",Tabel!O51))</f>
        <v/>
      </c>
      <c r="E48" s="22" t="str">
        <f>IF(Tabel!P51="","",Tabel!T51)</f>
        <v/>
      </c>
      <c r="F48" s="11" t="str">
        <f>IF(Tabel!P51="","",IF(Tabel!U51="","",Tabel!P51))</f>
        <v/>
      </c>
    </row>
    <row r="49" spans="1:6" x14ac:dyDescent="0.25">
      <c r="A49" s="22" t="str">
        <f>IF(Tabel!N52="","",Tabel!Q52)</f>
        <v/>
      </c>
      <c r="B49" s="11" t="str">
        <f>IF(Tabel!N52="","",IF(Tabel!Q52="","",Tabel!N52))</f>
        <v/>
      </c>
      <c r="C49" s="22" t="str">
        <f>IF(Tabel!O52="","",Tabel!S52)</f>
        <v/>
      </c>
      <c r="D49" s="11" t="str">
        <f>IF(Tabel!O52="","",IF(Tabel!S52="","",Tabel!O52))</f>
        <v/>
      </c>
      <c r="E49" s="22" t="str">
        <f>IF(Tabel!P52="","",Tabel!T52)</f>
        <v/>
      </c>
      <c r="F49" s="11" t="str">
        <f>IF(Tabel!P52="","",IF(Tabel!U52="","",Tabel!P52))</f>
        <v/>
      </c>
    </row>
    <row r="50" spans="1:6" x14ac:dyDescent="0.25">
      <c r="A50" s="22" t="str">
        <f>IF(Tabel!N53="","",Tabel!Q53)</f>
        <v/>
      </c>
      <c r="B50" s="11" t="str">
        <f>IF(Tabel!N53="","",IF(Tabel!Q53="","",Tabel!N53))</f>
        <v/>
      </c>
      <c r="C50" s="22" t="str">
        <f>IF(Tabel!O53="","",Tabel!S53)</f>
        <v/>
      </c>
      <c r="D50" s="11" t="str">
        <f>IF(Tabel!O53="","",IF(Tabel!S53="","",Tabel!O53))</f>
        <v/>
      </c>
      <c r="E50" s="22" t="str">
        <f>IF(Tabel!P53="","",Tabel!T53)</f>
        <v/>
      </c>
      <c r="F50" s="11" t="str">
        <f>IF(Tabel!P53="","",IF(Tabel!U53="","",Tabel!P53))</f>
        <v/>
      </c>
    </row>
    <row r="51" spans="1:6" x14ac:dyDescent="0.25">
      <c r="A51" s="22" t="str">
        <f>IF(Tabel!N54="","",Tabel!Q54)</f>
        <v/>
      </c>
      <c r="B51" s="11" t="str">
        <f>IF(Tabel!N54="","",IF(Tabel!Q54="","",Tabel!N54))</f>
        <v/>
      </c>
      <c r="C51" s="22" t="str">
        <f>IF(Tabel!O54="","",Tabel!S54)</f>
        <v/>
      </c>
      <c r="D51" s="11" t="str">
        <f>IF(Tabel!O54="","",IF(Tabel!S54="","",Tabel!O54))</f>
        <v/>
      </c>
      <c r="E51" s="22" t="str">
        <f>IF(Tabel!P54="","",Tabel!T54)</f>
        <v/>
      </c>
      <c r="F51" s="11" t="str">
        <f>IF(Tabel!P54="","",IF(Tabel!U54="","",Tabel!P54))</f>
        <v/>
      </c>
    </row>
    <row r="52" spans="1:6" x14ac:dyDescent="0.25">
      <c r="A52" s="22" t="str">
        <f>IF(Tabel!N55="","",Tabel!Q55)</f>
        <v/>
      </c>
      <c r="B52" s="11" t="str">
        <f>IF(Tabel!N55="","",IF(Tabel!Q55="","",Tabel!N55))</f>
        <v/>
      </c>
      <c r="C52" s="22" t="str">
        <f>IF(Tabel!O55="","",Tabel!S55)</f>
        <v/>
      </c>
      <c r="D52" s="11" t="str">
        <f>IF(Tabel!O55="","",IF(Tabel!S55="","",Tabel!O55))</f>
        <v/>
      </c>
      <c r="E52" s="22" t="str">
        <f>IF(Tabel!P55="","",Tabel!T55)</f>
        <v/>
      </c>
      <c r="F52" s="11" t="str">
        <f>IF(Tabel!P55="","",IF(Tabel!U55="","",Tabel!P55))</f>
        <v/>
      </c>
    </row>
    <row r="53" spans="1:6" x14ac:dyDescent="0.25">
      <c r="A53" s="22" t="str">
        <f>IF(Tabel!N56="","",Tabel!Q56)</f>
        <v/>
      </c>
      <c r="B53" s="11" t="str">
        <f>IF(Tabel!N56="","",IF(Tabel!Q56="","",Tabel!N56))</f>
        <v/>
      </c>
      <c r="C53" s="22" t="str">
        <f>IF(Tabel!O56="","",Tabel!S56)</f>
        <v/>
      </c>
      <c r="D53" s="11" t="str">
        <f>IF(Tabel!O56="","",IF(Tabel!S56="","",Tabel!O56))</f>
        <v/>
      </c>
      <c r="E53" s="22" t="str">
        <f>IF(Tabel!P56="","",Tabel!T56)</f>
        <v/>
      </c>
      <c r="F53" s="11" t="str">
        <f>IF(Tabel!P56="","",IF(Tabel!U56="","",Tabel!P56))</f>
        <v/>
      </c>
    </row>
    <row r="54" spans="1:6" x14ac:dyDescent="0.25">
      <c r="A54" s="22" t="str">
        <f>IF(Tabel!N57="","",Tabel!Q57)</f>
        <v/>
      </c>
      <c r="B54" s="11" t="str">
        <f>IF(Tabel!N57="","",IF(Tabel!Q57="","",Tabel!N57))</f>
        <v/>
      </c>
      <c r="C54" s="22" t="str">
        <f>IF(Tabel!O57="","",Tabel!S57)</f>
        <v/>
      </c>
      <c r="D54" s="11" t="str">
        <f>IF(Tabel!O57="","",IF(Tabel!S57="","",Tabel!O57))</f>
        <v/>
      </c>
      <c r="E54" s="22" t="str">
        <f>IF(Tabel!P57="","",Tabel!T57)</f>
        <v/>
      </c>
      <c r="F54" s="11" t="str">
        <f>IF(Tabel!P57="","",IF(Tabel!U57="","",Tabel!P57))</f>
        <v/>
      </c>
    </row>
    <row r="55" spans="1:6" x14ac:dyDescent="0.25">
      <c r="A55" s="22" t="str">
        <f>IF(Tabel!N58="","",Tabel!Q58)</f>
        <v/>
      </c>
      <c r="B55" s="11" t="str">
        <f>IF(Tabel!N58="","",IF(Tabel!Q58="","",Tabel!N58))</f>
        <v/>
      </c>
      <c r="C55" s="22" t="str">
        <f>IF(Tabel!O58="","",Tabel!S58)</f>
        <v/>
      </c>
      <c r="D55" s="11" t="str">
        <f>IF(Tabel!O58="","",IF(Tabel!S58="","",Tabel!O58))</f>
        <v/>
      </c>
      <c r="E55" s="22" t="str">
        <f>IF(Tabel!P58="","",Tabel!T58)</f>
        <v/>
      </c>
      <c r="F55" s="11" t="str">
        <f>IF(Tabel!P58="","",IF(Tabel!U58="","",Tabel!P58))</f>
        <v/>
      </c>
    </row>
    <row r="56" spans="1:6" x14ac:dyDescent="0.25">
      <c r="A56" s="22" t="str">
        <f>IF(Tabel!N59="","",Tabel!Q59)</f>
        <v/>
      </c>
      <c r="B56" s="11" t="str">
        <f>IF(Tabel!N59="","",IF(Tabel!Q59="","",Tabel!N59))</f>
        <v/>
      </c>
      <c r="C56" s="22" t="str">
        <f>IF(Tabel!O59="","",Tabel!S59)</f>
        <v/>
      </c>
      <c r="D56" s="11" t="str">
        <f>IF(Tabel!O59="","",IF(Tabel!S59="","",Tabel!O59))</f>
        <v/>
      </c>
      <c r="E56" s="22" t="str">
        <f>IF(Tabel!P59="","",Tabel!T59)</f>
        <v/>
      </c>
      <c r="F56" s="11" t="str">
        <f>IF(Tabel!P59="","",IF(Tabel!U59="","",Tabel!P59))</f>
        <v/>
      </c>
    </row>
    <row r="57" spans="1:6" x14ac:dyDescent="0.25">
      <c r="A57" s="22" t="str">
        <f>IF(Tabel!N60="","",Tabel!Q60)</f>
        <v/>
      </c>
      <c r="B57" s="11" t="str">
        <f>IF(Tabel!N60="","",IF(Tabel!Q60="","",Tabel!N60))</f>
        <v/>
      </c>
      <c r="C57" s="22" t="str">
        <f>IF(Tabel!O60="","",Tabel!S60)</f>
        <v/>
      </c>
      <c r="D57" s="11" t="str">
        <f>IF(Tabel!O60="","",IF(Tabel!S60="","",Tabel!O60))</f>
        <v/>
      </c>
      <c r="E57" s="22" t="str">
        <f>IF(Tabel!P60="","",Tabel!T60)</f>
        <v/>
      </c>
      <c r="F57" s="11" t="str">
        <f>IF(Tabel!P60="","",IF(Tabel!U60="","",Tabel!P60))</f>
        <v/>
      </c>
    </row>
    <row r="58" spans="1:6" x14ac:dyDescent="0.25">
      <c r="A58" s="22" t="str">
        <f>IF(Tabel!N61="","",Tabel!Q61)</f>
        <v/>
      </c>
      <c r="B58" s="11" t="str">
        <f>IF(Tabel!N61="","",IF(Tabel!Q61="","",Tabel!N61))</f>
        <v/>
      </c>
      <c r="C58" s="22" t="str">
        <f>IF(Tabel!O61="","",Tabel!S61)</f>
        <v/>
      </c>
      <c r="D58" s="11" t="str">
        <f>IF(Tabel!O61="","",IF(Tabel!S61="","",Tabel!O61))</f>
        <v/>
      </c>
      <c r="E58" s="22" t="str">
        <f>IF(Tabel!P61="","",Tabel!T61)</f>
        <v/>
      </c>
      <c r="F58" s="11" t="str">
        <f>IF(Tabel!P61="","",IF(Tabel!U61="","",Tabel!P61))</f>
        <v/>
      </c>
    </row>
    <row r="59" spans="1:6" x14ac:dyDescent="0.25">
      <c r="A59" s="22" t="str">
        <f>IF(Tabel!N62="","",Tabel!Q62)</f>
        <v/>
      </c>
      <c r="B59" s="11" t="str">
        <f>IF(Tabel!N62="","",IF(Tabel!Q62="","",Tabel!N62))</f>
        <v/>
      </c>
      <c r="C59" s="22" t="str">
        <f>IF(Tabel!O62="","",Tabel!S62)</f>
        <v/>
      </c>
      <c r="D59" s="11" t="str">
        <f>IF(Tabel!O62="","",IF(Tabel!S62="","",Tabel!O62))</f>
        <v/>
      </c>
      <c r="E59" s="22" t="str">
        <f>IF(Tabel!P62="","",Tabel!T62)</f>
        <v/>
      </c>
      <c r="F59" s="11" t="str">
        <f>IF(Tabel!P62="","",IF(Tabel!U62="","",Tabel!P62))</f>
        <v/>
      </c>
    </row>
    <row r="60" spans="1:6" x14ac:dyDescent="0.25">
      <c r="A60" s="22" t="str">
        <f>IF(Tabel!N63="","",Tabel!Q63)</f>
        <v/>
      </c>
      <c r="B60" s="11" t="str">
        <f>IF(Tabel!N63="","",IF(Tabel!Q63="","",Tabel!N63))</f>
        <v/>
      </c>
      <c r="C60" s="22" t="str">
        <f>IF(Tabel!O63="","",Tabel!S63)</f>
        <v/>
      </c>
      <c r="D60" s="11" t="str">
        <f>IF(Tabel!O63="","",IF(Tabel!S63="","",Tabel!O63))</f>
        <v/>
      </c>
      <c r="E60" s="22" t="str">
        <f>IF(Tabel!P63="","",Tabel!T63)</f>
        <v/>
      </c>
      <c r="F60" s="11" t="str">
        <f>IF(Tabel!P63="","",IF(Tabel!U63="","",Tabel!P63))</f>
        <v/>
      </c>
    </row>
    <row r="61" spans="1:6" x14ac:dyDescent="0.25">
      <c r="A61" s="22" t="str">
        <f>IF(Tabel!N64="","",Tabel!Q64)</f>
        <v/>
      </c>
      <c r="B61" s="11" t="str">
        <f>IF(Tabel!N64="","",IF(Tabel!Q64="","",Tabel!N64))</f>
        <v/>
      </c>
      <c r="C61" s="22" t="str">
        <f>IF(Tabel!O64="","",Tabel!S64)</f>
        <v/>
      </c>
      <c r="D61" s="11" t="str">
        <f>IF(Tabel!O64="","",IF(Tabel!S64="","",Tabel!O64))</f>
        <v/>
      </c>
      <c r="E61" s="22" t="str">
        <f>IF(Tabel!P64="","",Tabel!T64)</f>
        <v/>
      </c>
      <c r="F61" s="11" t="str">
        <f>IF(Tabel!P64="","",IF(Tabel!U64="","",Tabel!P64))</f>
        <v/>
      </c>
    </row>
    <row r="62" spans="1:6" x14ac:dyDescent="0.25">
      <c r="A62" s="22" t="str">
        <f>IF(Tabel!N65="","",Tabel!Q65)</f>
        <v/>
      </c>
      <c r="B62" s="11" t="str">
        <f>IF(Tabel!N65="","",IF(Tabel!Q65="","",Tabel!N65))</f>
        <v/>
      </c>
      <c r="C62" s="22" t="str">
        <f>IF(Tabel!O65="","",Tabel!S65)</f>
        <v/>
      </c>
      <c r="D62" s="11" t="str">
        <f>IF(Tabel!O65="","",IF(Tabel!S65="","",Tabel!O65))</f>
        <v/>
      </c>
      <c r="E62" s="22" t="str">
        <f>IF(Tabel!P65="","",Tabel!T65)</f>
        <v/>
      </c>
      <c r="F62" s="11" t="str">
        <f>IF(Tabel!P65="","",IF(Tabel!U65="","",Tabel!P65))</f>
        <v/>
      </c>
    </row>
    <row r="63" spans="1:6" x14ac:dyDescent="0.25">
      <c r="A63" s="22" t="str">
        <f>IF(Tabel!N66="","",Tabel!Q66)</f>
        <v/>
      </c>
      <c r="B63" s="11" t="str">
        <f>IF(Tabel!N66="","",IF(Tabel!Q66="","",Tabel!N66))</f>
        <v/>
      </c>
      <c r="C63" s="22" t="str">
        <f>IF(Tabel!O66="","",Tabel!S66)</f>
        <v/>
      </c>
      <c r="D63" s="11" t="str">
        <f>IF(Tabel!O66="","",IF(Tabel!S66="","",Tabel!O66))</f>
        <v/>
      </c>
      <c r="E63" s="22" t="str">
        <f>IF(Tabel!P66="","",Tabel!T66)</f>
        <v/>
      </c>
      <c r="F63" s="11" t="str">
        <f>IF(Tabel!P66="","",IF(Tabel!U66="","",Tabel!P66))</f>
        <v/>
      </c>
    </row>
    <row r="64" spans="1:6" x14ac:dyDescent="0.25">
      <c r="A64" s="22" t="str">
        <f>IF(Tabel!N67="","",Tabel!Q67)</f>
        <v/>
      </c>
      <c r="B64" s="11" t="str">
        <f>IF(Tabel!N67="","",IF(Tabel!Q67="","",Tabel!N67))</f>
        <v/>
      </c>
      <c r="C64" s="22" t="str">
        <f>IF(Tabel!O67="","",Tabel!S67)</f>
        <v/>
      </c>
      <c r="D64" s="11" t="str">
        <f>IF(Tabel!O67="","",IF(Tabel!S67="","",Tabel!O67))</f>
        <v/>
      </c>
      <c r="E64" s="22" t="str">
        <f>IF(Tabel!P67="","",Tabel!T67)</f>
        <v/>
      </c>
      <c r="F64" s="11" t="str">
        <f>IF(Tabel!P67="","",IF(Tabel!U67="","",Tabel!P67))</f>
        <v/>
      </c>
    </row>
    <row r="65" spans="1:6" x14ac:dyDescent="0.25">
      <c r="A65" s="22" t="str">
        <f>IF(Tabel!N68="","",Tabel!Q68)</f>
        <v/>
      </c>
      <c r="B65" s="11" t="str">
        <f>IF(Tabel!N68="","",IF(Tabel!Q68="","",Tabel!N68))</f>
        <v/>
      </c>
      <c r="C65" s="22" t="str">
        <f>IF(Tabel!O68="","",Tabel!S68)</f>
        <v/>
      </c>
      <c r="D65" s="11" t="str">
        <f>IF(Tabel!O68="","",IF(Tabel!S68="","",Tabel!O68))</f>
        <v/>
      </c>
      <c r="E65" s="22" t="str">
        <f>IF(Tabel!P68="","",Tabel!T68)</f>
        <v/>
      </c>
      <c r="F65" s="11" t="str">
        <f>IF(Tabel!P68="","",IF(Tabel!U68="","",Tabel!P68))</f>
        <v/>
      </c>
    </row>
    <row r="66" spans="1:6" x14ac:dyDescent="0.25">
      <c r="A66" s="22" t="str">
        <f>IF(Tabel!N69="","",Tabel!Q69)</f>
        <v/>
      </c>
      <c r="B66" s="11" t="str">
        <f>IF(Tabel!N69="","",IF(Tabel!Q69="","",Tabel!N69))</f>
        <v/>
      </c>
      <c r="C66" s="22" t="str">
        <f>IF(Tabel!O69="","",Tabel!S69)</f>
        <v/>
      </c>
      <c r="D66" s="11" t="str">
        <f>IF(Tabel!O69="","",IF(Tabel!S69="","",Tabel!O69))</f>
        <v/>
      </c>
      <c r="E66" s="22" t="str">
        <f>IF(Tabel!P69="","",Tabel!T69)</f>
        <v/>
      </c>
      <c r="F66" s="11" t="str">
        <f>IF(Tabel!P69="","",IF(Tabel!U69="","",Tabel!P69))</f>
        <v/>
      </c>
    </row>
    <row r="67" spans="1:6" x14ac:dyDescent="0.25">
      <c r="A67" s="22" t="str">
        <f>IF(Tabel!N70="","",Tabel!Q70)</f>
        <v/>
      </c>
      <c r="B67" s="11" t="str">
        <f>IF(Tabel!N70="","",IF(Tabel!Q70="","",Tabel!N70))</f>
        <v/>
      </c>
      <c r="C67" s="22" t="str">
        <f>IF(Tabel!O70="","",Tabel!S70)</f>
        <v/>
      </c>
      <c r="D67" s="11" t="str">
        <f>IF(Tabel!O70="","",IF(Tabel!S70="","",Tabel!O70))</f>
        <v/>
      </c>
      <c r="E67" s="22" t="str">
        <f>IF(Tabel!P70="","",Tabel!T70)</f>
        <v/>
      </c>
      <c r="F67" s="11" t="str">
        <f>IF(Tabel!P70="","",IF(Tabel!U70="","",Tabel!P70))</f>
        <v/>
      </c>
    </row>
    <row r="68" spans="1:6" x14ac:dyDescent="0.25">
      <c r="A68" s="22" t="str">
        <f>IF(Tabel!N71="","",Tabel!Q71)</f>
        <v/>
      </c>
      <c r="B68" s="11" t="str">
        <f>IF(Tabel!N71="","",IF(Tabel!Q71="","",Tabel!N71))</f>
        <v/>
      </c>
      <c r="C68" s="22" t="str">
        <f>IF(Tabel!O71="","",Tabel!S71)</f>
        <v/>
      </c>
      <c r="D68" s="11" t="str">
        <f>IF(Tabel!O71="","",IF(Tabel!S71="","",Tabel!O71))</f>
        <v/>
      </c>
      <c r="E68" s="22" t="str">
        <f>IF(Tabel!P71="","",Tabel!T71)</f>
        <v/>
      </c>
      <c r="F68" s="11" t="str">
        <f>IF(Tabel!P71="","",IF(Tabel!U71="","",Tabel!P71))</f>
        <v/>
      </c>
    </row>
    <row r="69" spans="1:6" x14ac:dyDescent="0.25">
      <c r="A69" s="22" t="str">
        <f>IF(Tabel!N72="","",Tabel!Q72)</f>
        <v/>
      </c>
      <c r="B69" s="11" t="str">
        <f>IF(Tabel!N72="","",IF(Tabel!Q72="","",Tabel!N72))</f>
        <v/>
      </c>
      <c r="C69" s="22" t="str">
        <f>IF(Tabel!O72="","",Tabel!S72)</f>
        <v/>
      </c>
      <c r="D69" s="11" t="str">
        <f>IF(Tabel!O72="","",IF(Tabel!S72="","",Tabel!O72))</f>
        <v/>
      </c>
      <c r="E69" s="22" t="str">
        <f>IF(Tabel!P72="","",Tabel!T72)</f>
        <v/>
      </c>
      <c r="F69" s="11" t="str">
        <f>IF(Tabel!P72="","",IF(Tabel!U72="","",Tabel!P72))</f>
        <v/>
      </c>
    </row>
    <row r="70" spans="1:6" x14ac:dyDescent="0.25">
      <c r="A70" s="22" t="str">
        <f>IF(Tabel!N73="","",Tabel!Q73)</f>
        <v/>
      </c>
      <c r="B70" s="11" t="str">
        <f>IF(Tabel!N73="","",IF(Tabel!Q73="","",Tabel!N73))</f>
        <v/>
      </c>
      <c r="C70" s="22" t="str">
        <f>IF(Tabel!O73="","",Tabel!S73)</f>
        <v/>
      </c>
      <c r="D70" s="11" t="str">
        <f>IF(Tabel!O73="","",IF(Tabel!S73="","",Tabel!O73))</f>
        <v/>
      </c>
      <c r="E70" s="22" t="str">
        <f>IF(Tabel!P73="","",Tabel!T73)</f>
        <v/>
      </c>
      <c r="F70" s="11" t="str">
        <f>IF(Tabel!P73="","",IF(Tabel!U73="","",Tabel!P73))</f>
        <v/>
      </c>
    </row>
    <row r="71" spans="1:6" x14ac:dyDescent="0.25">
      <c r="A71" s="22" t="str">
        <f>IF(Tabel!N74="","",Tabel!Q74)</f>
        <v/>
      </c>
      <c r="B71" s="11" t="str">
        <f>IF(Tabel!N74="","",IF(Tabel!Q74="","",Tabel!N74))</f>
        <v/>
      </c>
      <c r="C71" s="22" t="str">
        <f>IF(Tabel!O74="","",Tabel!S74)</f>
        <v/>
      </c>
      <c r="D71" s="11" t="str">
        <f>IF(Tabel!O74="","",IF(Tabel!S74="","",Tabel!O74))</f>
        <v/>
      </c>
      <c r="E71" s="22" t="str">
        <f>IF(Tabel!P74="","",Tabel!T74)</f>
        <v/>
      </c>
      <c r="F71" s="11" t="str">
        <f>IF(Tabel!P74="","",IF(Tabel!U74="","",Tabel!P74))</f>
        <v/>
      </c>
    </row>
    <row r="72" spans="1:6" x14ac:dyDescent="0.25">
      <c r="A72" s="22" t="str">
        <f>IF(Tabel!N75="","",Tabel!Q75)</f>
        <v/>
      </c>
      <c r="B72" s="11" t="str">
        <f>IF(Tabel!N75="","",IF(Tabel!Q75="","",Tabel!N75))</f>
        <v/>
      </c>
      <c r="C72" s="22" t="str">
        <f>IF(Tabel!O75="","",Tabel!S75)</f>
        <v/>
      </c>
      <c r="D72" s="11" t="str">
        <f>IF(Tabel!O75="","",IF(Tabel!S75="","",Tabel!O75))</f>
        <v/>
      </c>
      <c r="E72" s="22" t="str">
        <f>IF(Tabel!P75="","",Tabel!T75)</f>
        <v/>
      </c>
      <c r="F72" s="11" t="str">
        <f>IF(Tabel!P75="","",IF(Tabel!U75="","",Tabel!P75))</f>
        <v/>
      </c>
    </row>
    <row r="73" spans="1:6" x14ac:dyDescent="0.25">
      <c r="A73" s="22" t="str">
        <f>IF(Tabel!N76="","",Tabel!Q76)</f>
        <v/>
      </c>
      <c r="B73" s="11" t="str">
        <f>IF(Tabel!N76="","",IF(Tabel!Q76="","",Tabel!N76))</f>
        <v/>
      </c>
      <c r="C73" s="22" t="str">
        <f>IF(Tabel!O76="","",Tabel!S76)</f>
        <v/>
      </c>
      <c r="D73" s="11" t="str">
        <f>IF(Tabel!O76="","",IF(Tabel!S76="","",Tabel!O76))</f>
        <v/>
      </c>
      <c r="E73" s="22" t="str">
        <f>IF(Tabel!P76="","",Tabel!T76)</f>
        <v/>
      </c>
      <c r="F73" s="11" t="str">
        <f>IF(Tabel!P76="","",IF(Tabel!U76="","",Tabel!P76))</f>
        <v/>
      </c>
    </row>
    <row r="74" spans="1:6" x14ac:dyDescent="0.25">
      <c r="A74" s="22" t="str">
        <f>IF(Tabel!N77="","",Tabel!Q77)</f>
        <v/>
      </c>
      <c r="B74" s="11" t="str">
        <f>IF(Tabel!N77="","",IF(Tabel!Q77="","",Tabel!N77))</f>
        <v/>
      </c>
      <c r="C74" s="22" t="str">
        <f>IF(Tabel!O77="","",Tabel!S77)</f>
        <v/>
      </c>
      <c r="D74" s="11" t="str">
        <f>IF(Tabel!O77="","",IF(Tabel!S77="","",Tabel!O77))</f>
        <v/>
      </c>
      <c r="E74" s="22" t="str">
        <f>IF(Tabel!P77="","",Tabel!T77)</f>
        <v/>
      </c>
      <c r="F74" s="11" t="str">
        <f>IF(Tabel!P77="","",IF(Tabel!U77="","",Tabel!P77))</f>
        <v/>
      </c>
    </row>
    <row r="75" spans="1:6" x14ac:dyDescent="0.25">
      <c r="A75" s="22" t="str">
        <f>IF(Tabel!N78="","",Tabel!Q78)</f>
        <v/>
      </c>
      <c r="B75" s="11" t="str">
        <f>IF(Tabel!N78="","",IF(Tabel!Q78="","",Tabel!N78))</f>
        <v/>
      </c>
      <c r="C75" s="22" t="str">
        <f>IF(Tabel!O78="","",Tabel!S78)</f>
        <v/>
      </c>
      <c r="D75" s="11" t="str">
        <f>IF(Tabel!O78="","",IF(Tabel!S78="","",Tabel!O78))</f>
        <v/>
      </c>
      <c r="E75" s="22" t="str">
        <f>IF(Tabel!P78="","",Tabel!T78)</f>
        <v/>
      </c>
      <c r="F75" s="11" t="str">
        <f>IF(Tabel!P78="","",IF(Tabel!U78="","",Tabel!P78))</f>
        <v/>
      </c>
    </row>
    <row r="76" spans="1:6" x14ac:dyDescent="0.25">
      <c r="A76" s="22" t="str">
        <f>IF(Tabel!N79="","",Tabel!Q79)</f>
        <v/>
      </c>
      <c r="B76" s="11" t="str">
        <f>IF(Tabel!N79="","",IF(Tabel!Q79="","",Tabel!N79))</f>
        <v/>
      </c>
      <c r="C76" s="22" t="str">
        <f>IF(Tabel!O79="","",Tabel!S79)</f>
        <v/>
      </c>
      <c r="D76" s="11" t="str">
        <f>IF(Tabel!O79="","",IF(Tabel!S79="","",Tabel!O79))</f>
        <v/>
      </c>
      <c r="E76" s="22" t="str">
        <f>IF(Tabel!P79="","",Tabel!T79)</f>
        <v/>
      </c>
      <c r="F76" s="11" t="str">
        <f>IF(Tabel!P79="","",IF(Tabel!U79="","",Tabel!P79))</f>
        <v/>
      </c>
    </row>
    <row r="77" spans="1:6" x14ac:dyDescent="0.25">
      <c r="A77" s="22" t="str">
        <f>IF(Tabel!N80="","",Tabel!Q80)</f>
        <v/>
      </c>
      <c r="B77" s="11" t="str">
        <f>IF(Tabel!N80="","",IF(Tabel!Q80="","",Tabel!N80))</f>
        <v/>
      </c>
      <c r="C77" s="22" t="str">
        <f>IF(Tabel!O80="","",Tabel!S80)</f>
        <v/>
      </c>
      <c r="D77" s="11" t="str">
        <f>IF(Tabel!O80="","",IF(Tabel!S80="","",Tabel!O80))</f>
        <v/>
      </c>
      <c r="E77" s="22" t="str">
        <f>IF(Tabel!P80="","",Tabel!T80)</f>
        <v/>
      </c>
      <c r="F77" s="11" t="str">
        <f>IF(Tabel!P80="","",IF(Tabel!U80="","",Tabel!P80))</f>
        <v/>
      </c>
    </row>
    <row r="78" spans="1:6" x14ac:dyDescent="0.25">
      <c r="A78" s="22" t="str">
        <f>IF(Tabel!N81="","",Tabel!Q81)</f>
        <v/>
      </c>
      <c r="B78" s="11" t="str">
        <f>IF(Tabel!N81="","",IF(Tabel!Q81="","",Tabel!N81))</f>
        <v/>
      </c>
      <c r="C78" s="22" t="str">
        <f>IF(Tabel!O81="","",Tabel!S81)</f>
        <v/>
      </c>
      <c r="D78" s="11" t="str">
        <f>IF(Tabel!O81="","",IF(Tabel!S81="","",Tabel!O81))</f>
        <v/>
      </c>
      <c r="E78" s="22" t="str">
        <f>IF(Tabel!P81="","",Tabel!T81)</f>
        <v/>
      </c>
      <c r="F78" s="11" t="str">
        <f>IF(Tabel!P81="","",IF(Tabel!U81="","",Tabel!P81))</f>
        <v/>
      </c>
    </row>
    <row r="79" spans="1:6" x14ac:dyDescent="0.25">
      <c r="A79" s="22" t="str">
        <f>IF(Tabel!N82="","",Tabel!Q82)</f>
        <v/>
      </c>
      <c r="B79" s="11" t="str">
        <f>IF(Tabel!N82="","",IF(Tabel!Q82="","",Tabel!N82))</f>
        <v/>
      </c>
      <c r="C79" s="22" t="str">
        <f>IF(Tabel!O82="","",Tabel!S82)</f>
        <v/>
      </c>
      <c r="D79" s="11" t="str">
        <f>IF(Tabel!O82="","",IF(Tabel!S82="","",Tabel!O82))</f>
        <v/>
      </c>
      <c r="E79" s="22" t="str">
        <f>IF(Tabel!P82="","",Tabel!T82)</f>
        <v/>
      </c>
      <c r="F79" s="11" t="str">
        <f>IF(Tabel!P82="","",IF(Tabel!U82="","",Tabel!P82))</f>
        <v/>
      </c>
    </row>
    <row r="80" spans="1:6" x14ac:dyDescent="0.25">
      <c r="A80" s="22" t="str">
        <f>IF(Tabel!N83="","",Tabel!Q83)</f>
        <v/>
      </c>
      <c r="B80" s="11" t="str">
        <f>IF(Tabel!N83="","",IF(Tabel!Q83="","",Tabel!N83))</f>
        <v/>
      </c>
      <c r="C80" s="22" t="str">
        <f>IF(Tabel!O83="","",Tabel!S83)</f>
        <v/>
      </c>
      <c r="D80" s="11" t="str">
        <f>IF(Tabel!O83="","",IF(Tabel!S83="","",Tabel!O83))</f>
        <v/>
      </c>
      <c r="E80" s="22" t="str">
        <f>IF(Tabel!P83="","",Tabel!T83)</f>
        <v/>
      </c>
      <c r="F80" s="11" t="str">
        <f>IF(Tabel!P83="","",IF(Tabel!U83="","",Tabel!P83))</f>
        <v/>
      </c>
    </row>
    <row r="81" spans="1:6" x14ac:dyDescent="0.25">
      <c r="A81" s="22" t="str">
        <f>IF(Tabel!N84="","",Tabel!Q84)</f>
        <v/>
      </c>
      <c r="B81" s="11" t="str">
        <f>IF(Tabel!N84="","",IF(Tabel!Q84="","",Tabel!N84))</f>
        <v/>
      </c>
      <c r="C81" s="22" t="str">
        <f>IF(Tabel!O84="","",Tabel!S84)</f>
        <v/>
      </c>
      <c r="D81" s="11" t="str">
        <f>IF(Tabel!O84="","",IF(Tabel!S84="","",Tabel!O84))</f>
        <v/>
      </c>
      <c r="E81" s="22" t="str">
        <f>IF(Tabel!P84="","",Tabel!T84)</f>
        <v/>
      </c>
      <c r="F81" s="11" t="str">
        <f>IF(Tabel!P84="","",IF(Tabel!U84="","",Tabel!P84))</f>
        <v/>
      </c>
    </row>
    <row r="82" spans="1:6" x14ac:dyDescent="0.25">
      <c r="A82" s="22" t="str">
        <f>IF(Tabel!N85="","",Tabel!Q85)</f>
        <v/>
      </c>
      <c r="B82" s="11" t="str">
        <f>IF(Tabel!N85="","",IF(Tabel!Q85="","",Tabel!N85))</f>
        <v/>
      </c>
      <c r="C82" s="22" t="str">
        <f>IF(Tabel!O85="","",Tabel!S85)</f>
        <v/>
      </c>
      <c r="D82" s="11" t="str">
        <f>IF(Tabel!O85="","",IF(Tabel!S85="","",Tabel!O85))</f>
        <v/>
      </c>
      <c r="E82" s="22" t="str">
        <f>IF(Tabel!P85="","",Tabel!T85)</f>
        <v/>
      </c>
      <c r="F82" s="11" t="str">
        <f>IF(Tabel!P85="","",IF(Tabel!U85="","",Tabel!P85))</f>
        <v/>
      </c>
    </row>
    <row r="83" spans="1:6" x14ac:dyDescent="0.25">
      <c r="A83" s="22" t="str">
        <f>IF(Tabel!N86="","",Tabel!Q86)</f>
        <v/>
      </c>
      <c r="B83" s="11" t="str">
        <f>IF(Tabel!N86="","",IF(Tabel!Q86="","",Tabel!N86))</f>
        <v/>
      </c>
      <c r="C83" s="22" t="str">
        <f>IF(Tabel!O86="","",Tabel!S86)</f>
        <v/>
      </c>
      <c r="D83" s="11" t="str">
        <f>IF(Tabel!O86="","",IF(Tabel!S86="","",Tabel!O86))</f>
        <v/>
      </c>
      <c r="E83" s="22" t="str">
        <f>IF(Tabel!P86="","",Tabel!T86)</f>
        <v/>
      </c>
      <c r="F83" s="11" t="str">
        <f>IF(Tabel!P86="","",IF(Tabel!U86="","",Tabel!P86))</f>
        <v/>
      </c>
    </row>
    <row r="84" spans="1:6" x14ac:dyDescent="0.25">
      <c r="A84" s="22" t="str">
        <f>IF(Tabel!N87="","",Tabel!Q87)</f>
        <v/>
      </c>
      <c r="B84" s="11" t="str">
        <f>IF(Tabel!N87="","",IF(Tabel!Q87="","",Tabel!N87))</f>
        <v/>
      </c>
      <c r="C84" s="22" t="str">
        <f>IF(Tabel!O87="","",Tabel!S87)</f>
        <v/>
      </c>
      <c r="D84" s="11" t="str">
        <f>IF(Tabel!O87="","",IF(Tabel!S87="","",Tabel!O87))</f>
        <v/>
      </c>
      <c r="E84" s="22" t="str">
        <f>IF(Tabel!P87="","",Tabel!T87)</f>
        <v/>
      </c>
      <c r="F84" s="11" t="str">
        <f>IF(Tabel!P87="","",IF(Tabel!U87="","",Tabel!P87))</f>
        <v/>
      </c>
    </row>
    <row r="85" spans="1:6" x14ac:dyDescent="0.25">
      <c r="A85" s="22" t="str">
        <f>IF(Tabel!N88="","",Tabel!Q88)</f>
        <v/>
      </c>
      <c r="B85" s="11" t="str">
        <f>IF(Tabel!N88="","",IF(Tabel!Q88="","",Tabel!N88))</f>
        <v/>
      </c>
      <c r="C85" s="22" t="str">
        <f>IF(Tabel!O88="","",Tabel!S88)</f>
        <v/>
      </c>
      <c r="D85" s="11" t="str">
        <f>IF(Tabel!O88="","",IF(Tabel!S88="","",Tabel!O88))</f>
        <v/>
      </c>
      <c r="E85" s="22" t="str">
        <f>IF(Tabel!P88="","",Tabel!T88)</f>
        <v/>
      </c>
      <c r="F85" s="11" t="str">
        <f>IF(Tabel!P88="","",IF(Tabel!U88="","",Tabel!P88))</f>
        <v/>
      </c>
    </row>
    <row r="86" spans="1:6" x14ac:dyDescent="0.25">
      <c r="A86" s="22" t="str">
        <f>IF(Tabel!N89="","",Tabel!Q89)</f>
        <v/>
      </c>
      <c r="B86" s="11" t="str">
        <f>IF(Tabel!N89="","",IF(Tabel!Q89="","",Tabel!N89))</f>
        <v/>
      </c>
      <c r="C86" s="22" t="str">
        <f>IF(Tabel!O89="","",Tabel!S89)</f>
        <v/>
      </c>
      <c r="D86" s="11" t="str">
        <f>IF(Tabel!O89="","",IF(Tabel!S89="","",Tabel!O89))</f>
        <v/>
      </c>
      <c r="E86" s="22" t="str">
        <f>IF(Tabel!P89="","",Tabel!T89)</f>
        <v/>
      </c>
      <c r="F86" s="11" t="str">
        <f>IF(Tabel!P89="","",IF(Tabel!U89="","",Tabel!P89))</f>
        <v/>
      </c>
    </row>
    <row r="87" spans="1:6" x14ac:dyDescent="0.25">
      <c r="A87" s="22" t="str">
        <f>IF(Tabel!N90="","",Tabel!Q90)</f>
        <v/>
      </c>
      <c r="B87" s="11" t="str">
        <f>IF(Tabel!N90="","",IF(Tabel!Q90="","",Tabel!N90))</f>
        <v/>
      </c>
      <c r="C87" s="22" t="str">
        <f>IF(Tabel!O90="","",Tabel!S90)</f>
        <v/>
      </c>
      <c r="D87" s="11" t="str">
        <f>IF(Tabel!O90="","",IF(Tabel!S90="","",Tabel!O90))</f>
        <v/>
      </c>
      <c r="E87" s="22" t="str">
        <f>IF(Tabel!P90="","",Tabel!T90)</f>
        <v/>
      </c>
      <c r="F87" s="11" t="str">
        <f>IF(Tabel!P90="","",IF(Tabel!U90="","",Tabel!P90))</f>
        <v/>
      </c>
    </row>
    <row r="88" spans="1:6" x14ac:dyDescent="0.25">
      <c r="A88" s="22" t="str">
        <f>IF(Tabel!N91="","",Tabel!Q91)</f>
        <v/>
      </c>
      <c r="B88" s="11" t="str">
        <f>IF(Tabel!N91="","",IF(Tabel!Q91="","",Tabel!N91))</f>
        <v/>
      </c>
      <c r="C88" s="22" t="str">
        <f>IF(Tabel!O91="","",Tabel!S91)</f>
        <v/>
      </c>
      <c r="D88" s="11" t="str">
        <f>IF(Tabel!O91="","",IF(Tabel!S91="","",Tabel!O91))</f>
        <v/>
      </c>
      <c r="E88" s="22" t="str">
        <f>IF(Tabel!P91="","",Tabel!T91)</f>
        <v/>
      </c>
      <c r="F88" s="11" t="str">
        <f>IF(Tabel!P91="","",IF(Tabel!U91="","",Tabel!P91))</f>
        <v/>
      </c>
    </row>
    <row r="89" spans="1:6" x14ac:dyDescent="0.25">
      <c r="A89" s="22" t="str">
        <f>IF(Tabel!N92="","",Tabel!Q92)</f>
        <v/>
      </c>
      <c r="B89" s="11" t="str">
        <f>IF(Tabel!N92="","",IF(Tabel!Q92="","",Tabel!N92))</f>
        <v/>
      </c>
      <c r="C89" s="22" t="str">
        <f>IF(Tabel!O92="","",Tabel!S92)</f>
        <v/>
      </c>
      <c r="D89" s="11" t="str">
        <f>IF(Tabel!O92="","",IF(Tabel!S92="","",Tabel!O92))</f>
        <v/>
      </c>
      <c r="E89" s="22" t="str">
        <f>IF(Tabel!P92="","",Tabel!T92)</f>
        <v/>
      </c>
      <c r="F89" s="11" t="str">
        <f>IF(Tabel!P92="","",IF(Tabel!U92="","",Tabel!P92))</f>
        <v/>
      </c>
    </row>
    <row r="90" spans="1:6" x14ac:dyDescent="0.25">
      <c r="A90" s="22" t="str">
        <f>IF(Tabel!N93="","",Tabel!Q93)</f>
        <v/>
      </c>
      <c r="B90" s="11" t="str">
        <f>IF(Tabel!N93="","",IF(Tabel!Q93="","",Tabel!N93))</f>
        <v/>
      </c>
      <c r="C90" s="22" t="str">
        <f>IF(Tabel!O93="","",Tabel!S93)</f>
        <v/>
      </c>
      <c r="D90" s="11" t="str">
        <f>IF(Tabel!O93="","",IF(Tabel!S93="","",Tabel!O93))</f>
        <v/>
      </c>
      <c r="E90" s="22" t="str">
        <f>IF(Tabel!P93="","",Tabel!T93)</f>
        <v/>
      </c>
      <c r="F90" s="11" t="str">
        <f>IF(Tabel!P93="","",IF(Tabel!U93="","",Tabel!P93))</f>
        <v/>
      </c>
    </row>
    <row r="91" spans="1:6" x14ac:dyDescent="0.25">
      <c r="A91" s="22" t="str">
        <f>IF(Tabel!N94="","",Tabel!Q94)</f>
        <v/>
      </c>
      <c r="B91" s="11" t="str">
        <f>IF(Tabel!N94="","",IF(Tabel!Q94="","",Tabel!N94))</f>
        <v/>
      </c>
      <c r="C91" s="22" t="str">
        <f>IF(Tabel!O94="","",Tabel!S94)</f>
        <v/>
      </c>
      <c r="D91" s="11" t="str">
        <f>IF(Tabel!O94="","",IF(Tabel!S94="","",Tabel!O94))</f>
        <v/>
      </c>
      <c r="E91" s="22" t="str">
        <f>IF(Tabel!P94="","",Tabel!T94)</f>
        <v/>
      </c>
      <c r="F91" s="11" t="str">
        <f>IF(Tabel!P94="","",IF(Tabel!U94="","",Tabel!P94))</f>
        <v/>
      </c>
    </row>
    <row r="92" spans="1:6" x14ac:dyDescent="0.25">
      <c r="A92" s="22" t="str">
        <f>IF(Tabel!N95="","",Tabel!Q95)</f>
        <v/>
      </c>
      <c r="B92" s="11" t="str">
        <f>IF(Tabel!N95="","",IF(Tabel!Q95="","",Tabel!N95))</f>
        <v/>
      </c>
      <c r="C92" s="22" t="str">
        <f>IF(Tabel!O95="","",Tabel!S95)</f>
        <v/>
      </c>
      <c r="D92" s="11" t="str">
        <f>IF(Tabel!O95="","",IF(Tabel!S95="","",Tabel!O95))</f>
        <v/>
      </c>
      <c r="E92" s="22" t="str">
        <f>IF(Tabel!P95="","",Tabel!T95)</f>
        <v/>
      </c>
      <c r="F92" s="11" t="str">
        <f>IF(Tabel!P95="","",IF(Tabel!U95="","",Tabel!P95))</f>
        <v/>
      </c>
    </row>
    <row r="93" spans="1:6" x14ac:dyDescent="0.25">
      <c r="A93" s="22" t="str">
        <f>IF(Tabel!N96="","",Tabel!Q96)</f>
        <v/>
      </c>
      <c r="B93" s="11" t="str">
        <f>IF(Tabel!N96="","",IF(Tabel!Q96="","",Tabel!N96))</f>
        <v/>
      </c>
      <c r="C93" s="22" t="str">
        <f>IF(Tabel!O96="","",Tabel!S96)</f>
        <v/>
      </c>
      <c r="D93" s="11" t="str">
        <f>IF(Tabel!O96="","",IF(Tabel!S96="","",Tabel!O96))</f>
        <v/>
      </c>
      <c r="E93" s="22" t="str">
        <f>IF(Tabel!P96="","",Tabel!T96)</f>
        <v/>
      </c>
      <c r="F93" s="11" t="str">
        <f>IF(Tabel!P96="","",IF(Tabel!U96="","",Tabel!P96))</f>
        <v/>
      </c>
    </row>
    <row r="94" spans="1:6" x14ac:dyDescent="0.25">
      <c r="A94" s="22" t="str">
        <f>IF(Tabel!N97="","",Tabel!Q97)</f>
        <v/>
      </c>
      <c r="B94" s="11" t="str">
        <f>IF(Tabel!N97="","",IF(Tabel!Q97="","",Tabel!N97))</f>
        <v/>
      </c>
      <c r="C94" s="22" t="str">
        <f>IF(Tabel!O97="","",Tabel!S97)</f>
        <v/>
      </c>
      <c r="D94" s="11" t="str">
        <f>IF(Tabel!O97="","",IF(Tabel!S97="","",Tabel!O97))</f>
        <v/>
      </c>
      <c r="E94" s="22" t="str">
        <f>IF(Tabel!P97="","",Tabel!T97)</f>
        <v/>
      </c>
      <c r="F94" s="11" t="str">
        <f>IF(Tabel!P97="","",IF(Tabel!U97="","",Tabel!P97))</f>
        <v/>
      </c>
    </row>
    <row r="95" spans="1:6" x14ac:dyDescent="0.25">
      <c r="A95" s="22" t="str">
        <f>IF(Tabel!N98="","",Tabel!Q98)</f>
        <v/>
      </c>
      <c r="B95" s="11" t="str">
        <f>IF(Tabel!N98="","",IF(Tabel!Q98="","",Tabel!N98))</f>
        <v/>
      </c>
      <c r="C95" s="22" t="str">
        <f>IF(Tabel!O98="","",Tabel!S98)</f>
        <v/>
      </c>
      <c r="D95" s="11" t="str">
        <f>IF(Tabel!O98="","",IF(Tabel!S98="","",Tabel!O98))</f>
        <v/>
      </c>
      <c r="E95" s="22" t="str">
        <f>IF(Tabel!P98="","",Tabel!T98)</f>
        <v/>
      </c>
      <c r="F95" s="11" t="str">
        <f>IF(Tabel!P98="","",IF(Tabel!U98="","",Tabel!P98))</f>
        <v/>
      </c>
    </row>
    <row r="96" spans="1:6" x14ac:dyDescent="0.25">
      <c r="A96" s="22" t="str">
        <f>IF(Tabel!N99="","",Tabel!Q99)</f>
        <v/>
      </c>
      <c r="B96" s="11" t="str">
        <f>IF(Tabel!N99="","",IF(Tabel!Q99="","",Tabel!N99))</f>
        <v/>
      </c>
      <c r="C96" s="22" t="str">
        <f>IF(Tabel!O99="","",Tabel!S99)</f>
        <v/>
      </c>
      <c r="D96" s="11" t="str">
        <f>IF(Tabel!O99="","",IF(Tabel!S99="","",Tabel!O99))</f>
        <v/>
      </c>
      <c r="E96" s="22" t="str">
        <f>IF(Tabel!P99="","",Tabel!T99)</f>
        <v/>
      </c>
      <c r="F96" s="11" t="str">
        <f>IF(Tabel!P99="","",IF(Tabel!U99="","",Tabel!P99))</f>
        <v/>
      </c>
    </row>
    <row r="97" spans="1:6" x14ac:dyDescent="0.25">
      <c r="A97" s="22" t="str">
        <f>IF(Tabel!N100="","",Tabel!Q100)</f>
        <v/>
      </c>
      <c r="B97" s="11" t="str">
        <f>IF(Tabel!N100="","",IF(Tabel!Q100="","",Tabel!N100))</f>
        <v/>
      </c>
      <c r="C97" s="22" t="str">
        <f>IF(Tabel!O100="","",Tabel!S100)</f>
        <v/>
      </c>
      <c r="D97" s="11" t="str">
        <f>IF(Tabel!O100="","",IF(Tabel!S100="","",Tabel!O100))</f>
        <v/>
      </c>
      <c r="E97" s="22" t="str">
        <f>IF(Tabel!P100="","",Tabel!T100)</f>
        <v/>
      </c>
      <c r="F97" s="11" t="str">
        <f>IF(Tabel!P100="","",IF(Tabel!U100="","",Tabel!P100))</f>
        <v/>
      </c>
    </row>
    <row r="98" spans="1:6" x14ac:dyDescent="0.25">
      <c r="A98" s="22" t="str">
        <f>IF(Tabel!N101="","",Tabel!Q101)</f>
        <v/>
      </c>
      <c r="B98" s="11" t="str">
        <f>IF(Tabel!N101="","",IF(Tabel!Q101="","",Tabel!N101))</f>
        <v/>
      </c>
      <c r="C98" s="22" t="str">
        <f>IF(Tabel!O101="","",Tabel!S101)</f>
        <v/>
      </c>
      <c r="D98" s="11" t="str">
        <f>IF(Tabel!O101="","",IF(Tabel!S101="","",Tabel!O101))</f>
        <v/>
      </c>
      <c r="E98" s="22" t="str">
        <f>IF(Tabel!P101="","",Tabel!T101)</f>
        <v/>
      </c>
      <c r="F98" s="11" t="str">
        <f>IF(Tabel!P101="","",IF(Tabel!U101="","",Tabel!P101))</f>
        <v/>
      </c>
    </row>
    <row r="99" spans="1:6" x14ac:dyDescent="0.25">
      <c r="A99" s="22" t="str">
        <f>IF(Tabel!N102="","",Tabel!Q102)</f>
        <v/>
      </c>
      <c r="B99" s="11" t="str">
        <f>IF(Tabel!N102="","",IF(Tabel!Q102="","",Tabel!N102))</f>
        <v/>
      </c>
      <c r="C99" s="22" t="str">
        <f>IF(Tabel!O102="","",Tabel!S102)</f>
        <v/>
      </c>
      <c r="D99" s="11" t="str">
        <f>IF(Tabel!O102="","",IF(Tabel!S102="","",Tabel!O102))</f>
        <v/>
      </c>
      <c r="E99" s="22" t="str">
        <f>IF(Tabel!P102="","",Tabel!T102)</f>
        <v/>
      </c>
      <c r="F99" s="11" t="str">
        <f>IF(Tabel!P102="","",IF(Tabel!U102="","",Tabel!P102))</f>
        <v/>
      </c>
    </row>
    <row r="100" spans="1:6" x14ac:dyDescent="0.25">
      <c r="A100" s="22" t="str">
        <f>IF(Tabel!N103="","",Tabel!Q103)</f>
        <v/>
      </c>
      <c r="B100" s="11" t="str">
        <f>IF(Tabel!N103="","",IF(Tabel!Q103="","",Tabel!N103))</f>
        <v/>
      </c>
      <c r="C100" s="22" t="str">
        <f>IF(Tabel!O103="","",Tabel!S103)</f>
        <v/>
      </c>
      <c r="D100" s="11" t="str">
        <f>IF(Tabel!O103="","",IF(Tabel!S103="","",Tabel!O103))</f>
        <v/>
      </c>
      <c r="E100" s="22" t="str">
        <f>IF(Tabel!P103="","",Tabel!T103)</f>
        <v/>
      </c>
      <c r="F100" s="11" t="str">
        <f>IF(Tabel!P103="","",IF(Tabel!U103="","",Tabel!P103))</f>
        <v/>
      </c>
    </row>
    <row r="101" spans="1:6" x14ac:dyDescent="0.25">
      <c r="A101" s="22" t="str">
        <f>IF(Tabel!N104="","",Tabel!Q104)</f>
        <v/>
      </c>
      <c r="B101" s="11" t="str">
        <f>IF(Tabel!N104="","",IF(Tabel!Q104="","",Tabel!N104))</f>
        <v/>
      </c>
      <c r="C101" s="22" t="str">
        <f>IF(Tabel!O104="","",Tabel!S104)</f>
        <v/>
      </c>
      <c r="D101" s="11" t="str">
        <f>IF(Tabel!O104="","",IF(Tabel!S104="","",Tabel!O104))</f>
        <v/>
      </c>
      <c r="E101" s="22" t="str">
        <f>IF(Tabel!P104="","",Tabel!T104)</f>
        <v/>
      </c>
      <c r="F101" s="11" t="str">
        <f>IF(Tabel!P104="","",IF(Tabel!U104="","",Tabel!P104))</f>
        <v/>
      </c>
    </row>
    <row r="102" spans="1:6" x14ac:dyDescent="0.25">
      <c r="A102" s="22" t="str">
        <f>IF(Tabel!N105="","",Tabel!Q105)</f>
        <v/>
      </c>
      <c r="B102" s="11" t="str">
        <f>IF(Tabel!N105="","",IF(Tabel!Q105="","",Tabel!N105))</f>
        <v/>
      </c>
      <c r="C102" s="22" t="str">
        <f>IF(Tabel!O105="","",Tabel!S105)</f>
        <v/>
      </c>
      <c r="D102" s="11" t="str">
        <f>IF(Tabel!O105="","",IF(Tabel!S105="","",Tabel!O105))</f>
        <v/>
      </c>
      <c r="E102" s="22" t="str">
        <f>IF(Tabel!P105="","",Tabel!T105)</f>
        <v/>
      </c>
      <c r="F102" s="11" t="str">
        <f>IF(Tabel!P105="","",IF(Tabel!U105="","",Tabel!P105))</f>
        <v/>
      </c>
    </row>
    <row r="103" spans="1:6" x14ac:dyDescent="0.25">
      <c r="A103" s="22" t="str">
        <f>IF(Tabel!N106="","",Tabel!Q106)</f>
        <v/>
      </c>
      <c r="B103" s="11" t="str">
        <f>IF(Tabel!N106="","",IF(Tabel!Q106="","",Tabel!N106))</f>
        <v/>
      </c>
      <c r="C103" s="22" t="str">
        <f>IF(Tabel!O106="","",Tabel!S106)</f>
        <v/>
      </c>
      <c r="D103" s="11" t="str">
        <f>IF(Tabel!O106="","",IF(Tabel!S106="","",Tabel!O106))</f>
        <v/>
      </c>
      <c r="E103" s="22" t="str">
        <f>IF(Tabel!P106="","",Tabel!T106)</f>
        <v/>
      </c>
      <c r="F103" s="11" t="str">
        <f>IF(Tabel!P106="","",IF(Tabel!U106="","",Tabel!P106))</f>
        <v/>
      </c>
    </row>
    <row r="104" spans="1:6" x14ac:dyDescent="0.25">
      <c r="A104" s="22" t="str">
        <f>IF(Tabel!N107="","",Tabel!Q107)</f>
        <v/>
      </c>
      <c r="B104" s="11" t="str">
        <f>IF(Tabel!N107="","",IF(Tabel!Q107="","",Tabel!N107))</f>
        <v/>
      </c>
      <c r="C104" s="22" t="str">
        <f>IF(Tabel!O107="","",Tabel!S107)</f>
        <v/>
      </c>
      <c r="D104" s="11" t="str">
        <f>IF(Tabel!O107="","",IF(Tabel!S107="","",Tabel!O107))</f>
        <v/>
      </c>
      <c r="E104" s="22" t="str">
        <f>IF(Tabel!P107="","",Tabel!T107)</f>
        <v/>
      </c>
      <c r="F104" s="11" t="str">
        <f>IF(Tabel!P107="","",IF(Tabel!U107="","",Tabel!P107))</f>
        <v/>
      </c>
    </row>
    <row r="105" spans="1:6" x14ac:dyDescent="0.25">
      <c r="A105" s="22" t="str">
        <f>IF(Tabel!N108="","",Tabel!Q108)</f>
        <v/>
      </c>
      <c r="B105" s="11" t="str">
        <f>IF(Tabel!N108="","",IF(Tabel!Q108="","",Tabel!N108))</f>
        <v/>
      </c>
      <c r="C105" s="22" t="str">
        <f>IF(Tabel!O108="","",Tabel!S108)</f>
        <v/>
      </c>
      <c r="D105" s="11" t="str">
        <f>IF(Tabel!O108="","",IF(Tabel!S108="","",Tabel!O108))</f>
        <v/>
      </c>
      <c r="E105" s="22" t="str">
        <f>IF(Tabel!P108="","",Tabel!T108)</f>
        <v/>
      </c>
      <c r="F105" s="11" t="str">
        <f>IF(Tabel!P108="","",IF(Tabel!U108="","",Tabel!P108))</f>
        <v/>
      </c>
    </row>
    <row r="106" spans="1:6" x14ac:dyDescent="0.25">
      <c r="A106" s="22" t="str">
        <f>IF(Tabel!N109="","",Tabel!Q109)</f>
        <v/>
      </c>
      <c r="B106" s="11" t="str">
        <f>IF(Tabel!N109="","",IF(Tabel!Q109="","",Tabel!N109))</f>
        <v/>
      </c>
      <c r="C106" s="22" t="str">
        <f>IF(Tabel!O109="","",Tabel!S109)</f>
        <v/>
      </c>
      <c r="D106" s="11" t="str">
        <f>IF(Tabel!O109="","",IF(Tabel!S109="","",Tabel!O109))</f>
        <v/>
      </c>
      <c r="E106" s="22" t="str">
        <f>IF(Tabel!P109="","",Tabel!T109)</f>
        <v/>
      </c>
      <c r="F106" s="11" t="str">
        <f>IF(Tabel!P109="","",IF(Tabel!U109="","",Tabel!P109))</f>
        <v/>
      </c>
    </row>
    <row r="107" spans="1:6" x14ac:dyDescent="0.25">
      <c r="A107" s="22" t="str">
        <f>IF(Tabel!N110="","",Tabel!Q110)</f>
        <v/>
      </c>
      <c r="B107" s="11" t="str">
        <f>IF(Tabel!N110="","",IF(Tabel!Q110="","",Tabel!N110))</f>
        <v/>
      </c>
      <c r="C107" s="22" t="str">
        <f>IF(Tabel!O110="","",Tabel!S110)</f>
        <v/>
      </c>
      <c r="D107" s="11" t="str">
        <f>IF(Tabel!O110="","",IF(Tabel!S110="","",Tabel!O110))</f>
        <v/>
      </c>
      <c r="E107" s="22" t="str">
        <f>IF(Tabel!P110="","",Tabel!T110)</f>
        <v/>
      </c>
      <c r="F107" s="11" t="str">
        <f>IF(Tabel!P110="","",IF(Tabel!U110="","",Tabel!P110))</f>
        <v/>
      </c>
    </row>
    <row r="108" spans="1:6" x14ac:dyDescent="0.25">
      <c r="A108" s="22" t="str">
        <f>IF(Tabel!N111="","",Tabel!Q111)</f>
        <v/>
      </c>
      <c r="B108" s="11" t="str">
        <f>IF(Tabel!N111="","",IF(Tabel!Q111="","",Tabel!N111))</f>
        <v/>
      </c>
      <c r="C108" s="22" t="str">
        <f>IF(Tabel!O111="","",Tabel!S111)</f>
        <v/>
      </c>
      <c r="D108" s="11" t="str">
        <f>IF(Tabel!O111="","",IF(Tabel!S111="","",Tabel!O111))</f>
        <v/>
      </c>
      <c r="E108" s="22" t="str">
        <f>IF(Tabel!P111="","",Tabel!T111)</f>
        <v/>
      </c>
      <c r="F108" s="11" t="str">
        <f>IF(Tabel!P111="","",IF(Tabel!U111="","",Tabel!P111))</f>
        <v/>
      </c>
    </row>
    <row r="109" spans="1:6" x14ac:dyDescent="0.25">
      <c r="A109" s="22" t="str">
        <f>IF(Tabel!N112="","",Tabel!Q112)</f>
        <v/>
      </c>
      <c r="B109" s="11" t="str">
        <f>IF(Tabel!N112="","",IF(Tabel!Q112="","",Tabel!N112))</f>
        <v/>
      </c>
      <c r="C109" s="22" t="str">
        <f>IF(Tabel!O112="","",Tabel!S112)</f>
        <v/>
      </c>
      <c r="D109" s="11" t="str">
        <f>IF(Tabel!O112="","",IF(Tabel!S112="","",Tabel!O112))</f>
        <v/>
      </c>
      <c r="E109" s="22" t="str">
        <f>IF(Tabel!P112="","",Tabel!T112)</f>
        <v/>
      </c>
      <c r="F109" s="11" t="str">
        <f>IF(Tabel!P112="","",IF(Tabel!U112="","",Tabel!P112))</f>
        <v/>
      </c>
    </row>
    <row r="110" spans="1:6" x14ac:dyDescent="0.25">
      <c r="A110" s="22" t="str">
        <f>IF(Tabel!N113="","",Tabel!Q113)</f>
        <v/>
      </c>
      <c r="B110" s="11" t="str">
        <f>IF(Tabel!N113="","",IF(Tabel!Q113="","",Tabel!N113))</f>
        <v/>
      </c>
      <c r="C110" s="22" t="str">
        <f>IF(Tabel!O113="","",Tabel!S113)</f>
        <v/>
      </c>
      <c r="D110" s="11" t="str">
        <f>IF(Tabel!O113="","",IF(Tabel!S113="","",Tabel!O113))</f>
        <v/>
      </c>
      <c r="E110" s="22" t="str">
        <f>IF(Tabel!P113="","",Tabel!T113)</f>
        <v/>
      </c>
      <c r="F110" s="11" t="str">
        <f>IF(Tabel!P113="","",IF(Tabel!U113="","",Tabel!P113))</f>
        <v/>
      </c>
    </row>
    <row r="111" spans="1:6" x14ac:dyDescent="0.25">
      <c r="A111" s="22" t="str">
        <f>IF(Tabel!N114="","",Tabel!Q114)</f>
        <v/>
      </c>
      <c r="B111" s="11" t="str">
        <f>IF(Tabel!N114="","",IF(Tabel!Q114="","",Tabel!N114))</f>
        <v/>
      </c>
      <c r="C111" s="22" t="str">
        <f>IF(Tabel!O114="","",Tabel!S114)</f>
        <v/>
      </c>
      <c r="D111" s="11" t="str">
        <f>IF(Tabel!O114="","",IF(Tabel!S114="","",Tabel!O114))</f>
        <v/>
      </c>
      <c r="E111" s="22" t="str">
        <f>IF(Tabel!P114="","",Tabel!T114)</f>
        <v/>
      </c>
      <c r="F111" s="11" t="str">
        <f>IF(Tabel!P114="","",IF(Tabel!U114="","",Tabel!P114))</f>
        <v/>
      </c>
    </row>
    <row r="112" spans="1:6" x14ac:dyDescent="0.25">
      <c r="A112" s="22" t="str">
        <f>IF(Tabel!N115="","",Tabel!Q115)</f>
        <v/>
      </c>
      <c r="B112" s="11" t="str">
        <f>IF(Tabel!N115="","",IF(Tabel!Q115="","",Tabel!N115))</f>
        <v/>
      </c>
      <c r="C112" s="22" t="str">
        <f>IF(Tabel!O115="","",Tabel!S115)</f>
        <v/>
      </c>
      <c r="D112" s="11" t="str">
        <f>IF(Tabel!O115="","",IF(Tabel!S115="","",Tabel!O115))</f>
        <v/>
      </c>
      <c r="E112" s="22" t="str">
        <f>IF(Tabel!P115="","",Tabel!T115)</f>
        <v/>
      </c>
      <c r="F112" s="11" t="str">
        <f>IF(Tabel!P115="","",IF(Tabel!U115="","",Tabel!P115))</f>
        <v/>
      </c>
    </row>
    <row r="113" spans="1:6" x14ac:dyDescent="0.25">
      <c r="A113" s="22" t="str">
        <f>IF(Tabel!N116="","",Tabel!Q116)</f>
        <v/>
      </c>
      <c r="B113" s="11" t="str">
        <f>IF(Tabel!N116="","",IF(Tabel!Q116="","",Tabel!N116))</f>
        <v/>
      </c>
      <c r="C113" s="22" t="str">
        <f>IF(Tabel!O116="","",Tabel!S116)</f>
        <v/>
      </c>
      <c r="D113" s="11" t="str">
        <f>IF(Tabel!O116="","",IF(Tabel!S116="","",Tabel!O116))</f>
        <v/>
      </c>
      <c r="E113" s="22" t="str">
        <f>IF(Tabel!P116="","",Tabel!T116)</f>
        <v/>
      </c>
      <c r="F113" s="11" t="str">
        <f>IF(Tabel!P116="","",IF(Tabel!U116="","",Tabel!P116))</f>
        <v/>
      </c>
    </row>
    <row r="114" spans="1:6" x14ac:dyDescent="0.25">
      <c r="A114" s="22" t="str">
        <f>IF(Tabel!N117="","",Tabel!Q117)</f>
        <v/>
      </c>
      <c r="B114" s="11" t="str">
        <f>IF(Tabel!N117="","",IF(Tabel!Q117="","",Tabel!N117))</f>
        <v/>
      </c>
      <c r="C114" s="22" t="str">
        <f>IF(Tabel!O117="","",Tabel!S117)</f>
        <v/>
      </c>
      <c r="D114" s="11" t="str">
        <f>IF(Tabel!O117="","",IF(Tabel!S117="","",Tabel!O117))</f>
        <v/>
      </c>
      <c r="E114" s="22" t="str">
        <f>IF(Tabel!P117="","",Tabel!T117)</f>
        <v/>
      </c>
      <c r="F114" s="11" t="str">
        <f>IF(Tabel!P117="","",IF(Tabel!U117="","",Tabel!P117))</f>
        <v/>
      </c>
    </row>
    <row r="115" spans="1:6" x14ac:dyDescent="0.25">
      <c r="A115" s="22" t="str">
        <f>IF(Tabel!N118="","",Tabel!Q118)</f>
        <v/>
      </c>
      <c r="B115" s="11" t="str">
        <f>IF(Tabel!N118="","",IF(Tabel!Q118="","",Tabel!N118))</f>
        <v/>
      </c>
      <c r="C115" s="22" t="str">
        <f>IF(Tabel!O118="","",Tabel!S118)</f>
        <v/>
      </c>
      <c r="D115" s="11" t="str">
        <f>IF(Tabel!O118="","",IF(Tabel!S118="","",Tabel!O118))</f>
        <v/>
      </c>
      <c r="E115" s="22" t="str">
        <f>IF(Tabel!P118="","",Tabel!T118)</f>
        <v/>
      </c>
      <c r="F115" s="11" t="str">
        <f>IF(Tabel!P118="","",IF(Tabel!U118="","",Tabel!P118))</f>
        <v/>
      </c>
    </row>
    <row r="116" spans="1:6" x14ac:dyDescent="0.25">
      <c r="A116" s="22" t="str">
        <f>IF(Tabel!N119="","",Tabel!Q119)</f>
        <v/>
      </c>
      <c r="B116" s="11" t="str">
        <f>IF(Tabel!N119="","",IF(Tabel!Q119="","",Tabel!N119))</f>
        <v/>
      </c>
      <c r="C116" s="22" t="str">
        <f>IF(Tabel!O119="","",Tabel!S119)</f>
        <v/>
      </c>
      <c r="D116" s="11" t="str">
        <f>IF(Tabel!O119="","",IF(Tabel!S119="","",Tabel!O119))</f>
        <v/>
      </c>
      <c r="E116" s="22" t="str">
        <f>IF(Tabel!P119="","",Tabel!T119)</f>
        <v/>
      </c>
      <c r="F116" s="11" t="str">
        <f>IF(Tabel!P119="","",IF(Tabel!U119="","",Tabel!P119))</f>
        <v/>
      </c>
    </row>
    <row r="117" spans="1:6" x14ac:dyDescent="0.25">
      <c r="A117" s="22" t="str">
        <f>IF(Tabel!N120="","",Tabel!Q120)</f>
        <v/>
      </c>
      <c r="B117" s="11" t="str">
        <f>IF(Tabel!N120="","",IF(Tabel!Q120="","",Tabel!N120))</f>
        <v/>
      </c>
      <c r="C117" s="22" t="str">
        <f>IF(Tabel!O120="","",Tabel!S120)</f>
        <v/>
      </c>
      <c r="D117" s="11" t="str">
        <f>IF(Tabel!O120="","",IF(Tabel!S120="","",Tabel!O120))</f>
        <v/>
      </c>
      <c r="E117" s="22" t="str">
        <f>IF(Tabel!P120="","",Tabel!T120)</f>
        <v/>
      </c>
      <c r="F117" s="11" t="str">
        <f>IF(Tabel!P120="","",IF(Tabel!U120="","",Tabel!P120))</f>
        <v/>
      </c>
    </row>
    <row r="118" spans="1:6" x14ac:dyDescent="0.25">
      <c r="A118" s="22" t="str">
        <f>IF(Tabel!N121="","",Tabel!Q121)</f>
        <v/>
      </c>
      <c r="B118" s="11" t="str">
        <f>IF(Tabel!N121="","",IF(Tabel!Q121="","",Tabel!N121))</f>
        <v/>
      </c>
      <c r="C118" s="22" t="str">
        <f>IF(Tabel!O121="","",Tabel!S121)</f>
        <v/>
      </c>
      <c r="D118" s="11" t="str">
        <f>IF(Tabel!O121="","",IF(Tabel!S121="","",Tabel!O121))</f>
        <v/>
      </c>
      <c r="E118" s="22" t="str">
        <f>IF(Tabel!P121="","",Tabel!T121)</f>
        <v/>
      </c>
      <c r="F118" s="11" t="str">
        <f>IF(Tabel!P121="","",IF(Tabel!U121="","",Tabel!P121))</f>
        <v/>
      </c>
    </row>
    <row r="119" spans="1:6" x14ac:dyDescent="0.25">
      <c r="A119" s="22" t="str">
        <f>IF(Tabel!N122="","",Tabel!Q122)</f>
        <v/>
      </c>
      <c r="B119" s="11" t="str">
        <f>IF(Tabel!N122="","",IF(Tabel!Q122="","",Tabel!N122))</f>
        <v/>
      </c>
      <c r="C119" s="22" t="str">
        <f>IF(Tabel!O122="","",Tabel!S122)</f>
        <v/>
      </c>
      <c r="D119" s="11" t="str">
        <f>IF(Tabel!O122="","",IF(Tabel!S122="","",Tabel!O122))</f>
        <v/>
      </c>
      <c r="E119" s="22" t="str">
        <f>IF(Tabel!P122="","",Tabel!T122)</f>
        <v/>
      </c>
      <c r="F119" s="11" t="str">
        <f>IF(Tabel!P122="","",IF(Tabel!U122="","",Tabel!P122))</f>
        <v/>
      </c>
    </row>
    <row r="120" spans="1:6" x14ac:dyDescent="0.25">
      <c r="A120" s="22" t="str">
        <f>IF(Tabel!N123="","",Tabel!Q123)</f>
        <v/>
      </c>
      <c r="B120" s="11" t="str">
        <f>IF(Tabel!N123="","",IF(Tabel!Q123="","",Tabel!N123))</f>
        <v/>
      </c>
      <c r="C120" s="22" t="str">
        <f>IF(Tabel!O123="","",Tabel!S123)</f>
        <v/>
      </c>
      <c r="D120" s="11" t="str">
        <f>IF(Tabel!O123="","",IF(Tabel!S123="","",Tabel!O123))</f>
        <v/>
      </c>
      <c r="E120" s="22" t="str">
        <f>IF(Tabel!P123="","",Tabel!T123)</f>
        <v/>
      </c>
      <c r="F120" s="11" t="str">
        <f>IF(Tabel!P123="","",IF(Tabel!U123="","",Tabel!P123))</f>
        <v/>
      </c>
    </row>
    <row r="121" spans="1:6" x14ac:dyDescent="0.25">
      <c r="A121" s="22" t="str">
        <f>IF(Tabel!N124="","",Tabel!Q124)</f>
        <v/>
      </c>
      <c r="B121" s="11" t="str">
        <f>IF(Tabel!N124="","",IF(Tabel!Q124="","",Tabel!N124))</f>
        <v/>
      </c>
      <c r="C121" s="22" t="str">
        <f>IF(Tabel!O124="","",Tabel!S124)</f>
        <v/>
      </c>
      <c r="D121" s="11" t="str">
        <f>IF(Tabel!O124="","",IF(Tabel!S124="","",Tabel!O124))</f>
        <v/>
      </c>
      <c r="E121" s="22" t="str">
        <f>IF(Tabel!P124="","",Tabel!T124)</f>
        <v/>
      </c>
      <c r="F121" s="11" t="str">
        <f>IF(Tabel!P124="","",IF(Tabel!U124="","",Tabel!P124))</f>
        <v/>
      </c>
    </row>
    <row r="122" spans="1:6" x14ac:dyDescent="0.25">
      <c r="A122" s="22" t="str">
        <f>IF(Tabel!N125="","",Tabel!Q125)</f>
        <v/>
      </c>
      <c r="B122" s="11" t="str">
        <f>IF(Tabel!N125="","",IF(Tabel!Q125="","",Tabel!N125))</f>
        <v/>
      </c>
      <c r="C122" s="22" t="str">
        <f>IF(Tabel!O125="","",Tabel!S125)</f>
        <v/>
      </c>
      <c r="D122" s="11" t="str">
        <f>IF(Tabel!O125="","",IF(Tabel!S125="","",Tabel!O125))</f>
        <v/>
      </c>
      <c r="E122" s="22" t="str">
        <f>IF(Tabel!P125="","",Tabel!T125)</f>
        <v/>
      </c>
      <c r="F122" s="11" t="str">
        <f>IF(Tabel!P125="","",IF(Tabel!U125="","",Tabel!P125))</f>
        <v/>
      </c>
    </row>
    <row r="123" spans="1:6" x14ac:dyDescent="0.25">
      <c r="A123" s="22" t="str">
        <f>IF(Tabel!N126="","",Tabel!Q126)</f>
        <v/>
      </c>
      <c r="B123" s="11" t="str">
        <f>IF(Tabel!N126="","",IF(Tabel!Q126="","",Tabel!N126))</f>
        <v/>
      </c>
      <c r="C123" s="22" t="str">
        <f>IF(Tabel!O126="","",Tabel!S126)</f>
        <v/>
      </c>
      <c r="D123" s="11" t="str">
        <f>IF(Tabel!O126="","",IF(Tabel!S126="","",Tabel!O126))</f>
        <v/>
      </c>
      <c r="E123" s="22" t="str">
        <f>IF(Tabel!P126="","",Tabel!T126)</f>
        <v/>
      </c>
      <c r="F123" s="11" t="str">
        <f>IF(Tabel!P126="","",IF(Tabel!U126="","",Tabel!P126))</f>
        <v/>
      </c>
    </row>
    <row r="124" spans="1:6" x14ac:dyDescent="0.25">
      <c r="A124" s="22" t="str">
        <f>IF(Tabel!N127="","",Tabel!Q127)</f>
        <v/>
      </c>
      <c r="B124" s="11" t="str">
        <f>IF(Tabel!N127="","",IF(Tabel!Q127="","",Tabel!N127))</f>
        <v/>
      </c>
      <c r="C124" s="22" t="str">
        <f>IF(Tabel!O127="","",Tabel!S127)</f>
        <v/>
      </c>
      <c r="D124" s="11" t="str">
        <f>IF(Tabel!O127="","",IF(Tabel!S127="","",Tabel!O127))</f>
        <v/>
      </c>
      <c r="E124" s="22" t="str">
        <f>IF(Tabel!P127="","",Tabel!T127)</f>
        <v/>
      </c>
      <c r="F124" s="11" t="str">
        <f>IF(Tabel!P127="","",IF(Tabel!U127="","",Tabel!P127))</f>
        <v/>
      </c>
    </row>
    <row r="125" spans="1:6" x14ac:dyDescent="0.25">
      <c r="A125" s="22" t="str">
        <f>IF(Tabel!N128="","",Tabel!Q128)</f>
        <v/>
      </c>
      <c r="B125" s="11" t="str">
        <f>IF(Tabel!N128="","",IF(Tabel!Q128="","",Tabel!N128))</f>
        <v/>
      </c>
      <c r="C125" s="22" t="str">
        <f>IF(Tabel!O128="","",Tabel!S128)</f>
        <v/>
      </c>
      <c r="D125" s="11" t="str">
        <f>IF(Tabel!O128="","",IF(Tabel!S128="","",Tabel!O128))</f>
        <v/>
      </c>
      <c r="E125" s="22" t="str">
        <f>IF(Tabel!P128="","",Tabel!T128)</f>
        <v/>
      </c>
      <c r="F125" s="11" t="str">
        <f>IF(Tabel!P128="","",IF(Tabel!U128="","",Tabel!P128))</f>
        <v/>
      </c>
    </row>
    <row r="126" spans="1:6" x14ac:dyDescent="0.25">
      <c r="A126" s="22" t="str">
        <f>IF(Tabel!N129="","",Tabel!Q129)</f>
        <v/>
      </c>
      <c r="B126" s="11" t="str">
        <f>IF(Tabel!N129="","",IF(Tabel!Q129="","",Tabel!N129))</f>
        <v/>
      </c>
      <c r="C126" s="22" t="str">
        <f>IF(Tabel!O129="","",Tabel!S129)</f>
        <v/>
      </c>
      <c r="D126" s="11" t="str">
        <f>IF(Tabel!O129="","",IF(Tabel!S129="","",Tabel!O129))</f>
        <v/>
      </c>
      <c r="E126" s="22" t="str">
        <f>IF(Tabel!P129="","",Tabel!T129)</f>
        <v/>
      </c>
      <c r="F126" s="11" t="str">
        <f>IF(Tabel!P129="","",IF(Tabel!U129="","",Tabel!P129))</f>
        <v/>
      </c>
    </row>
    <row r="127" spans="1:6" x14ac:dyDescent="0.25">
      <c r="A127" s="22" t="str">
        <f>IF(Tabel!N130="","",Tabel!Q130)</f>
        <v/>
      </c>
      <c r="B127" s="11" t="str">
        <f>IF(Tabel!N130="","",IF(Tabel!Q130="","",Tabel!N130))</f>
        <v/>
      </c>
      <c r="C127" s="22" t="str">
        <f>IF(Tabel!O130="","",Tabel!S130)</f>
        <v/>
      </c>
      <c r="D127" s="11" t="str">
        <f>IF(Tabel!O130="","",IF(Tabel!S130="","",Tabel!O130))</f>
        <v/>
      </c>
      <c r="E127" s="22" t="str">
        <f>IF(Tabel!P130="","",Tabel!T130)</f>
        <v/>
      </c>
      <c r="F127" s="11" t="str">
        <f>IF(Tabel!P130="","",IF(Tabel!U130="","",Tabel!P130))</f>
        <v/>
      </c>
    </row>
    <row r="128" spans="1:6" x14ac:dyDescent="0.25">
      <c r="A128" s="22" t="str">
        <f>IF(Tabel!N131="","",Tabel!Q131)</f>
        <v/>
      </c>
      <c r="B128" s="11" t="str">
        <f>IF(Tabel!N131="","",IF(Tabel!Q131="","",Tabel!N131))</f>
        <v/>
      </c>
      <c r="C128" s="22" t="str">
        <f>IF(Tabel!O131="","",Tabel!S131)</f>
        <v/>
      </c>
      <c r="D128" s="11" t="str">
        <f>IF(Tabel!O131="","",IF(Tabel!S131="","",Tabel!O131))</f>
        <v/>
      </c>
      <c r="E128" s="22" t="str">
        <f>IF(Tabel!P131="","",Tabel!T131)</f>
        <v/>
      </c>
      <c r="F128" s="11" t="str">
        <f>IF(Tabel!P131="","",IF(Tabel!U131="","",Tabel!P131))</f>
        <v/>
      </c>
    </row>
    <row r="129" spans="1:6" x14ac:dyDescent="0.25">
      <c r="A129" s="22" t="str">
        <f>IF(Tabel!N132="","",Tabel!Q132)</f>
        <v/>
      </c>
      <c r="B129" s="11" t="str">
        <f>IF(Tabel!N132="","",IF(Tabel!Q132="","",Tabel!N132))</f>
        <v/>
      </c>
      <c r="C129" s="22" t="str">
        <f>IF(Tabel!O132="","",Tabel!S132)</f>
        <v/>
      </c>
      <c r="D129" s="11" t="str">
        <f>IF(Tabel!O132="","",IF(Tabel!S132="","",Tabel!O132))</f>
        <v/>
      </c>
      <c r="E129" s="22" t="str">
        <f>IF(Tabel!P132="","",Tabel!T132)</f>
        <v/>
      </c>
      <c r="F129" s="11" t="str">
        <f>IF(Tabel!P132="","",IF(Tabel!U132="","",Tabel!P132))</f>
        <v/>
      </c>
    </row>
    <row r="130" spans="1:6" x14ac:dyDescent="0.25">
      <c r="A130" s="22" t="str">
        <f>IF(Tabel!N133="","",Tabel!Q133)</f>
        <v/>
      </c>
      <c r="B130" s="11" t="str">
        <f>IF(Tabel!N133="","",IF(Tabel!Q133="","",Tabel!N133))</f>
        <v/>
      </c>
      <c r="C130" s="22" t="str">
        <f>IF(Tabel!O133="","",Tabel!S133)</f>
        <v/>
      </c>
      <c r="D130" s="11" t="str">
        <f>IF(Tabel!O133="","",IF(Tabel!S133="","",Tabel!O133))</f>
        <v/>
      </c>
      <c r="E130" s="22" t="str">
        <f>IF(Tabel!P133="","",Tabel!T133)</f>
        <v/>
      </c>
      <c r="F130" s="11" t="str">
        <f>IF(Tabel!P133="","",IF(Tabel!U133="","",Tabel!P133))</f>
        <v/>
      </c>
    </row>
    <row r="131" spans="1:6" x14ac:dyDescent="0.25">
      <c r="A131" s="22" t="str">
        <f>IF(Tabel!N134="","",Tabel!Q134)</f>
        <v/>
      </c>
      <c r="B131" s="11" t="str">
        <f>IF(Tabel!N134="","",IF(Tabel!Q134="","",Tabel!N134))</f>
        <v/>
      </c>
      <c r="C131" s="22" t="str">
        <f>IF(Tabel!O134="","",Tabel!S134)</f>
        <v/>
      </c>
      <c r="D131" s="11" t="str">
        <f>IF(Tabel!O134="","",IF(Tabel!S134="","",Tabel!O134))</f>
        <v/>
      </c>
      <c r="E131" s="22" t="str">
        <f>IF(Tabel!P134="","",Tabel!T134)</f>
        <v/>
      </c>
      <c r="F131" s="11" t="str">
        <f>IF(Tabel!P134="","",IF(Tabel!U134="","",Tabel!P134))</f>
        <v/>
      </c>
    </row>
    <row r="132" spans="1:6" x14ac:dyDescent="0.25">
      <c r="A132" s="22" t="str">
        <f>IF(Tabel!N135="","",Tabel!Q135)</f>
        <v/>
      </c>
      <c r="B132" s="11" t="str">
        <f>IF(Tabel!N135="","",IF(Tabel!Q135="","",Tabel!N135))</f>
        <v/>
      </c>
      <c r="C132" s="22" t="str">
        <f>IF(Tabel!O135="","",Tabel!S135)</f>
        <v/>
      </c>
      <c r="D132" s="11" t="str">
        <f>IF(Tabel!O135="","",IF(Tabel!S135="","",Tabel!O135))</f>
        <v/>
      </c>
      <c r="E132" s="22" t="str">
        <f>IF(Tabel!P135="","",Tabel!T135)</f>
        <v/>
      </c>
      <c r="F132" s="11" t="str">
        <f>IF(Tabel!P135="","",IF(Tabel!U135="","",Tabel!P135))</f>
        <v/>
      </c>
    </row>
    <row r="133" spans="1:6" x14ac:dyDescent="0.25">
      <c r="A133" s="22" t="str">
        <f>IF(Tabel!N136="","",Tabel!Q136)</f>
        <v/>
      </c>
      <c r="B133" s="11" t="str">
        <f>IF(Tabel!N136="","",IF(Tabel!Q136="","",Tabel!N136))</f>
        <v/>
      </c>
      <c r="C133" s="22" t="str">
        <f>IF(Tabel!O136="","",Tabel!S136)</f>
        <v/>
      </c>
      <c r="D133" s="11" t="str">
        <f>IF(Tabel!O136="","",IF(Tabel!S136="","",Tabel!O136))</f>
        <v/>
      </c>
      <c r="E133" s="22" t="str">
        <f>IF(Tabel!P136="","",Tabel!T136)</f>
        <v/>
      </c>
      <c r="F133" s="11" t="str">
        <f>IF(Tabel!P136="","",IF(Tabel!U136="","",Tabel!P136))</f>
        <v/>
      </c>
    </row>
    <row r="134" spans="1:6" x14ac:dyDescent="0.25">
      <c r="A134" s="22" t="str">
        <f>IF(Tabel!N137="","",Tabel!Q137)</f>
        <v/>
      </c>
      <c r="B134" s="11" t="str">
        <f>IF(Tabel!N137="","",IF(Tabel!Q137="","",Tabel!N137))</f>
        <v/>
      </c>
      <c r="C134" s="22" t="str">
        <f>IF(Tabel!O137="","",Tabel!S137)</f>
        <v/>
      </c>
      <c r="D134" s="11" t="str">
        <f>IF(Tabel!O137="","",IF(Tabel!S137="","",Tabel!O137))</f>
        <v/>
      </c>
      <c r="E134" s="22" t="str">
        <f>IF(Tabel!P137="","",Tabel!T137)</f>
        <v/>
      </c>
      <c r="F134" s="11" t="str">
        <f>IF(Tabel!P137="","",IF(Tabel!U137="","",Tabel!P137))</f>
        <v/>
      </c>
    </row>
    <row r="135" spans="1:6" x14ac:dyDescent="0.25">
      <c r="A135" s="22" t="str">
        <f>IF(Tabel!N138="","",Tabel!Q138)</f>
        <v/>
      </c>
      <c r="B135" s="11" t="str">
        <f>IF(Tabel!N138="","",IF(Tabel!Q138="","",Tabel!N138))</f>
        <v/>
      </c>
      <c r="C135" s="22" t="str">
        <f>IF(Tabel!O138="","",Tabel!S138)</f>
        <v/>
      </c>
      <c r="D135" s="11" t="str">
        <f>IF(Tabel!O138="","",IF(Tabel!S138="","",Tabel!O138))</f>
        <v/>
      </c>
      <c r="E135" s="22" t="str">
        <f>IF(Tabel!P138="","",Tabel!T138)</f>
        <v/>
      </c>
      <c r="F135" s="11" t="str">
        <f>IF(Tabel!P138="","",IF(Tabel!U138="","",Tabel!P138))</f>
        <v/>
      </c>
    </row>
    <row r="136" spans="1:6" x14ac:dyDescent="0.25">
      <c r="A136" s="22" t="str">
        <f>IF(Tabel!N139="","",Tabel!Q139)</f>
        <v/>
      </c>
      <c r="B136" s="11" t="str">
        <f>IF(Tabel!N139="","",IF(Tabel!Q139="","",Tabel!N139))</f>
        <v/>
      </c>
      <c r="C136" s="22" t="str">
        <f>IF(Tabel!O139="","",Tabel!S139)</f>
        <v/>
      </c>
      <c r="D136" s="11" t="str">
        <f>IF(Tabel!O139="","",IF(Tabel!S139="","",Tabel!O139))</f>
        <v/>
      </c>
      <c r="E136" s="22" t="str">
        <f>IF(Tabel!P139="","",Tabel!T139)</f>
        <v/>
      </c>
      <c r="F136" s="11" t="str">
        <f>IF(Tabel!P139="","",IF(Tabel!U139="","",Tabel!P139))</f>
        <v/>
      </c>
    </row>
    <row r="137" spans="1:6" x14ac:dyDescent="0.25">
      <c r="A137" s="22" t="str">
        <f>IF(Tabel!N140="","",Tabel!Q140)</f>
        <v/>
      </c>
      <c r="B137" s="11" t="str">
        <f>IF(Tabel!N140="","",IF(Tabel!Q140="","",Tabel!N140))</f>
        <v/>
      </c>
      <c r="C137" s="22" t="str">
        <f>IF(Tabel!O140="","",Tabel!S140)</f>
        <v/>
      </c>
      <c r="D137" s="11" t="str">
        <f>IF(Tabel!O140="","",IF(Tabel!S140="","",Tabel!O140))</f>
        <v/>
      </c>
      <c r="E137" s="22" t="str">
        <f>IF(Tabel!P140="","",Tabel!T140)</f>
        <v/>
      </c>
      <c r="F137" s="11" t="str">
        <f>IF(Tabel!P140="","",IF(Tabel!U140="","",Tabel!P140))</f>
        <v/>
      </c>
    </row>
    <row r="138" spans="1:6" x14ac:dyDescent="0.25">
      <c r="A138" s="22" t="str">
        <f>IF(Tabel!N141="","",Tabel!Q141)</f>
        <v/>
      </c>
      <c r="B138" s="11" t="str">
        <f>IF(Tabel!N141="","",IF(Tabel!Q141="","",Tabel!N141))</f>
        <v/>
      </c>
      <c r="C138" s="22" t="str">
        <f>IF(Tabel!O141="","",Tabel!S141)</f>
        <v/>
      </c>
      <c r="D138" s="11" t="str">
        <f>IF(Tabel!O141="","",IF(Tabel!S141="","",Tabel!O141))</f>
        <v/>
      </c>
      <c r="E138" s="22" t="str">
        <f>IF(Tabel!P141="","",Tabel!T141)</f>
        <v/>
      </c>
      <c r="F138" s="11" t="str">
        <f>IF(Tabel!P141="","",IF(Tabel!U141="","",Tabel!P141))</f>
        <v/>
      </c>
    </row>
    <row r="139" spans="1:6" x14ac:dyDescent="0.25">
      <c r="A139" s="22" t="str">
        <f>IF(Tabel!N142="","",Tabel!Q142)</f>
        <v/>
      </c>
      <c r="B139" s="11" t="str">
        <f>IF(Tabel!N142="","",IF(Tabel!Q142="","",Tabel!N142))</f>
        <v/>
      </c>
      <c r="C139" s="22" t="str">
        <f>IF(Tabel!O142="","",Tabel!S142)</f>
        <v/>
      </c>
      <c r="D139" s="11" t="str">
        <f>IF(Tabel!O142="","",IF(Tabel!S142="","",Tabel!O142))</f>
        <v/>
      </c>
      <c r="E139" s="22" t="str">
        <f>IF(Tabel!P142="","",Tabel!T142)</f>
        <v/>
      </c>
      <c r="F139" s="11" t="str">
        <f>IF(Tabel!P142="","",IF(Tabel!U142="","",Tabel!P142))</f>
        <v/>
      </c>
    </row>
    <row r="140" spans="1:6" x14ac:dyDescent="0.25">
      <c r="A140" s="22" t="str">
        <f>IF(Tabel!N143="","",Tabel!Q143)</f>
        <v/>
      </c>
      <c r="B140" s="11" t="str">
        <f>IF(Tabel!N143="","",IF(Tabel!Q143="","",Tabel!N143))</f>
        <v/>
      </c>
      <c r="C140" s="22" t="str">
        <f>IF(Tabel!O143="","",Tabel!S143)</f>
        <v/>
      </c>
      <c r="D140" s="11" t="str">
        <f>IF(Tabel!O143="","",IF(Tabel!S143="","",Tabel!O143))</f>
        <v/>
      </c>
      <c r="E140" s="22" t="str">
        <f>IF(Tabel!P143="","",Tabel!T143)</f>
        <v/>
      </c>
      <c r="F140" s="11" t="str">
        <f>IF(Tabel!P143="","",IF(Tabel!U143="","",Tabel!P143))</f>
        <v/>
      </c>
    </row>
    <row r="141" spans="1:6" x14ac:dyDescent="0.25">
      <c r="A141" s="22" t="str">
        <f>IF(Tabel!N144="","",Tabel!Q144)</f>
        <v/>
      </c>
      <c r="B141" s="11" t="str">
        <f>IF(Tabel!N144="","",IF(Tabel!Q144="","",Tabel!N144))</f>
        <v/>
      </c>
      <c r="C141" s="22" t="str">
        <f>IF(Tabel!O144="","",Tabel!S144)</f>
        <v/>
      </c>
      <c r="D141" s="11" t="str">
        <f>IF(Tabel!O144="","",IF(Tabel!S144="","",Tabel!O144))</f>
        <v/>
      </c>
      <c r="E141" s="22" t="str">
        <f>IF(Tabel!P144="","",Tabel!T144)</f>
        <v/>
      </c>
      <c r="F141" s="11" t="str">
        <f>IF(Tabel!P144="","",IF(Tabel!U144="","",Tabel!P144))</f>
        <v/>
      </c>
    </row>
    <row r="142" spans="1:6" x14ac:dyDescent="0.25">
      <c r="A142" s="22" t="str">
        <f>IF(Tabel!N145="","",Tabel!Q145)</f>
        <v/>
      </c>
      <c r="B142" s="11" t="str">
        <f>IF(Tabel!N145="","",IF(Tabel!Q145="","",Tabel!N145))</f>
        <v/>
      </c>
      <c r="C142" s="22" t="str">
        <f>IF(Tabel!O145="","",Tabel!S145)</f>
        <v/>
      </c>
      <c r="D142" s="11" t="str">
        <f>IF(Tabel!O145="","",IF(Tabel!S145="","",Tabel!O145))</f>
        <v/>
      </c>
      <c r="E142" s="22" t="str">
        <f>IF(Tabel!P145="","",Tabel!T145)</f>
        <v/>
      </c>
      <c r="F142" s="11" t="str">
        <f>IF(Tabel!P145="","",IF(Tabel!U145="","",Tabel!P145))</f>
        <v/>
      </c>
    </row>
    <row r="143" spans="1:6" x14ac:dyDescent="0.25">
      <c r="A143" s="22" t="str">
        <f>IF(Tabel!N146="","",Tabel!Q146)</f>
        <v/>
      </c>
      <c r="B143" s="11" t="str">
        <f>IF(Tabel!N146="","",IF(Tabel!Q146="","",Tabel!N146))</f>
        <v/>
      </c>
      <c r="C143" s="22" t="str">
        <f>IF(Tabel!O146="","",Tabel!S146)</f>
        <v/>
      </c>
      <c r="D143" s="11" t="str">
        <f>IF(Tabel!O146="","",IF(Tabel!S146="","",Tabel!O146))</f>
        <v/>
      </c>
      <c r="E143" s="22" t="str">
        <f>IF(Tabel!P146="","",Tabel!T146)</f>
        <v/>
      </c>
      <c r="F143" s="11" t="str">
        <f>IF(Tabel!P146="","",IF(Tabel!U146="","",Tabel!P146))</f>
        <v/>
      </c>
    </row>
    <row r="144" spans="1:6" x14ac:dyDescent="0.25">
      <c r="A144" s="22" t="str">
        <f>IF(Tabel!N147="","",Tabel!Q147)</f>
        <v/>
      </c>
      <c r="B144" s="11" t="str">
        <f>IF(Tabel!N147="","",IF(Tabel!Q147="","",Tabel!N147))</f>
        <v/>
      </c>
      <c r="C144" s="22" t="str">
        <f>IF(Tabel!O147="","",Tabel!S147)</f>
        <v/>
      </c>
      <c r="D144" s="11" t="str">
        <f>IF(Tabel!O147="","",IF(Tabel!S147="","",Tabel!O147))</f>
        <v/>
      </c>
      <c r="E144" s="22" t="str">
        <f>IF(Tabel!P147="","",Tabel!T147)</f>
        <v/>
      </c>
      <c r="F144" s="11" t="str">
        <f>IF(Tabel!P147="","",IF(Tabel!U147="","",Tabel!P147))</f>
        <v/>
      </c>
    </row>
    <row r="145" spans="1:6" x14ac:dyDescent="0.25">
      <c r="A145" s="22" t="str">
        <f>IF(Tabel!N148="","",Tabel!Q148)</f>
        <v/>
      </c>
      <c r="B145" s="11" t="str">
        <f>IF(Tabel!N148="","",IF(Tabel!Q148="","",Tabel!N148))</f>
        <v/>
      </c>
      <c r="C145" s="22" t="str">
        <f>IF(Tabel!O148="","",Tabel!S148)</f>
        <v/>
      </c>
      <c r="D145" s="11" t="str">
        <f>IF(Tabel!O148="","",IF(Tabel!S148="","",Tabel!O148))</f>
        <v/>
      </c>
      <c r="E145" s="22" t="str">
        <f>IF(Tabel!P148="","",Tabel!T148)</f>
        <v/>
      </c>
      <c r="F145" s="11" t="str">
        <f>IF(Tabel!P148="","",IF(Tabel!U148="","",Tabel!P148))</f>
        <v/>
      </c>
    </row>
    <row r="146" spans="1:6" x14ac:dyDescent="0.25">
      <c r="A146" s="22" t="str">
        <f>IF(Tabel!N149="","",Tabel!Q149)</f>
        <v/>
      </c>
      <c r="B146" s="11" t="str">
        <f>IF(Tabel!N149="","",IF(Tabel!Q149="","",Tabel!N149))</f>
        <v/>
      </c>
      <c r="C146" s="22" t="str">
        <f>IF(Tabel!O149="","",Tabel!S149)</f>
        <v/>
      </c>
      <c r="D146" s="11" t="str">
        <f>IF(Tabel!O149="","",IF(Tabel!S149="","",Tabel!O149))</f>
        <v/>
      </c>
      <c r="E146" s="22" t="str">
        <f>IF(Tabel!P149="","",Tabel!T149)</f>
        <v/>
      </c>
      <c r="F146" s="11" t="str">
        <f>IF(Tabel!P149="","",IF(Tabel!U149="","",Tabel!P149))</f>
        <v/>
      </c>
    </row>
    <row r="147" spans="1:6" x14ac:dyDescent="0.25">
      <c r="A147" s="22" t="str">
        <f>IF(Tabel!N150="","",Tabel!Q150)</f>
        <v/>
      </c>
      <c r="B147" s="11" t="str">
        <f>IF(Tabel!N150="","",IF(Tabel!Q150="","",Tabel!N150))</f>
        <v/>
      </c>
      <c r="C147" s="22" t="str">
        <f>IF(Tabel!O150="","",Tabel!S150)</f>
        <v/>
      </c>
      <c r="D147" s="11" t="str">
        <f>IF(Tabel!O150="","",IF(Tabel!S150="","",Tabel!O150))</f>
        <v/>
      </c>
      <c r="E147" s="22" t="str">
        <f>IF(Tabel!P150="","",Tabel!T150)</f>
        <v/>
      </c>
      <c r="F147" s="11" t="str">
        <f>IF(Tabel!P150="","",IF(Tabel!U150="","",Tabel!P150))</f>
        <v/>
      </c>
    </row>
    <row r="148" spans="1:6" x14ac:dyDescent="0.25">
      <c r="A148" s="22" t="str">
        <f>IF(Tabel!N151="","",Tabel!Q151)</f>
        <v/>
      </c>
      <c r="B148" s="11" t="str">
        <f>IF(Tabel!N151="","",IF(Tabel!Q151="","",Tabel!N151))</f>
        <v/>
      </c>
      <c r="C148" s="22" t="str">
        <f>IF(Tabel!O151="","",Tabel!S151)</f>
        <v/>
      </c>
      <c r="D148" s="11" t="str">
        <f>IF(Tabel!O151="","",IF(Tabel!S151="","",Tabel!O151))</f>
        <v/>
      </c>
      <c r="E148" s="22" t="str">
        <f>IF(Tabel!P151="","",Tabel!T151)</f>
        <v/>
      </c>
      <c r="F148" s="11" t="str">
        <f>IF(Tabel!P151="","",IF(Tabel!U151="","",Tabel!P151))</f>
        <v/>
      </c>
    </row>
    <row r="149" spans="1:6" x14ac:dyDescent="0.25">
      <c r="A149" s="22" t="str">
        <f>IF(Tabel!N152="","",Tabel!Q152)</f>
        <v/>
      </c>
      <c r="B149" s="11" t="str">
        <f>IF(Tabel!N152="","",IF(Tabel!Q152="","",Tabel!N152))</f>
        <v/>
      </c>
      <c r="C149" s="22" t="str">
        <f>IF(Tabel!O152="","",Tabel!S152)</f>
        <v/>
      </c>
      <c r="D149" s="11" t="str">
        <f>IF(Tabel!O152="","",IF(Tabel!S152="","",Tabel!O152))</f>
        <v/>
      </c>
      <c r="E149" s="22" t="str">
        <f>IF(Tabel!P152="","",Tabel!T152)</f>
        <v/>
      </c>
      <c r="F149" s="11" t="str">
        <f>IF(Tabel!P152="","",IF(Tabel!U152="","",Tabel!P152))</f>
        <v/>
      </c>
    </row>
    <row r="150" spans="1:6" x14ac:dyDescent="0.25">
      <c r="A150" s="22" t="str">
        <f>IF(Tabel!N153="","",Tabel!Q153)</f>
        <v/>
      </c>
      <c r="B150" s="11" t="str">
        <f>IF(Tabel!N153="","",IF(Tabel!Q153="","",Tabel!N153))</f>
        <v/>
      </c>
      <c r="C150" s="22" t="str">
        <f>IF(Tabel!O153="","",Tabel!S153)</f>
        <v/>
      </c>
      <c r="D150" s="11" t="str">
        <f>IF(Tabel!O153="","",IF(Tabel!S153="","",Tabel!O153))</f>
        <v/>
      </c>
      <c r="E150" s="22" t="str">
        <f>IF(Tabel!P153="","",Tabel!T153)</f>
        <v/>
      </c>
      <c r="F150" s="11" t="str">
        <f>IF(Tabel!P153="","",IF(Tabel!U153="","",Tabel!P153))</f>
        <v/>
      </c>
    </row>
    <row r="151" spans="1:6" x14ac:dyDescent="0.25">
      <c r="A151" s="22" t="str">
        <f>IF(Tabel!N154="","",Tabel!Q154)</f>
        <v/>
      </c>
      <c r="B151" s="11" t="str">
        <f>IF(Tabel!N154="","",IF(Tabel!Q154="","",Tabel!N154))</f>
        <v/>
      </c>
      <c r="C151" s="22" t="str">
        <f>IF(Tabel!O154="","",Tabel!S154)</f>
        <v/>
      </c>
      <c r="D151" s="11" t="str">
        <f>IF(Tabel!O154="","",IF(Tabel!S154="","",Tabel!O154))</f>
        <v/>
      </c>
      <c r="E151" s="22" t="str">
        <f>IF(Tabel!P154="","",Tabel!T154)</f>
        <v/>
      </c>
      <c r="F151" s="11" t="str">
        <f>IF(Tabel!P154="","",IF(Tabel!U154="","",Tabel!P154))</f>
        <v/>
      </c>
    </row>
    <row r="152" spans="1:6" x14ac:dyDescent="0.25">
      <c r="A152" s="22" t="str">
        <f>IF(Tabel!N155="","",Tabel!Q155)</f>
        <v/>
      </c>
      <c r="B152" s="11" t="str">
        <f>IF(Tabel!N155="","",IF(Tabel!Q155="","",Tabel!N155))</f>
        <v/>
      </c>
      <c r="C152" s="22" t="str">
        <f>IF(Tabel!O155="","",Tabel!S155)</f>
        <v/>
      </c>
      <c r="D152" s="11" t="str">
        <f>IF(Tabel!O155="","",IF(Tabel!S155="","",Tabel!O155))</f>
        <v/>
      </c>
      <c r="E152" s="22" t="str">
        <f>IF(Tabel!P155="","",Tabel!T155)</f>
        <v/>
      </c>
      <c r="F152" s="11" t="str">
        <f>IF(Tabel!P155="","",IF(Tabel!U155="","",Tabel!P155))</f>
        <v/>
      </c>
    </row>
    <row r="153" spans="1:6" x14ac:dyDescent="0.25">
      <c r="A153" s="22" t="str">
        <f>IF(Tabel!N156="","",Tabel!Q156)</f>
        <v/>
      </c>
      <c r="B153" s="11" t="str">
        <f>IF(Tabel!N156="","",IF(Tabel!Q156="","",Tabel!N156))</f>
        <v/>
      </c>
      <c r="C153" s="22" t="str">
        <f>IF(Tabel!O156="","",Tabel!S156)</f>
        <v/>
      </c>
      <c r="D153" s="11" t="str">
        <f>IF(Tabel!O156="","",IF(Tabel!S156="","",Tabel!O156))</f>
        <v/>
      </c>
      <c r="E153" s="22" t="str">
        <f>IF(Tabel!P156="","",Tabel!T156)</f>
        <v/>
      </c>
      <c r="F153" s="11" t="str">
        <f>IF(Tabel!P156="","",IF(Tabel!U156="","",Tabel!P156))</f>
        <v/>
      </c>
    </row>
    <row r="154" spans="1:6" x14ac:dyDescent="0.25">
      <c r="A154" s="22" t="str">
        <f>IF(Tabel!N157="","",Tabel!Q157)</f>
        <v/>
      </c>
      <c r="B154" s="11" t="str">
        <f>IF(Tabel!N157="","",IF(Tabel!Q157="","",Tabel!N157))</f>
        <v/>
      </c>
      <c r="C154" s="22" t="str">
        <f>IF(Tabel!O157="","",Tabel!S157)</f>
        <v/>
      </c>
      <c r="D154" s="11" t="str">
        <f>IF(Tabel!O157="","",IF(Tabel!S157="","",Tabel!O157))</f>
        <v/>
      </c>
      <c r="E154" s="22" t="str">
        <f>IF(Tabel!P157="","",Tabel!T157)</f>
        <v/>
      </c>
      <c r="F154" s="11" t="str">
        <f>IF(Tabel!P157="","",IF(Tabel!U157="","",Tabel!P157))</f>
        <v/>
      </c>
    </row>
    <row r="155" spans="1:6" x14ac:dyDescent="0.25">
      <c r="A155" s="22" t="str">
        <f>IF(Tabel!N158="","",Tabel!Q158)</f>
        <v/>
      </c>
      <c r="B155" s="11" t="str">
        <f>IF(Tabel!N158="","",IF(Tabel!Q158="","",Tabel!N158))</f>
        <v/>
      </c>
      <c r="C155" s="22" t="str">
        <f>IF(Tabel!O158="","",Tabel!S158)</f>
        <v/>
      </c>
      <c r="D155" s="11" t="str">
        <f>IF(Tabel!O158="","",IF(Tabel!S158="","",Tabel!O158))</f>
        <v/>
      </c>
      <c r="E155" s="22" t="str">
        <f>IF(Tabel!P158="","",Tabel!T158)</f>
        <v/>
      </c>
      <c r="F155" s="11" t="str">
        <f>IF(Tabel!P158="","",IF(Tabel!U158="","",Tabel!P158))</f>
        <v/>
      </c>
    </row>
    <row r="156" spans="1:6" x14ac:dyDescent="0.25">
      <c r="A156" s="22" t="str">
        <f>IF(Tabel!N159="","",Tabel!Q159)</f>
        <v/>
      </c>
      <c r="B156" s="11" t="str">
        <f>IF(Tabel!N159="","",IF(Tabel!Q159="","",Tabel!N159))</f>
        <v/>
      </c>
      <c r="C156" s="22" t="str">
        <f>IF(Tabel!O159="","",Tabel!S159)</f>
        <v/>
      </c>
      <c r="D156" s="11" t="str">
        <f>IF(Tabel!O159="","",IF(Tabel!S159="","",Tabel!O159))</f>
        <v/>
      </c>
      <c r="E156" s="22" t="str">
        <f>IF(Tabel!P159="","",Tabel!T159)</f>
        <v/>
      </c>
      <c r="F156" s="11" t="str">
        <f>IF(Tabel!P159="","",IF(Tabel!U159="","",Tabel!P159))</f>
        <v/>
      </c>
    </row>
    <row r="157" spans="1:6" x14ac:dyDescent="0.25">
      <c r="A157" s="22" t="str">
        <f>IF(Tabel!N160="","",Tabel!Q160)</f>
        <v/>
      </c>
      <c r="B157" s="11" t="str">
        <f>IF(Tabel!N160="","",IF(Tabel!Q160="","",Tabel!N160))</f>
        <v/>
      </c>
      <c r="C157" s="22" t="str">
        <f>IF(Tabel!O160="","",Tabel!S160)</f>
        <v/>
      </c>
      <c r="D157" s="11" t="str">
        <f>IF(Tabel!O160="","",IF(Tabel!S160="","",Tabel!O160))</f>
        <v/>
      </c>
      <c r="E157" s="22" t="str">
        <f>IF(Tabel!P160="","",Tabel!T160)</f>
        <v/>
      </c>
      <c r="F157" s="11" t="str">
        <f>IF(Tabel!P160="","",IF(Tabel!U160="","",Tabel!P160))</f>
        <v/>
      </c>
    </row>
    <row r="158" spans="1:6" x14ac:dyDescent="0.25">
      <c r="A158" s="22" t="str">
        <f>IF(Tabel!N161="","",Tabel!Q161)</f>
        <v/>
      </c>
      <c r="B158" s="11" t="str">
        <f>IF(Tabel!N161="","",IF(Tabel!Q161="","",Tabel!N161))</f>
        <v/>
      </c>
      <c r="C158" s="22" t="str">
        <f>IF(Tabel!O161="","",Tabel!S161)</f>
        <v/>
      </c>
      <c r="D158" s="11" t="str">
        <f>IF(Tabel!O161="","",IF(Tabel!S161="","",Tabel!O161))</f>
        <v/>
      </c>
      <c r="E158" s="22" t="str">
        <f>IF(Tabel!P161="","",Tabel!T161)</f>
        <v/>
      </c>
      <c r="F158" s="11" t="str">
        <f>IF(Tabel!P161="","",IF(Tabel!U161="","",Tabel!P161))</f>
        <v/>
      </c>
    </row>
    <row r="159" spans="1:6" x14ac:dyDescent="0.25">
      <c r="A159" s="22" t="str">
        <f>IF(Tabel!N162="","",Tabel!Q162)</f>
        <v/>
      </c>
      <c r="B159" s="11" t="str">
        <f>IF(Tabel!N162="","",IF(Tabel!Q162="","",Tabel!N162))</f>
        <v/>
      </c>
      <c r="C159" s="22" t="str">
        <f>IF(Tabel!O162="","",Tabel!S162)</f>
        <v/>
      </c>
      <c r="D159" s="11" t="str">
        <f>IF(Tabel!O162="","",IF(Tabel!S162="","",Tabel!O162))</f>
        <v/>
      </c>
      <c r="E159" s="22" t="str">
        <f>IF(Tabel!P162="","",Tabel!T162)</f>
        <v/>
      </c>
      <c r="F159" s="11" t="str">
        <f>IF(Tabel!P162="","",IF(Tabel!U162="","",Tabel!P162))</f>
        <v/>
      </c>
    </row>
    <row r="160" spans="1:6" x14ac:dyDescent="0.25">
      <c r="A160" s="22" t="str">
        <f>IF(Tabel!N163="","",Tabel!Q163)</f>
        <v/>
      </c>
      <c r="B160" s="11" t="str">
        <f>IF(Tabel!N163="","",IF(Tabel!Q163="","",Tabel!N163))</f>
        <v/>
      </c>
      <c r="C160" s="22" t="str">
        <f>IF(Tabel!O163="","",Tabel!S163)</f>
        <v/>
      </c>
      <c r="D160" s="11" t="str">
        <f>IF(Tabel!O163="","",IF(Tabel!S163="","",Tabel!O163))</f>
        <v/>
      </c>
      <c r="E160" s="22" t="str">
        <f>IF(Tabel!P163="","",Tabel!T163)</f>
        <v/>
      </c>
      <c r="F160" s="11" t="str">
        <f>IF(Tabel!P163="","",IF(Tabel!U163="","",Tabel!P163))</f>
        <v/>
      </c>
    </row>
    <row r="161" spans="1:6" x14ac:dyDescent="0.25">
      <c r="A161" s="22" t="str">
        <f>IF(Tabel!N164="","",Tabel!Q164)</f>
        <v/>
      </c>
      <c r="B161" s="11" t="str">
        <f>IF(Tabel!N164="","",IF(Tabel!Q164="","",Tabel!N164))</f>
        <v/>
      </c>
      <c r="C161" s="22" t="str">
        <f>IF(Tabel!O164="","",Tabel!S164)</f>
        <v/>
      </c>
      <c r="D161" s="11" t="str">
        <f>IF(Tabel!O164="","",IF(Tabel!S164="","",Tabel!O164))</f>
        <v/>
      </c>
      <c r="E161" s="22" t="str">
        <f>IF(Tabel!P164="","",Tabel!T164)</f>
        <v/>
      </c>
      <c r="F161" s="11" t="str">
        <f>IF(Tabel!P164="","",IF(Tabel!U164="","",Tabel!P164))</f>
        <v/>
      </c>
    </row>
    <row r="162" spans="1:6" x14ac:dyDescent="0.25">
      <c r="A162" s="22" t="str">
        <f>IF(Tabel!N165="","",Tabel!Q165)</f>
        <v/>
      </c>
      <c r="B162" s="11" t="str">
        <f>IF(Tabel!N165="","",IF(Tabel!Q165="","",Tabel!N165))</f>
        <v/>
      </c>
      <c r="C162" s="22" t="str">
        <f>IF(Tabel!O165="","",Tabel!S165)</f>
        <v/>
      </c>
      <c r="D162" s="11" t="str">
        <f>IF(Tabel!O165="","",IF(Tabel!S165="","",Tabel!O165))</f>
        <v/>
      </c>
      <c r="E162" s="22" t="str">
        <f>IF(Tabel!P165="","",Tabel!T165)</f>
        <v/>
      </c>
      <c r="F162" s="11" t="str">
        <f>IF(Tabel!P165="","",IF(Tabel!U165="","",Tabel!P165))</f>
        <v/>
      </c>
    </row>
    <row r="163" spans="1:6" x14ac:dyDescent="0.25">
      <c r="A163" s="22" t="str">
        <f>IF(Tabel!N166="","",Tabel!Q166)</f>
        <v/>
      </c>
      <c r="B163" s="11" t="str">
        <f>IF(Tabel!N166="","",IF(Tabel!Q166="","",Tabel!N166))</f>
        <v/>
      </c>
      <c r="C163" s="22" t="str">
        <f>IF(Tabel!O166="","",Tabel!S166)</f>
        <v/>
      </c>
      <c r="D163" s="11" t="str">
        <f>IF(Tabel!O166="","",IF(Tabel!S166="","",Tabel!O166))</f>
        <v/>
      </c>
      <c r="E163" s="22" t="str">
        <f>IF(Tabel!P166="","",Tabel!T166)</f>
        <v/>
      </c>
      <c r="F163" s="11" t="str">
        <f>IF(Tabel!P166="","",IF(Tabel!U166="","",Tabel!P166))</f>
        <v/>
      </c>
    </row>
    <row r="164" spans="1:6" x14ac:dyDescent="0.25">
      <c r="A164" s="22" t="str">
        <f>IF(Tabel!N167="","",Tabel!Q167)</f>
        <v/>
      </c>
      <c r="B164" s="11" t="str">
        <f>IF(Tabel!N167="","",IF(Tabel!Q167="","",Tabel!N167))</f>
        <v/>
      </c>
      <c r="C164" s="22" t="str">
        <f>IF(Tabel!O167="","",Tabel!S167)</f>
        <v/>
      </c>
      <c r="D164" s="11" t="str">
        <f>IF(Tabel!O167="","",IF(Tabel!S167="","",Tabel!O167))</f>
        <v/>
      </c>
      <c r="E164" s="22" t="str">
        <f>IF(Tabel!P167="","",Tabel!T167)</f>
        <v/>
      </c>
      <c r="F164" s="11" t="str">
        <f>IF(Tabel!P167="","",IF(Tabel!U167="","",Tabel!P167))</f>
        <v/>
      </c>
    </row>
    <row r="165" spans="1:6" x14ac:dyDescent="0.25">
      <c r="A165" s="22" t="str">
        <f>IF(Tabel!N168="","",Tabel!Q168)</f>
        <v/>
      </c>
      <c r="B165" s="11" t="str">
        <f>IF(Tabel!N168="","",IF(Tabel!Q168="","",Tabel!N168))</f>
        <v/>
      </c>
      <c r="C165" s="22" t="str">
        <f>IF(Tabel!O168="","",Tabel!S168)</f>
        <v/>
      </c>
      <c r="D165" s="11" t="str">
        <f>IF(Tabel!O168="","",IF(Tabel!S168="","",Tabel!O168))</f>
        <v/>
      </c>
      <c r="E165" s="22" t="str">
        <f>IF(Tabel!P168="","",Tabel!T168)</f>
        <v/>
      </c>
      <c r="F165" s="11" t="str">
        <f>IF(Tabel!P168="","",IF(Tabel!U168="","",Tabel!P168))</f>
        <v/>
      </c>
    </row>
    <row r="166" spans="1:6" x14ac:dyDescent="0.25">
      <c r="A166" s="22" t="str">
        <f>IF(Tabel!N169="","",Tabel!Q169)</f>
        <v/>
      </c>
      <c r="B166" s="11" t="str">
        <f>IF(Tabel!N169="","",IF(Tabel!Q169="","",Tabel!N169))</f>
        <v/>
      </c>
      <c r="C166" s="22" t="str">
        <f>IF(Tabel!O169="","",Tabel!S169)</f>
        <v/>
      </c>
      <c r="D166" s="11" t="str">
        <f>IF(Tabel!O169="","",IF(Tabel!S169="","",Tabel!O169))</f>
        <v/>
      </c>
      <c r="E166" s="22" t="str">
        <f>IF(Tabel!P169="","",Tabel!T169)</f>
        <v/>
      </c>
      <c r="F166" s="11" t="str">
        <f>IF(Tabel!P169="","",IF(Tabel!U169="","",Tabel!P169))</f>
        <v/>
      </c>
    </row>
    <row r="167" spans="1:6" x14ac:dyDescent="0.25">
      <c r="A167" s="22" t="str">
        <f>IF(Tabel!N170="","",Tabel!Q170)</f>
        <v/>
      </c>
      <c r="B167" s="11" t="str">
        <f>IF(Tabel!N170="","",IF(Tabel!Q170="","",Tabel!N170))</f>
        <v/>
      </c>
      <c r="C167" s="22" t="str">
        <f>IF(Tabel!O170="","",Tabel!S170)</f>
        <v/>
      </c>
      <c r="D167" s="11" t="str">
        <f>IF(Tabel!O170="","",IF(Tabel!S170="","",Tabel!O170))</f>
        <v/>
      </c>
      <c r="E167" s="22" t="str">
        <f>IF(Tabel!P170="","",Tabel!T170)</f>
        <v/>
      </c>
      <c r="F167" s="11" t="str">
        <f>IF(Tabel!P170="","",IF(Tabel!U170="","",Tabel!P170))</f>
        <v/>
      </c>
    </row>
    <row r="168" spans="1:6" x14ac:dyDescent="0.25">
      <c r="A168" s="22" t="str">
        <f>IF(Tabel!N171="","",Tabel!Q171)</f>
        <v/>
      </c>
      <c r="B168" s="11" t="str">
        <f>IF(Tabel!N171="","",IF(Tabel!Q171="","",Tabel!N171))</f>
        <v/>
      </c>
      <c r="C168" s="22" t="str">
        <f>IF(Tabel!O171="","",Tabel!S171)</f>
        <v/>
      </c>
      <c r="D168" s="11" t="str">
        <f>IF(Tabel!O171="","",IF(Tabel!S171="","",Tabel!O171))</f>
        <v/>
      </c>
      <c r="E168" s="22" t="str">
        <f>IF(Tabel!P171="","",Tabel!T171)</f>
        <v/>
      </c>
      <c r="F168" s="11" t="str">
        <f>IF(Tabel!P171="","",IF(Tabel!U171="","",Tabel!P171))</f>
        <v/>
      </c>
    </row>
    <row r="169" spans="1:6" x14ac:dyDescent="0.25">
      <c r="A169" s="22" t="str">
        <f>IF(Tabel!N172="","",Tabel!Q172)</f>
        <v/>
      </c>
      <c r="B169" s="11" t="str">
        <f>IF(Tabel!N172="","",IF(Tabel!Q172="","",Tabel!N172))</f>
        <v/>
      </c>
      <c r="C169" s="22" t="str">
        <f>IF(Tabel!O172="","",Tabel!S172)</f>
        <v/>
      </c>
      <c r="D169" s="11" t="str">
        <f>IF(Tabel!O172="","",IF(Tabel!S172="","",Tabel!O172))</f>
        <v/>
      </c>
      <c r="E169" s="22" t="str">
        <f>IF(Tabel!P172="","",Tabel!T172)</f>
        <v/>
      </c>
      <c r="F169" s="11" t="str">
        <f>IF(Tabel!P172="","",IF(Tabel!U172="","",Tabel!P172))</f>
        <v/>
      </c>
    </row>
    <row r="170" spans="1:6" x14ac:dyDescent="0.25">
      <c r="A170" s="22" t="str">
        <f>IF(Tabel!N173="","",Tabel!Q173)</f>
        <v/>
      </c>
      <c r="B170" s="11" t="str">
        <f>IF(Tabel!N173="","",IF(Tabel!Q173="","",Tabel!N173))</f>
        <v/>
      </c>
      <c r="C170" s="22" t="str">
        <f>IF(Tabel!O173="","",Tabel!S173)</f>
        <v/>
      </c>
      <c r="D170" s="11" t="str">
        <f>IF(Tabel!O173="","",IF(Tabel!S173="","",Tabel!O173))</f>
        <v/>
      </c>
      <c r="E170" s="22" t="str">
        <f>IF(Tabel!P173="","",Tabel!T173)</f>
        <v/>
      </c>
      <c r="F170" s="11" t="str">
        <f>IF(Tabel!P173="","",IF(Tabel!U173="","",Tabel!P173))</f>
        <v/>
      </c>
    </row>
    <row r="171" spans="1:6" x14ac:dyDescent="0.25">
      <c r="A171" s="22" t="str">
        <f>IF(Tabel!N174="","",Tabel!Q174)</f>
        <v/>
      </c>
      <c r="B171" s="11" t="str">
        <f>IF(Tabel!N174="","",IF(Tabel!Q174="","",Tabel!N174))</f>
        <v/>
      </c>
      <c r="C171" s="22" t="str">
        <f>IF(Tabel!O174="","",Tabel!S174)</f>
        <v/>
      </c>
      <c r="D171" s="11" t="str">
        <f>IF(Tabel!O174="","",IF(Tabel!S174="","",Tabel!O174))</f>
        <v/>
      </c>
      <c r="E171" s="22" t="str">
        <f>IF(Tabel!P174="","",Tabel!T174)</f>
        <v/>
      </c>
      <c r="F171" s="11" t="str">
        <f>IF(Tabel!P174="","",IF(Tabel!U174="","",Tabel!P174))</f>
        <v/>
      </c>
    </row>
    <row r="172" spans="1:6" x14ac:dyDescent="0.25">
      <c r="A172" s="22" t="str">
        <f>IF(Tabel!N175="","",Tabel!Q175)</f>
        <v/>
      </c>
      <c r="B172" s="11" t="str">
        <f>IF(Tabel!N175="","",IF(Tabel!Q175="","",Tabel!N175))</f>
        <v/>
      </c>
      <c r="C172" s="22" t="str">
        <f>IF(Tabel!O175="","",Tabel!S175)</f>
        <v/>
      </c>
      <c r="D172" s="11" t="str">
        <f>IF(Tabel!O175="","",IF(Tabel!S175="","",Tabel!O175))</f>
        <v/>
      </c>
      <c r="E172" s="22" t="str">
        <f>IF(Tabel!P175="","",Tabel!T175)</f>
        <v/>
      </c>
      <c r="F172" s="11" t="str">
        <f>IF(Tabel!P175="","",IF(Tabel!U175="","",Tabel!P175))</f>
        <v/>
      </c>
    </row>
    <row r="173" spans="1:6" x14ac:dyDescent="0.25">
      <c r="A173" s="22" t="str">
        <f>IF(Tabel!N176="","",Tabel!Q176)</f>
        <v/>
      </c>
      <c r="B173" s="11" t="str">
        <f>IF(Tabel!N176="","",IF(Tabel!Q176="","",Tabel!N176))</f>
        <v/>
      </c>
      <c r="C173" s="22" t="str">
        <f>IF(Tabel!O176="","",Tabel!S176)</f>
        <v/>
      </c>
      <c r="D173" s="11" t="str">
        <f>IF(Tabel!O176="","",IF(Tabel!S176="","",Tabel!O176))</f>
        <v/>
      </c>
      <c r="E173" s="22" t="str">
        <f>IF(Tabel!P176="","",Tabel!T176)</f>
        <v/>
      </c>
      <c r="F173" s="11" t="str">
        <f>IF(Tabel!P176="","",IF(Tabel!U176="","",Tabel!P176))</f>
        <v/>
      </c>
    </row>
    <row r="174" spans="1:6" x14ac:dyDescent="0.25">
      <c r="A174" s="22" t="str">
        <f>IF(Tabel!N177="","",Tabel!Q177)</f>
        <v/>
      </c>
      <c r="B174" s="11" t="str">
        <f>IF(Tabel!N177="","",IF(Tabel!Q177="","",Tabel!N177))</f>
        <v/>
      </c>
      <c r="C174" s="22" t="str">
        <f>IF(Tabel!O177="","",Tabel!S177)</f>
        <v/>
      </c>
      <c r="D174" s="11" t="str">
        <f>IF(Tabel!O177="","",IF(Tabel!S177="","",Tabel!O177))</f>
        <v/>
      </c>
      <c r="E174" s="22" t="str">
        <f>IF(Tabel!P177="","",Tabel!T177)</f>
        <v/>
      </c>
      <c r="F174" s="11" t="str">
        <f>IF(Tabel!P177="","",IF(Tabel!U177="","",Tabel!P177))</f>
        <v/>
      </c>
    </row>
    <row r="175" spans="1:6" x14ac:dyDescent="0.25">
      <c r="A175" s="22" t="str">
        <f>IF(Tabel!N178="","",Tabel!Q178)</f>
        <v/>
      </c>
      <c r="B175" s="11" t="str">
        <f>IF(Tabel!N178="","",IF(Tabel!Q178="","",Tabel!N178))</f>
        <v/>
      </c>
      <c r="C175" s="22" t="str">
        <f>IF(Tabel!O178="","",Tabel!S178)</f>
        <v/>
      </c>
      <c r="D175" s="11" t="str">
        <f>IF(Tabel!O178="","",IF(Tabel!S178="","",Tabel!O178))</f>
        <v/>
      </c>
      <c r="E175" s="22" t="str">
        <f>IF(Tabel!P178="","",Tabel!T178)</f>
        <v/>
      </c>
      <c r="F175" s="11" t="str">
        <f>IF(Tabel!P178="","",IF(Tabel!U178="","",Tabel!P178))</f>
        <v/>
      </c>
    </row>
    <row r="176" spans="1:6" x14ac:dyDescent="0.25">
      <c r="A176" s="22" t="str">
        <f>IF(Tabel!N179="","",Tabel!Q179)</f>
        <v/>
      </c>
      <c r="B176" s="11" t="str">
        <f>IF(Tabel!N179="","",IF(Tabel!Q179="","",Tabel!N179))</f>
        <v/>
      </c>
      <c r="C176" s="22" t="str">
        <f>IF(Tabel!O179="","",Tabel!S179)</f>
        <v/>
      </c>
      <c r="D176" s="11" t="str">
        <f>IF(Tabel!O179="","",IF(Tabel!S179="","",Tabel!O179))</f>
        <v/>
      </c>
      <c r="E176" s="22" t="str">
        <f>IF(Tabel!P179="","",Tabel!T179)</f>
        <v/>
      </c>
      <c r="F176" s="11" t="str">
        <f>IF(Tabel!P179="","",IF(Tabel!U179="","",Tabel!P179))</f>
        <v/>
      </c>
    </row>
    <row r="177" spans="1:6" x14ac:dyDescent="0.25">
      <c r="A177" s="22" t="str">
        <f>IF(Tabel!N180="","",Tabel!Q180)</f>
        <v/>
      </c>
      <c r="B177" s="11" t="str">
        <f>IF(Tabel!N180="","",IF(Tabel!Q180="","",Tabel!N180))</f>
        <v/>
      </c>
      <c r="C177" s="22" t="str">
        <f>IF(Tabel!O180="","",Tabel!S180)</f>
        <v/>
      </c>
      <c r="D177" s="11" t="str">
        <f>IF(Tabel!O180="","",IF(Tabel!S180="","",Tabel!O180))</f>
        <v/>
      </c>
      <c r="E177" s="22" t="str">
        <f>IF(Tabel!P180="","",Tabel!T180)</f>
        <v/>
      </c>
      <c r="F177" s="11" t="str">
        <f>IF(Tabel!P180="","",IF(Tabel!U180="","",Tabel!P180))</f>
        <v/>
      </c>
    </row>
    <row r="178" spans="1:6" x14ac:dyDescent="0.25">
      <c r="A178" s="22" t="str">
        <f>IF(Tabel!N181="","",Tabel!Q181)</f>
        <v/>
      </c>
      <c r="B178" s="11" t="str">
        <f>IF(Tabel!N181="","",IF(Tabel!Q181="","",Tabel!N181))</f>
        <v/>
      </c>
      <c r="C178" s="22" t="str">
        <f>IF(Tabel!O181="","",Tabel!S181)</f>
        <v/>
      </c>
      <c r="D178" s="11" t="str">
        <f>IF(Tabel!O181="","",IF(Tabel!S181="","",Tabel!O181))</f>
        <v/>
      </c>
      <c r="E178" s="22" t="str">
        <f>IF(Tabel!P181="","",Tabel!T181)</f>
        <v/>
      </c>
      <c r="F178" s="11" t="str">
        <f>IF(Tabel!P181="","",IF(Tabel!U181="","",Tabel!P181))</f>
        <v/>
      </c>
    </row>
    <row r="179" spans="1:6" x14ac:dyDescent="0.25">
      <c r="A179" s="22" t="str">
        <f>IF(Tabel!N182="","",Tabel!Q182)</f>
        <v/>
      </c>
      <c r="B179" s="11" t="str">
        <f>IF(Tabel!N182="","",IF(Tabel!Q182="","",Tabel!N182))</f>
        <v/>
      </c>
      <c r="C179" s="22" t="str">
        <f>IF(Tabel!O182="","",Tabel!S182)</f>
        <v/>
      </c>
      <c r="D179" s="11" t="str">
        <f>IF(Tabel!O182="","",IF(Tabel!S182="","",Tabel!O182))</f>
        <v/>
      </c>
      <c r="E179" s="22" t="str">
        <f>IF(Tabel!P182="","",Tabel!T182)</f>
        <v/>
      </c>
      <c r="F179" s="11" t="str">
        <f>IF(Tabel!P182="","",IF(Tabel!U182="","",Tabel!P182))</f>
        <v/>
      </c>
    </row>
    <row r="180" spans="1:6" x14ac:dyDescent="0.25">
      <c r="A180" s="22" t="str">
        <f>IF(Tabel!N183="","",Tabel!Q183)</f>
        <v/>
      </c>
      <c r="B180" s="11" t="str">
        <f>IF(Tabel!N183="","",IF(Tabel!Q183="","",Tabel!N183))</f>
        <v/>
      </c>
      <c r="C180" s="22" t="str">
        <f>IF(Tabel!O183="","",Tabel!S183)</f>
        <v/>
      </c>
      <c r="D180" s="11" t="str">
        <f>IF(Tabel!O183="","",IF(Tabel!S183="","",Tabel!O183))</f>
        <v/>
      </c>
      <c r="E180" s="22" t="str">
        <f>IF(Tabel!P183="","",Tabel!T183)</f>
        <v/>
      </c>
      <c r="F180" s="11" t="str">
        <f>IF(Tabel!P183="","",IF(Tabel!U183="","",Tabel!P183))</f>
        <v/>
      </c>
    </row>
    <row r="181" spans="1:6" x14ac:dyDescent="0.25">
      <c r="A181" s="22" t="str">
        <f>IF(Tabel!N184="","",Tabel!Q184)</f>
        <v/>
      </c>
      <c r="B181" s="11" t="str">
        <f>IF(Tabel!N184="","",IF(Tabel!Q184="","",Tabel!N184))</f>
        <v/>
      </c>
      <c r="C181" s="22" t="str">
        <f>IF(Tabel!O184="","",Tabel!S184)</f>
        <v/>
      </c>
      <c r="D181" s="11" t="str">
        <f>IF(Tabel!O184="","",IF(Tabel!S184="","",Tabel!O184))</f>
        <v/>
      </c>
      <c r="E181" s="22" t="str">
        <f>IF(Tabel!P184="","",Tabel!T184)</f>
        <v/>
      </c>
      <c r="F181" s="11" t="str">
        <f>IF(Tabel!P184="","",IF(Tabel!U184="","",Tabel!P184))</f>
        <v/>
      </c>
    </row>
    <row r="182" spans="1:6" x14ac:dyDescent="0.25">
      <c r="A182" s="22" t="str">
        <f>IF(Tabel!N185="","",Tabel!Q185)</f>
        <v/>
      </c>
      <c r="B182" s="11" t="str">
        <f>IF(Tabel!N185="","",IF(Tabel!Q185="","",Tabel!N185))</f>
        <v/>
      </c>
      <c r="C182" s="22" t="str">
        <f>IF(Tabel!O185="","",Tabel!S185)</f>
        <v/>
      </c>
      <c r="D182" s="11" t="str">
        <f>IF(Tabel!O185="","",IF(Tabel!S185="","",Tabel!O185))</f>
        <v/>
      </c>
      <c r="E182" s="22" t="str">
        <f>IF(Tabel!P185="","",Tabel!T185)</f>
        <v/>
      </c>
      <c r="F182" s="11" t="str">
        <f>IF(Tabel!P185="","",IF(Tabel!U185="","",Tabel!P185))</f>
        <v/>
      </c>
    </row>
    <row r="183" spans="1:6" x14ac:dyDescent="0.25">
      <c r="A183" s="22" t="str">
        <f>IF(Tabel!N186="","",Tabel!Q186)</f>
        <v/>
      </c>
      <c r="B183" s="11" t="str">
        <f>IF(Tabel!N186="","",IF(Tabel!Q186="","",Tabel!N186))</f>
        <v/>
      </c>
      <c r="C183" s="22" t="str">
        <f>IF(Tabel!O186="","",Tabel!S186)</f>
        <v/>
      </c>
      <c r="D183" s="11" t="str">
        <f>IF(Tabel!O186="","",IF(Tabel!S186="","",Tabel!O186))</f>
        <v/>
      </c>
      <c r="E183" s="22" t="str">
        <f>IF(Tabel!P186="","",Tabel!T186)</f>
        <v/>
      </c>
      <c r="F183" s="11" t="str">
        <f>IF(Tabel!P186="","",IF(Tabel!U186="","",Tabel!P186))</f>
        <v/>
      </c>
    </row>
    <row r="184" spans="1:6" x14ac:dyDescent="0.25">
      <c r="A184" s="22" t="str">
        <f>IF(Tabel!N187="","",Tabel!Q187)</f>
        <v/>
      </c>
      <c r="B184" s="11" t="str">
        <f>IF(Tabel!N187="","",IF(Tabel!Q187="","",Tabel!N187))</f>
        <v/>
      </c>
      <c r="C184" s="22" t="str">
        <f>IF(Tabel!O187="","",Tabel!S187)</f>
        <v/>
      </c>
      <c r="D184" s="11" t="str">
        <f>IF(Tabel!O187="","",IF(Tabel!S187="","",Tabel!O187))</f>
        <v/>
      </c>
      <c r="E184" s="22" t="str">
        <f>IF(Tabel!P187="","",Tabel!T187)</f>
        <v/>
      </c>
      <c r="F184" s="11" t="str">
        <f>IF(Tabel!P187="","",IF(Tabel!U187="","",Tabel!P187))</f>
        <v/>
      </c>
    </row>
    <row r="185" spans="1:6" x14ac:dyDescent="0.25">
      <c r="A185" s="22" t="str">
        <f>IF(Tabel!N188="","",Tabel!Q188)</f>
        <v/>
      </c>
      <c r="B185" s="11" t="str">
        <f>IF(Tabel!N188="","",IF(Tabel!Q188="","",Tabel!N188))</f>
        <v/>
      </c>
      <c r="C185" s="22" t="str">
        <f>IF(Tabel!O188="","",Tabel!S188)</f>
        <v/>
      </c>
      <c r="D185" s="11" t="str">
        <f>IF(Tabel!O188="","",IF(Tabel!S188="","",Tabel!O188))</f>
        <v/>
      </c>
      <c r="E185" s="22" t="str">
        <f>IF(Tabel!P188="","",Tabel!T188)</f>
        <v/>
      </c>
      <c r="F185" s="11" t="str">
        <f>IF(Tabel!P188="","",IF(Tabel!U188="","",Tabel!P188))</f>
        <v/>
      </c>
    </row>
    <row r="186" spans="1:6" x14ac:dyDescent="0.25">
      <c r="A186" s="22" t="str">
        <f>IF(Tabel!N189="","",Tabel!Q189)</f>
        <v/>
      </c>
      <c r="B186" s="11" t="str">
        <f>IF(Tabel!N189="","",IF(Tabel!Q189="","",Tabel!N189))</f>
        <v/>
      </c>
      <c r="C186" s="22" t="str">
        <f>IF(Tabel!O189="","",Tabel!S189)</f>
        <v/>
      </c>
      <c r="D186" s="11" t="str">
        <f>IF(Tabel!O189="","",IF(Tabel!S189="","",Tabel!O189))</f>
        <v/>
      </c>
      <c r="E186" s="22" t="str">
        <f>IF(Tabel!P189="","",Tabel!T189)</f>
        <v/>
      </c>
      <c r="F186" s="11" t="str">
        <f>IF(Tabel!P189="","",IF(Tabel!U189="","",Tabel!P189))</f>
        <v/>
      </c>
    </row>
    <row r="187" spans="1:6" x14ac:dyDescent="0.25">
      <c r="A187" s="22" t="str">
        <f>IF(Tabel!N190="","",Tabel!Q190)</f>
        <v/>
      </c>
      <c r="B187" s="11" t="str">
        <f>IF(Tabel!N190="","",IF(Tabel!Q190="","",Tabel!N190))</f>
        <v/>
      </c>
      <c r="C187" s="22" t="str">
        <f>IF(Tabel!O190="","",Tabel!S190)</f>
        <v/>
      </c>
      <c r="D187" s="11" t="str">
        <f>IF(Tabel!O190="","",IF(Tabel!S190="","",Tabel!O190))</f>
        <v/>
      </c>
      <c r="E187" s="22" t="str">
        <f>IF(Tabel!P190="","",Tabel!T190)</f>
        <v/>
      </c>
      <c r="F187" s="11" t="str">
        <f>IF(Tabel!P190="","",IF(Tabel!U190="","",Tabel!P190))</f>
        <v/>
      </c>
    </row>
    <row r="188" spans="1:6" x14ac:dyDescent="0.25">
      <c r="A188" s="22" t="str">
        <f>IF(Tabel!N191="","",Tabel!Q191)</f>
        <v/>
      </c>
      <c r="B188" s="11" t="str">
        <f>IF(Tabel!N191="","",IF(Tabel!Q191="","",Tabel!N191))</f>
        <v/>
      </c>
      <c r="C188" s="22" t="str">
        <f>IF(Tabel!O191="","",Tabel!S191)</f>
        <v/>
      </c>
      <c r="D188" s="11" t="str">
        <f>IF(Tabel!O191="","",IF(Tabel!S191="","",Tabel!O191))</f>
        <v/>
      </c>
      <c r="E188" s="22" t="str">
        <f>IF(Tabel!P191="","",Tabel!T191)</f>
        <v/>
      </c>
      <c r="F188" s="11" t="str">
        <f>IF(Tabel!P191="","",IF(Tabel!U191="","",Tabel!P191))</f>
        <v/>
      </c>
    </row>
    <row r="189" spans="1:6" x14ac:dyDescent="0.25">
      <c r="A189" s="22" t="str">
        <f>IF(Tabel!N192="","",Tabel!Q192)</f>
        <v/>
      </c>
      <c r="B189" s="11" t="str">
        <f>IF(Tabel!N192="","",IF(Tabel!Q192="","",Tabel!N192))</f>
        <v/>
      </c>
      <c r="C189" s="22" t="str">
        <f>IF(Tabel!O192="","",Tabel!S192)</f>
        <v/>
      </c>
      <c r="D189" s="11" t="str">
        <f>IF(Tabel!O192="","",IF(Tabel!S192="","",Tabel!O192))</f>
        <v/>
      </c>
      <c r="E189" s="22" t="str">
        <f>IF(Tabel!P192="","",Tabel!T192)</f>
        <v/>
      </c>
      <c r="F189" s="11" t="str">
        <f>IF(Tabel!P192="","",IF(Tabel!U192="","",Tabel!P192))</f>
        <v/>
      </c>
    </row>
    <row r="190" spans="1:6" x14ac:dyDescent="0.25">
      <c r="A190" s="22" t="str">
        <f>IF(Tabel!N193="","",Tabel!Q193)</f>
        <v/>
      </c>
      <c r="B190" s="11" t="str">
        <f>IF(Tabel!N193="","",IF(Tabel!Q193="","",Tabel!N193))</f>
        <v/>
      </c>
      <c r="C190" s="22" t="str">
        <f>IF(Tabel!O193="","",Tabel!S193)</f>
        <v/>
      </c>
      <c r="D190" s="11" t="str">
        <f>IF(Tabel!O193="","",IF(Tabel!S193="","",Tabel!O193))</f>
        <v/>
      </c>
      <c r="E190" s="22" t="str">
        <f>IF(Tabel!P193="","",Tabel!T193)</f>
        <v/>
      </c>
      <c r="F190" s="11" t="str">
        <f>IF(Tabel!P193="","",IF(Tabel!U193="","",Tabel!P193))</f>
        <v/>
      </c>
    </row>
    <row r="191" spans="1:6" x14ac:dyDescent="0.25">
      <c r="A191" s="22" t="str">
        <f>IF(Tabel!N194="","",Tabel!Q194)</f>
        <v/>
      </c>
      <c r="B191" s="11" t="str">
        <f>IF(Tabel!N194="","",IF(Tabel!Q194="","",Tabel!N194))</f>
        <v/>
      </c>
      <c r="C191" s="22" t="str">
        <f>IF(Tabel!O194="","",Tabel!S194)</f>
        <v/>
      </c>
      <c r="D191" s="11" t="str">
        <f>IF(Tabel!O194="","",IF(Tabel!S194="","",Tabel!O194))</f>
        <v/>
      </c>
      <c r="E191" s="22" t="str">
        <f>IF(Tabel!P194="","",Tabel!T194)</f>
        <v/>
      </c>
      <c r="F191" s="11" t="str">
        <f>IF(Tabel!P194="","",IF(Tabel!U194="","",Tabel!P194))</f>
        <v/>
      </c>
    </row>
    <row r="192" spans="1:6" x14ac:dyDescent="0.25">
      <c r="A192" s="22" t="str">
        <f>IF(Tabel!N195="","",Tabel!Q195)</f>
        <v/>
      </c>
      <c r="B192" s="11" t="str">
        <f>IF(Tabel!N195="","",IF(Tabel!Q195="","",Tabel!N195))</f>
        <v/>
      </c>
      <c r="C192" s="22" t="str">
        <f>IF(Tabel!O195="","",Tabel!S195)</f>
        <v/>
      </c>
      <c r="D192" s="11" t="str">
        <f>IF(Tabel!O195="","",IF(Tabel!S195="","",Tabel!O195))</f>
        <v/>
      </c>
      <c r="E192" s="22" t="str">
        <f>IF(Tabel!P195="","",Tabel!T195)</f>
        <v/>
      </c>
      <c r="F192" s="11" t="str">
        <f>IF(Tabel!P195="","",IF(Tabel!U195="","",Tabel!P195))</f>
        <v/>
      </c>
    </row>
    <row r="193" spans="1:6" x14ac:dyDescent="0.25">
      <c r="A193" s="22" t="str">
        <f>IF(Tabel!N196="","",Tabel!Q196)</f>
        <v/>
      </c>
      <c r="B193" s="11" t="str">
        <f>IF(Tabel!N196="","",IF(Tabel!Q196="","",Tabel!N196))</f>
        <v/>
      </c>
      <c r="C193" s="22" t="str">
        <f>IF(Tabel!O196="","",Tabel!S196)</f>
        <v/>
      </c>
      <c r="D193" s="11" t="str">
        <f>IF(Tabel!O196="","",IF(Tabel!S196="","",Tabel!O196))</f>
        <v/>
      </c>
      <c r="E193" s="22" t="str">
        <f>IF(Tabel!P196="","",Tabel!T196)</f>
        <v/>
      </c>
      <c r="F193" s="11" t="str">
        <f>IF(Tabel!P196="","",IF(Tabel!U196="","",Tabel!P196))</f>
        <v/>
      </c>
    </row>
    <row r="194" spans="1:6" x14ac:dyDescent="0.25">
      <c r="A194" s="22" t="str">
        <f>IF(Tabel!N197="","",Tabel!Q197)</f>
        <v/>
      </c>
      <c r="B194" s="11" t="str">
        <f>IF(Tabel!N197="","",IF(Tabel!Q197="","",Tabel!N197))</f>
        <v/>
      </c>
      <c r="C194" s="22" t="str">
        <f>IF(Tabel!O197="","",Tabel!S197)</f>
        <v/>
      </c>
      <c r="D194" s="11" t="str">
        <f>IF(Tabel!O197="","",IF(Tabel!S197="","",Tabel!O197))</f>
        <v/>
      </c>
      <c r="E194" s="22" t="str">
        <f>IF(Tabel!P197="","",Tabel!T197)</f>
        <v/>
      </c>
      <c r="F194" s="11" t="str">
        <f>IF(Tabel!P197="","",IF(Tabel!U197="","",Tabel!P197))</f>
        <v/>
      </c>
    </row>
    <row r="195" spans="1:6" x14ac:dyDescent="0.25">
      <c r="A195" s="22" t="str">
        <f>IF(Tabel!N198="","",Tabel!Q198)</f>
        <v/>
      </c>
      <c r="B195" s="11" t="str">
        <f>IF(Tabel!N198="","",IF(Tabel!Q198="","",Tabel!N198))</f>
        <v/>
      </c>
      <c r="C195" s="22" t="str">
        <f>IF(Tabel!O198="","",Tabel!S198)</f>
        <v/>
      </c>
      <c r="D195" s="11" t="str">
        <f>IF(Tabel!O198="","",IF(Tabel!S198="","",Tabel!O198))</f>
        <v/>
      </c>
      <c r="E195" s="22" t="str">
        <f>IF(Tabel!P198="","",Tabel!T198)</f>
        <v/>
      </c>
      <c r="F195" s="11" t="str">
        <f>IF(Tabel!P198="","",IF(Tabel!U198="","",Tabel!P198))</f>
        <v/>
      </c>
    </row>
    <row r="196" spans="1:6" x14ac:dyDescent="0.25">
      <c r="A196" s="22" t="str">
        <f>IF(Tabel!N199="","",Tabel!Q199)</f>
        <v/>
      </c>
      <c r="B196" s="11" t="str">
        <f>IF(Tabel!N199="","",IF(Tabel!Q199="","",Tabel!N199))</f>
        <v/>
      </c>
      <c r="C196" s="22" t="str">
        <f>IF(Tabel!O199="","",Tabel!S199)</f>
        <v/>
      </c>
      <c r="D196" s="11" t="str">
        <f>IF(Tabel!O199="","",IF(Tabel!S199="","",Tabel!O199))</f>
        <v/>
      </c>
      <c r="E196" s="22" t="str">
        <f>IF(Tabel!P199="","",Tabel!T199)</f>
        <v/>
      </c>
      <c r="F196" s="11" t="str">
        <f>IF(Tabel!P199="","",IF(Tabel!U199="","",Tabel!P199))</f>
        <v/>
      </c>
    </row>
    <row r="197" spans="1:6" x14ac:dyDescent="0.25">
      <c r="A197" s="22" t="str">
        <f>IF(Tabel!N200="","",Tabel!Q200)</f>
        <v/>
      </c>
      <c r="B197" s="11" t="str">
        <f>IF(Tabel!N200="","",IF(Tabel!Q200="","",Tabel!N200))</f>
        <v/>
      </c>
      <c r="C197" s="22" t="str">
        <f>IF(Tabel!O200="","",Tabel!S200)</f>
        <v/>
      </c>
      <c r="D197" s="11" t="str">
        <f>IF(Tabel!O200="","",IF(Tabel!S200="","",Tabel!O200))</f>
        <v/>
      </c>
      <c r="E197" s="22" t="str">
        <f>IF(Tabel!P200="","",Tabel!T200)</f>
        <v/>
      </c>
      <c r="F197" s="11" t="str">
        <f>IF(Tabel!P200="","",IF(Tabel!U200="","",Tabel!P200))</f>
        <v/>
      </c>
    </row>
    <row r="198" spans="1:6" x14ac:dyDescent="0.25">
      <c r="A198" s="22" t="str">
        <f>IF(Tabel!N201="","",Tabel!Q201)</f>
        <v/>
      </c>
      <c r="B198" s="11" t="str">
        <f>IF(Tabel!N201="","",IF(Tabel!Q201="","",Tabel!N201))</f>
        <v/>
      </c>
      <c r="C198" s="22" t="str">
        <f>IF(Tabel!O201="","",Tabel!S201)</f>
        <v/>
      </c>
      <c r="D198" s="11" t="str">
        <f>IF(Tabel!O201="","",IF(Tabel!S201="","",Tabel!O201))</f>
        <v/>
      </c>
      <c r="E198" s="22" t="str">
        <f>IF(Tabel!P201="","",Tabel!T201)</f>
        <v/>
      </c>
      <c r="F198" s="11" t="str">
        <f>IF(Tabel!P201="","",IF(Tabel!U201="","",Tabel!P201))</f>
        <v/>
      </c>
    </row>
    <row r="199" spans="1:6" x14ac:dyDescent="0.25">
      <c r="A199" s="22" t="str">
        <f>IF(Tabel!N202="","",Tabel!Q202)</f>
        <v/>
      </c>
      <c r="B199" s="11" t="str">
        <f>IF(Tabel!N202="","",IF(Tabel!Q202="","",Tabel!N202))</f>
        <v/>
      </c>
      <c r="C199" s="22" t="str">
        <f>IF(Tabel!O202="","",Tabel!S202)</f>
        <v/>
      </c>
      <c r="D199" s="11" t="str">
        <f>IF(Tabel!O202="","",IF(Tabel!S202="","",Tabel!O202))</f>
        <v/>
      </c>
      <c r="E199" s="22" t="str">
        <f>IF(Tabel!P202="","",Tabel!T202)</f>
        <v/>
      </c>
      <c r="F199" s="11" t="str">
        <f>IF(Tabel!P202="","",IF(Tabel!U202="","",Tabel!P202))</f>
        <v/>
      </c>
    </row>
    <row r="200" spans="1:6" x14ac:dyDescent="0.25">
      <c r="A200" s="22" t="str">
        <f>IF(Tabel!N203="","",Tabel!Q203)</f>
        <v/>
      </c>
      <c r="B200" s="11" t="str">
        <f>IF(Tabel!N203="","",IF(Tabel!Q203="","",Tabel!N203))</f>
        <v/>
      </c>
      <c r="C200" s="22" t="str">
        <f>IF(Tabel!O203="","",Tabel!S203)</f>
        <v/>
      </c>
      <c r="D200" s="11" t="str">
        <f>IF(Tabel!O203="","",IF(Tabel!S203="","",Tabel!O203))</f>
        <v/>
      </c>
      <c r="E200" s="22" t="str">
        <f>IF(Tabel!P203="","",Tabel!T203)</f>
        <v/>
      </c>
      <c r="F200" s="11" t="str">
        <f>IF(Tabel!P203="","",IF(Tabel!U203="","",Tabel!P203))</f>
        <v/>
      </c>
    </row>
    <row r="201" spans="1:6" x14ac:dyDescent="0.25">
      <c r="A201" s="22" t="str">
        <f>IF(Tabel!N204="","",Tabel!Q204)</f>
        <v/>
      </c>
      <c r="B201" s="11" t="str">
        <f>IF(Tabel!N204="","",IF(Tabel!Q204="","",Tabel!N204))</f>
        <v/>
      </c>
      <c r="C201" s="22" t="str">
        <f>IF(Tabel!O204="","",Tabel!S204)</f>
        <v/>
      </c>
      <c r="D201" s="11" t="str">
        <f>IF(Tabel!O204="","",IF(Tabel!S204="","",Tabel!O204))</f>
        <v/>
      </c>
      <c r="E201" s="22" t="str">
        <f>IF(Tabel!P204="","",Tabel!T204)</f>
        <v/>
      </c>
      <c r="F201" s="11" t="str">
        <f>IF(Tabel!P204="","",IF(Tabel!U204="","",Tabel!P204))</f>
        <v/>
      </c>
    </row>
    <row r="202" spans="1:6" x14ac:dyDescent="0.25">
      <c r="A202" s="22" t="str">
        <f>IF(Tabel!N205="","",Tabel!Q205)</f>
        <v/>
      </c>
      <c r="B202" s="11" t="str">
        <f>IF(Tabel!N205="","",IF(Tabel!Q205="","",Tabel!N205))</f>
        <v/>
      </c>
      <c r="C202" s="22" t="str">
        <f>IF(Tabel!O205="","",Tabel!S205)</f>
        <v/>
      </c>
      <c r="D202" s="11" t="str">
        <f>IF(Tabel!O205="","",IF(Tabel!S205="","",Tabel!O205))</f>
        <v/>
      </c>
      <c r="E202" s="22" t="str">
        <f>IF(Tabel!P205="","",Tabel!T205)</f>
        <v/>
      </c>
      <c r="F202" s="11" t="str">
        <f>IF(Tabel!P205="","",IF(Tabel!U205="","",Tabel!P205))</f>
        <v/>
      </c>
    </row>
    <row r="203" spans="1:6" x14ac:dyDescent="0.25">
      <c r="A203" s="22" t="str">
        <f>IF(Tabel!N206="","",Tabel!Q206)</f>
        <v/>
      </c>
      <c r="B203" s="11" t="str">
        <f>IF(Tabel!N206="","",IF(Tabel!Q206="","",Tabel!N206))</f>
        <v/>
      </c>
      <c r="C203" s="22" t="str">
        <f>IF(Tabel!O206="","",Tabel!S206)</f>
        <v/>
      </c>
      <c r="D203" s="11" t="str">
        <f>IF(Tabel!O206="","",IF(Tabel!S206="","",Tabel!O206))</f>
        <v/>
      </c>
      <c r="E203" s="22" t="str">
        <f>IF(Tabel!P206="","",Tabel!T206)</f>
        <v/>
      </c>
      <c r="F203" s="11" t="str">
        <f>IF(Tabel!P206="","",IF(Tabel!U206="","",Tabel!P206))</f>
        <v/>
      </c>
    </row>
    <row r="204" spans="1:6" x14ac:dyDescent="0.25">
      <c r="A204" s="22" t="str">
        <f>IF(Tabel!N207="","",Tabel!Q207)</f>
        <v/>
      </c>
      <c r="B204" s="11" t="str">
        <f>IF(Tabel!N207="","",IF(Tabel!Q207="","",Tabel!N207))</f>
        <v/>
      </c>
      <c r="C204" s="22" t="str">
        <f>IF(Tabel!O207="","",Tabel!S207)</f>
        <v/>
      </c>
      <c r="D204" s="11" t="str">
        <f>IF(Tabel!O207="","",IF(Tabel!S207="","",Tabel!O207))</f>
        <v/>
      </c>
      <c r="E204" s="22" t="str">
        <f>IF(Tabel!P207="","",Tabel!T207)</f>
        <v/>
      </c>
      <c r="F204" s="11" t="str">
        <f>IF(Tabel!P207="","",IF(Tabel!U207="","",Tabel!P207))</f>
        <v/>
      </c>
    </row>
    <row r="205" spans="1:6" x14ac:dyDescent="0.25">
      <c r="A205" s="22" t="str">
        <f>IF(Tabel!N208="","",Tabel!Q208)</f>
        <v/>
      </c>
      <c r="B205" s="11" t="str">
        <f>IF(Tabel!N208="","",IF(Tabel!Q208="","",Tabel!N208))</f>
        <v/>
      </c>
      <c r="C205" s="22" t="str">
        <f>IF(Tabel!O208="","",Tabel!S208)</f>
        <v/>
      </c>
      <c r="D205" s="11" t="str">
        <f>IF(Tabel!O208="","",IF(Tabel!S208="","",Tabel!O208))</f>
        <v/>
      </c>
      <c r="E205" s="22" t="str">
        <f>IF(Tabel!P208="","",Tabel!T208)</f>
        <v/>
      </c>
      <c r="F205" s="11" t="str">
        <f>IF(Tabel!P208="","",IF(Tabel!U208="","",Tabel!P208))</f>
        <v/>
      </c>
    </row>
    <row r="206" spans="1:6" x14ac:dyDescent="0.25">
      <c r="A206" s="22" t="str">
        <f>IF(Tabel!N209="","",Tabel!Q209)</f>
        <v/>
      </c>
      <c r="B206" s="11" t="str">
        <f>IF(Tabel!N209="","",IF(Tabel!Q209="","",Tabel!N209))</f>
        <v/>
      </c>
      <c r="C206" s="22" t="str">
        <f>IF(Tabel!O209="","",Tabel!S209)</f>
        <v/>
      </c>
      <c r="D206" s="11" t="str">
        <f>IF(Tabel!O209="","",IF(Tabel!S209="","",Tabel!O209))</f>
        <v/>
      </c>
      <c r="E206" s="22" t="str">
        <f>IF(Tabel!P209="","",Tabel!T209)</f>
        <v/>
      </c>
      <c r="F206" s="11" t="str">
        <f>IF(Tabel!P209="","",IF(Tabel!U209="","",Tabel!P209))</f>
        <v/>
      </c>
    </row>
    <row r="207" spans="1:6" x14ac:dyDescent="0.25">
      <c r="A207" s="22" t="str">
        <f>IF(Tabel!N210="","",Tabel!Q210)</f>
        <v/>
      </c>
      <c r="B207" s="11" t="str">
        <f>IF(Tabel!N210="","",IF(Tabel!Q210="","",Tabel!N210))</f>
        <v/>
      </c>
      <c r="C207" s="22" t="str">
        <f>IF(Tabel!O210="","",Tabel!S210)</f>
        <v/>
      </c>
      <c r="D207" s="11" t="str">
        <f>IF(Tabel!O210="","",IF(Tabel!S210="","",Tabel!O210))</f>
        <v/>
      </c>
      <c r="E207" s="22" t="str">
        <f>IF(Tabel!P210="","",Tabel!T210)</f>
        <v/>
      </c>
      <c r="F207" s="11" t="str">
        <f>IF(Tabel!P210="","",IF(Tabel!U210="","",Tabel!P210))</f>
        <v/>
      </c>
    </row>
    <row r="208" spans="1:6" x14ac:dyDescent="0.25">
      <c r="A208" s="22" t="str">
        <f>IF(Tabel!N211="","",Tabel!Q211)</f>
        <v/>
      </c>
      <c r="B208" s="11" t="str">
        <f>IF(Tabel!N211="","",IF(Tabel!Q211="","",Tabel!N211))</f>
        <v/>
      </c>
      <c r="C208" s="22" t="str">
        <f>IF(Tabel!O211="","",Tabel!S211)</f>
        <v/>
      </c>
      <c r="D208" s="11" t="str">
        <f>IF(Tabel!O211="","",IF(Tabel!S211="","",Tabel!O211))</f>
        <v/>
      </c>
      <c r="E208" s="22" t="str">
        <f>IF(Tabel!P211="","",Tabel!T211)</f>
        <v/>
      </c>
      <c r="F208" s="11" t="str">
        <f>IF(Tabel!P211="","",IF(Tabel!U211="","",Tabel!P211))</f>
        <v/>
      </c>
    </row>
    <row r="209" spans="1:6" x14ac:dyDescent="0.25">
      <c r="A209" s="22" t="str">
        <f>IF(Tabel!N212="","",Tabel!Q212)</f>
        <v/>
      </c>
      <c r="B209" s="11" t="str">
        <f>IF(Tabel!N212="","",IF(Tabel!Q212="","",Tabel!N212))</f>
        <v/>
      </c>
      <c r="C209" s="22" t="str">
        <f>IF(Tabel!O212="","",Tabel!S212)</f>
        <v/>
      </c>
      <c r="D209" s="11" t="str">
        <f>IF(Tabel!O212="","",IF(Tabel!S212="","",Tabel!O212))</f>
        <v/>
      </c>
      <c r="E209" s="22" t="str">
        <f>IF(Tabel!P212="","",Tabel!T212)</f>
        <v/>
      </c>
      <c r="F209" s="11" t="str">
        <f>IF(Tabel!P212="","",IF(Tabel!U212="","",Tabel!P212))</f>
        <v/>
      </c>
    </row>
    <row r="210" spans="1:6" x14ac:dyDescent="0.25">
      <c r="A210" s="22" t="str">
        <f>IF(Tabel!N213="","",Tabel!Q213)</f>
        <v/>
      </c>
      <c r="B210" s="11" t="str">
        <f>IF(Tabel!N213="","",IF(Tabel!Q213="","",Tabel!N213))</f>
        <v/>
      </c>
      <c r="C210" s="22" t="str">
        <f>IF(Tabel!O213="","",Tabel!S213)</f>
        <v/>
      </c>
      <c r="D210" s="11" t="str">
        <f>IF(Tabel!O213="","",IF(Tabel!S213="","",Tabel!O213))</f>
        <v/>
      </c>
      <c r="E210" s="22" t="str">
        <f>IF(Tabel!P213="","",Tabel!T213)</f>
        <v/>
      </c>
      <c r="F210" s="11" t="str">
        <f>IF(Tabel!P213="","",IF(Tabel!U213="","",Tabel!P213))</f>
        <v/>
      </c>
    </row>
    <row r="211" spans="1:6" x14ac:dyDescent="0.25">
      <c r="A211" s="22" t="str">
        <f>IF(Tabel!N214="","",Tabel!Q214)</f>
        <v/>
      </c>
      <c r="B211" s="11" t="str">
        <f>IF(Tabel!N214="","",IF(Tabel!Q214="","",Tabel!N214))</f>
        <v/>
      </c>
      <c r="C211" s="22" t="str">
        <f>IF(Tabel!O214="","",Tabel!S214)</f>
        <v/>
      </c>
      <c r="D211" s="11" t="str">
        <f>IF(Tabel!O214="","",IF(Tabel!S214="","",Tabel!O214))</f>
        <v/>
      </c>
      <c r="E211" s="22" t="str">
        <f>IF(Tabel!P214="","",Tabel!T214)</f>
        <v/>
      </c>
      <c r="F211" s="11" t="str">
        <f>IF(Tabel!P214="","",IF(Tabel!U214="","",Tabel!P214))</f>
        <v/>
      </c>
    </row>
    <row r="212" spans="1:6" x14ac:dyDescent="0.25">
      <c r="A212" s="22" t="str">
        <f>IF(Tabel!N215="","",Tabel!Q215)</f>
        <v/>
      </c>
      <c r="B212" s="11" t="str">
        <f>IF(Tabel!N215="","",IF(Tabel!Q215="","",Tabel!N215))</f>
        <v/>
      </c>
      <c r="C212" s="22" t="str">
        <f>IF(Tabel!O215="","",Tabel!S215)</f>
        <v/>
      </c>
      <c r="D212" s="11" t="str">
        <f>IF(Tabel!O215="","",IF(Tabel!S215="","",Tabel!O215))</f>
        <v/>
      </c>
      <c r="E212" s="22" t="str">
        <f>IF(Tabel!P215="","",Tabel!T215)</f>
        <v/>
      </c>
      <c r="F212" s="11" t="str">
        <f>IF(Tabel!P215="","",IF(Tabel!U215="","",Tabel!P215))</f>
        <v/>
      </c>
    </row>
    <row r="213" spans="1:6" x14ac:dyDescent="0.25">
      <c r="A213" s="22" t="str">
        <f>IF(Tabel!N216="","",Tabel!Q216)</f>
        <v/>
      </c>
      <c r="B213" s="11" t="str">
        <f>IF(Tabel!N216="","",IF(Tabel!Q216="","",Tabel!N216))</f>
        <v/>
      </c>
      <c r="C213" s="22" t="str">
        <f>IF(Tabel!O216="","",Tabel!S216)</f>
        <v/>
      </c>
      <c r="D213" s="11" t="str">
        <f>IF(Tabel!O216="","",IF(Tabel!S216="","",Tabel!O216))</f>
        <v/>
      </c>
      <c r="E213" s="22" t="str">
        <f>IF(Tabel!P216="","",Tabel!T216)</f>
        <v/>
      </c>
      <c r="F213" s="11" t="str">
        <f>IF(Tabel!P216="","",IF(Tabel!U216="","",Tabel!P216))</f>
        <v/>
      </c>
    </row>
    <row r="214" spans="1:6" x14ac:dyDescent="0.25">
      <c r="A214" s="22" t="str">
        <f>IF(Tabel!N217="","",Tabel!Q217)</f>
        <v/>
      </c>
      <c r="B214" s="11" t="str">
        <f>IF(Tabel!N217="","",IF(Tabel!Q217="","",Tabel!N217))</f>
        <v/>
      </c>
      <c r="C214" s="22" t="str">
        <f>IF(Tabel!O217="","",Tabel!S217)</f>
        <v/>
      </c>
      <c r="D214" s="11" t="str">
        <f>IF(Tabel!O217="","",IF(Tabel!S217="","",Tabel!O217))</f>
        <v/>
      </c>
      <c r="E214" s="22" t="str">
        <f>IF(Tabel!P217="","",Tabel!T217)</f>
        <v/>
      </c>
      <c r="F214" s="11" t="str">
        <f>IF(Tabel!P217="","",IF(Tabel!U217="","",Tabel!P217))</f>
        <v/>
      </c>
    </row>
    <row r="215" spans="1:6" x14ac:dyDescent="0.25">
      <c r="A215" s="22" t="str">
        <f>IF(Tabel!N218="","",Tabel!Q218)</f>
        <v/>
      </c>
      <c r="B215" s="11" t="str">
        <f>IF(Tabel!N218="","",IF(Tabel!Q218="","",Tabel!N218))</f>
        <v/>
      </c>
      <c r="C215" s="22" t="str">
        <f>IF(Tabel!O218="","",Tabel!S218)</f>
        <v/>
      </c>
      <c r="D215" s="11" t="str">
        <f>IF(Tabel!O218="","",IF(Tabel!S218="","",Tabel!O218))</f>
        <v/>
      </c>
      <c r="E215" s="22" t="str">
        <f>IF(Tabel!P218="","",Tabel!T218)</f>
        <v/>
      </c>
      <c r="F215" s="11" t="str">
        <f>IF(Tabel!P218="","",IF(Tabel!U218="","",Tabel!P218))</f>
        <v/>
      </c>
    </row>
    <row r="216" spans="1:6" x14ac:dyDescent="0.25">
      <c r="A216" s="22" t="str">
        <f>IF(Tabel!N219="","",Tabel!Q219)</f>
        <v/>
      </c>
      <c r="B216" s="11" t="str">
        <f>IF(Tabel!N219="","",IF(Tabel!Q219="","",Tabel!N219))</f>
        <v/>
      </c>
      <c r="C216" s="22" t="str">
        <f>IF(Tabel!O219="","",Tabel!S219)</f>
        <v/>
      </c>
      <c r="D216" s="11" t="str">
        <f>IF(Tabel!O219="","",IF(Tabel!S219="","",Tabel!O219))</f>
        <v/>
      </c>
      <c r="E216" s="22" t="str">
        <f>IF(Tabel!P219="","",Tabel!T219)</f>
        <v/>
      </c>
      <c r="F216" s="11" t="str">
        <f>IF(Tabel!P219="","",IF(Tabel!U219="","",Tabel!P219))</f>
        <v/>
      </c>
    </row>
    <row r="217" spans="1:6" x14ac:dyDescent="0.25">
      <c r="A217" s="22" t="str">
        <f>IF(Tabel!N220="","",Tabel!Q220)</f>
        <v/>
      </c>
      <c r="B217" s="11" t="str">
        <f>IF(Tabel!N220="","",IF(Tabel!Q220="","",Tabel!N220))</f>
        <v/>
      </c>
      <c r="C217" s="22" t="str">
        <f>IF(Tabel!O220="","",Tabel!S220)</f>
        <v/>
      </c>
      <c r="D217" s="11" t="str">
        <f>IF(Tabel!O220="","",IF(Tabel!S220="","",Tabel!O220))</f>
        <v/>
      </c>
      <c r="E217" s="22" t="str">
        <f>IF(Tabel!P220="","",Tabel!T220)</f>
        <v/>
      </c>
      <c r="F217" s="11" t="str">
        <f>IF(Tabel!P220="","",IF(Tabel!U220="","",Tabel!P220))</f>
        <v/>
      </c>
    </row>
    <row r="218" spans="1:6" x14ac:dyDescent="0.25">
      <c r="A218" s="22" t="str">
        <f>IF(Tabel!N221="","",Tabel!Q221)</f>
        <v/>
      </c>
      <c r="B218" s="11" t="str">
        <f>IF(Tabel!N221="","",IF(Tabel!Q221="","",Tabel!N221))</f>
        <v/>
      </c>
      <c r="C218" s="22" t="str">
        <f>IF(Tabel!O221="","",Tabel!S221)</f>
        <v/>
      </c>
      <c r="D218" s="11" t="str">
        <f>IF(Tabel!O221="","",IF(Tabel!S221="","",Tabel!O221))</f>
        <v/>
      </c>
      <c r="E218" s="22" t="str">
        <f>IF(Tabel!P221="","",Tabel!T221)</f>
        <v/>
      </c>
      <c r="F218" s="11" t="str">
        <f>IF(Tabel!P221="","",IF(Tabel!U221="","",Tabel!P221))</f>
        <v/>
      </c>
    </row>
    <row r="219" spans="1:6" x14ac:dyDescent="0.25">
      <c r="A219" s="22" t="str">
        <f>IF(Tabel!N222="","",Tabel!Q222)</f>
        <v/>
      </c>
      <c r="B219" s="11" t="str">
        <f>IF(Tabel!N222="","",IF(Tabel!Q222="","",Tabel!N222))</f>
        <v/>
      </c>
      <c r="C219" s="22" t="str">
        <f>IF(Tabel!O222="","",Tabel!S222)</f>
        <v/>
      </c>
      <c r="D219" s="11" t="str">
        <f>IF(Tabel!O222="","",IF(Tabel!S222="","",Tabel!O222))</f>
        <v/>
      </c>
      <c r="E219" s="22" t="str">
        <f>IF(Tabel!P222="","",Tabel!T222)</f>
        <v/>
      </c>
      <c r="F219" s="11" t="str">
        <f>IF(Tabel!P222="","",IF(Tabel!U222="","",Tabel!P222))</f>
        <v/>
      </c>
    </row>
    <row r="220" spans="1:6" x14ac:dyDescent="0.25">
      <c r="A220" s="22" t="str">
        <f>IF(Tabel!N223="","",Tabel!Q223)</f>
        <v/>
      </c>
      <c r="B220" s="11" t="str">
        <f>IF(Tabel!N223="","",IF(Tabel!Q223="","",Tabel!N223))</f>
        <v/>
      </c>
      <c r="C220" s="22" t="str">
        <f>IF(Tabel!O223="","",Tabel!S223)</f>
        <v/>
      </c>
      <c r="D220" s="11" t="str">
        <f>IF(Tabel!O223="","",IF(Tabel!S223="","",Tabel!O223))</f>
        <v/>
      </c>
      <c r="E220" s="22" t="str">
        <f>IF(Tabel!P223="","",Tabel!T223)</f>
        <v/>
      </c>
      <c r="F220" s="11" t="str">
        <f>IF(Tabel!P223="","",IF(Tabel!U223="","",Tabel!P223))</f>
        <v/>
      </c>
    </row>
    <row r="221" spans="1:6" x14ac:dyDescent="0.25">
      <c r="A221" s="22" t="str">
        <f>IF(Tabel!N224="","",Tabel!Q224)</f>
        <v/>
      </c>
      <c r="B221" s="11" t="str">
        <f>IF(Tabel!N224="","",IF(Tabel!Q224="","",Tabel!N224))</f>
        <v/>
      </c>
      <c r="C221" s="22" t="str">
        <f>IF(Tabel!O224="","",Tabel!S224)</f>
        <v/>
      </c>
      <c r="D221" s="11" t="str">
        <f>IF(Tabel!O224="","",IF(Tabel!S224="","",Tabel!O224))</f>
        <v/>
      </c>
      <c r="E221" s="22" t="str">
        <f>IF(Tabel!P224="","",Tabel!T224)</f>
        <v/>
      </c>
      <c r="F221" s="11" t="str">
        <f>IF(Tabel!P224="","",IF(Tabel!U224="","",Tabel!P224))</f>
        <v/>
      </c>
    </row>
    <row r="222" spans="1:6" x14ac:dyDescent="0.25">
      <c r="A222" s="22" t="str">
        <f>IF(Tabel!N225="","",Tabel!Q225)</f>
        <v/>
      </c>
      <c r="B222" s="11" t="str">
        <f>IF(Tabel!N225="","",IF(Tabel!Q225="","",Tabel!N225))</f>
        <v/>
      </c>
      <c r="C222" s="22" t="str">
        <f>IF(Tabel!O225="","",Tabel!S225)</f>
        <v/>
      </c>
      <c r="D222" s="11" t="str">
        <f>IF(Tabel!O225="","",IF(Tabel!S225="","",Tabel!O225))</f>
        <v/>
      </c>
      <c r="E222" s="22" t="str">
        <f>IF(Tabel!P225="","",Tabel!T225)</f>
        <v/>
      </c>
      <c r="F222" s="11" t="str">
        <f>IF(Tabel!P225="","",IF(Tabel!U225="","",Tabel!P225))</f>
        <v/>
      </c>
    </row>
    <row r="223" spans="1:6" x14ac:dyDescent="0.25">
      <c r="A223" s="22" t="str">
        <f>IF(Tabel!N226="","",Tabel!Q226)</f>
        <v/>
      </c>
      <c r="B223" s="11" t="str">
        <f>IF(Tabel!N226="","",IF(Tabel!Q226="","",Tabel!N226))</f>
        <v/>
      </c>
      <c r="C223" s="22" t="str">
        <f>IF(Tabel!O226="","",Tabel!S226)</f>
        <v/>
      </c>
      <c r="D223" s="11" t="str">
        <f>IF(Tabel!O226="","",IF(Tabel!S226="","",Tabel!O226))</f>
        <v/>
      </c>
      <c r="E223" s="22" t="str">
        <f>IF(Tabel!P226="","",Tabel!T226)</f>
        <v/>
      </c>
      <c r="F223" s="11" t="str">
        <f>IF(Tabel!P226="","",IF(Tabel!U226="","",Tabel!P226))</f>
        <v/>
      </c>
    </row>
    <row r="224" spans="1:6" x14ac:dyDescent="0.25">
      <c r="A224" s="22" t="str">
        <f>IF(Tabel!N227="","",Tabel!Q227)</f>
        <v/>
      </c>
      <c r="B224" s="11" t="str">
        <f>IF(Tabel!N227="","",IF(Tabel!Q227="","",Tabel!N227))</f>
        <v/>
      </c>
      <c r="C224" s="22" t="str">
        <f>IF(Tabel!O227="","",Tabel!S227)</f>
        <v/>
      </c>
      <c r="D224" s="11" t="str">
        <f>IF(Tabel!O227="","",IF(Tabel!S227="","",Tabel!O227))</f>
        <v/>
      </c>
      <c r="E224" s="22" t="str">
        <f>IF(Tabel!P227="","",Tabel!T227)</f>
        <v/>
      </c>
      <c r="F224" s="11" t="str">
        <f>IF(Tabel!P227="","",IF(Tabel!U227="","",Tabel!P227))</f>
        <v/>
      </c>
    </row>
    <row r="225" spans="1:6" x14ac:dyDescent="0.25">
      <c r="A225" s="22" t="str">
        <f>IF(Tabel!N228="","",Tabel!Q228)</f>
        <v/>
      </c>
      <c r="B225" s="11" t="str">
        <f>IF(Tabel!N228="","",IF(Tabel!Q228="","",Tabel!N228))</f>
        <v/>
      </c>
      <c r="C225" s="22" t="str">
        <f>IF(Tabel!O228="","",Tabel!S228)</f>
        <v/>
      </c>
      <c r="D225" s="11" t="str">
        <f>IF(Tabel!O228="","",IF(Tabel!S228="","",Tabel!O228))</f>
        <v/>
      </c>
      <c r="E225" s="22" t="str">
        <f>IF(Tabel!P228="","",Tabel!T228)</f>
        <v/>
      </c>
      <c r="F225" s="11" t="str">
        <f>IF(Tabel!P228="","",IF(Tabel!U228="","",Tabel!P228))</f>
        <v/>
      </c>
    </row>
    <row r="226" spans="1:6" x14ac:dyDescent="0.25">
      <c r="A226" s="22" t="str">
        <f>IF(Tabel!N229="","",Tabel!Q229)</f>
        <v/>
      </c>
      <c r="B226" s="11" t="str">
        <f>IF(Tabel!N229="","",IF(Tabel!Q229="","",Tabel!N229))</f>
        <v/>
      </c>
      <c r="C226" s="22" t="str">
        <f>IF(Tabel!O229="","",Tabel!S229)</f>
        <v/>
      </c>
      <c r="D226" s="11" t="str">
        <f>IF(Tabel!O229="","",IF(Tabel!S229="","",Tabel!O229))</f>
        <v/>
      </c>
      <c r="E226" s="22" t="str">
        <f>IF(Tabel!P229="","",Tabel!T229)</f>
        <v/>
      </c>
      <c r="F226" s="11" t="str">
        <f>IF(Tabel!P229="","",IF(Tabel!U229="","",Tabel!P229))</f>
        <v/>
      </c>
    </row>
    <row r="227" spans="1:6" x14ac:dyDescent="0.25">
      <c r="A227" s="22" t="str">
        <f>IF(Tabel!N230="","",Tabel!Q230)</f>
        <v/>
      </c>
      <c r="B227" s="11" t="str">
        <f>IF(Tabel!N230="","",IF(Tabel!Q230="","",Tabel!N230))</f>
        <v/>
      </c>
      <c r="C227" s="22" t="str">
        <f>IF(Tabel!O230="","",Tabel!S230)</f>
        <v/>
      </c>
      <c r="D227" s="11" t="str">
        <f>IF(Tabel!O230="","",IF(Tabel!S230="","",Tabel!O230))</f>
        <v/>
      </c>
      <c r="E227" s="22" t="str">
        <f>IF(Tabel!P230="","",Tabel!T230)</f>
        <v/>
      </c>
      <c r="F227" s="11" t="str">
        <f>IF(Tabel!P230="","",IF(Tabel!U230="","",Tabel!P230))</f>
        <v/>
      </c>
    </row>
    <row r="228" spans="1:6" x14ac:dyDescent="0.25">
      <c r="A228" s="22" t="str">
        <f>IF(Tabel!N231="","",Tabel!Q231)</f>
        <v/>
      </c>
      <c r="B228" s="11" t="str">
        <f>IF(Tabel!N231="","",IF(Tabel!Q231="","",Tabel!N231))</f>
        <v/>
      </c>
      <c r="C228" s="22" t="str">
        <f>IF(Tabel!O231="","",Tabel!S231)</f>
        <v/>
      </c>
      <c r="D228" s="11" t="str">
        <f>IF(Tabel!O231="","",IF(Tabel!S231="","",Tabel!O231))</f>
        <v/>
      </c>
      <c r="E228" s="22" t="str">
        <f>IF(Tabel!P231="","",Tabel!T231)</f>
        <v/>
      </c>
      <c r="F228" s="11" t="str">
        <f>IF(Tabel!P231="","",IF(Tabel!U231="","",Tabel!P231))</f>
        <v/>
      </c>
    </row>
    <row r="229" spans="1:6" x14ac:dyDescent="0.25">
      <c r="A229" s="22" t="str">
        <f>IF(Tabel!N232="","",Tabel!Q232)</f>
        <v/>
      </c>
      <c r="B229" s="11" t="str">
        <f>IF(Tabel!N232="","",IF(Tabel!Q232="","",Tabel!N232))</f>
        <v/>
      </c>
      <c r="C229" s="22" t="str">
        <f>IF(Tabel!O232="","",Tabel!S232)</f>
        <v/>
      </c>
      <c r="D229" s="11" t="str">
        <f>IF(Tabel!O232="","",IF(Tabel!S232="","",Tabel!O232))</f>
        <v/>
      </c>
      <c r="E229" s="22" t="str">
        <f>IF(Tabel!P232="","",Tabel!T232)</f>
        <v/>
      </c>
      <c r="F229" s="11" t="str">
        <f>IF(Tabel!P232="","",IF(Tabel!U232="","",Tabel!P232))</f>
        <v/>
      </c>
    </row>
    <row r="230" spans="1:6" x14ac:dyDescent="0.25">
      <c r="A230" s="22" t="str">
        <f>IF(Tabel!N233="","",Tabel!Q233)</f>
        <v/>
      </c>
      <c r="B230" s="11" t="str">
        <f>IF(Tabel!N233="","",IF(Tabel!Q233="","",Tabel!N233))</f>
        <v/>
      </c>
      <c r="C230" s="22" t="str">
        <f>IF(Tabel!O233="","",Tabel!S233)</f>
        <v/>
      </c>
      <c r="D230" s="11" t="str">
        <f>IF(Tabel!O233="","",IF(Tabel!S233="","",Tabel!O233))</f>
        <v/>
      </c>
      <c r="E230" s="22" t="str">
        <f>IF(Tabel!P233="","",Tabel!T233)</f>
        <v/>
      </c>
      <c r="F230" s="11" t="str">
        <f>IF(Tabel!P233="","",IF(Tabel!U233="","",Tabel!P233))</f>
        <v/>
      </c>
    </row>
    <row r="231" spans="1:6" x14ac:dyDescent="0.25">
      <c r="A231" s="22" t="str">
        <f>IF(Tabel!N234="","",Tabel!Q234)</f>
        <v/>
      </c>
      <c r="B231" s="11" t="str">
        <f>IF(Tabel!N234="","",IF(Tabel!Q234="","",Tabel!N234))</f>
        <v/>
      </c>
      <c r="C231" s="22" t="str">
        <f>IF(Tabel!O234="","",Tabel!S234)</f>
        <v/>
      </c>
      <c r="D231" s="11" t="str">
        <f>IF(Tabel!O234="","",IF(Tabel!S234="","",Tabel!O234))</f>
        <v/>
      </c>
      <c r="E231" s="22" t="str">
        <f>IF(Tabel!P234="","",Tabel!T234)</f>
        <v/>
      </c>
      <c r="F231" s="11" t="str">
        <f>IF(Tabel!P234="","",IF(Tabel!U234="","",Tabel!P234))</f>
        <v/>
      </c>
    </row>
    <row r="232" spans="1:6" x14ac:dyDescent="0.25">
      <c r="A232" s="22" t="str">
        <f>IF(Tabel!N235="","",Tabel!Q235)</f>
        <v/>
      </c>
      <c r="B232" s="11" t="str">
        <f>IF(Tabel!N235="","",IF(Tabel!Q235="","",Tabel!N235))</f>
        <v/>
      </c>
      <c r="C232" s="22" t="str">
        <f>IF(Tabel!O235="","",Tabel!S235)</f>
        <v/>
      </c>
      <c r="D232" s="11" t="str">
        <f>IF(Tabel!O235="","",IF(Tabel!S235="","",Tabel!O235))</f>
        <v/>
      </c>
      <c r="E232" s="22" t="str">
        <f>IF(Tabel!P235="","",Tabel!T235)</f>
        <v/>
      </c>
      <c r="F232" s="11" t="str">
        <f>IF(Tabel!P235="","",IF(Tabel!U235="","",Tabel!P235))</f>
        <v/>
      </c>
    </row>
    <row r="233" spans="1:6" x14ac:dyDescent="0.25">
      <c r="A233" s="22" t="str">
        <f>IF(Tabel!N236="","",Tabel!Q236)</f>
        <v/>
      </c>
      <c r="B233" s="11" t="str">
        <f>IF(Tabel!N236="","",IF(Tabel!Q236="","",Tabel!N236))</f>
        <v/>
      </c>
      <c r="C233" s="22" t="str">
        <f>IF(Tabel!O236="","",Tabel!S236)</f>
        <v/>
      </c>
      <c r="D233" s="11" t="str">
        <f>IF(Tabel!O236="","",IF(Tabel!S236="","",Tabel!O236))</f>
        <v/>
      </c>
      <c r="E233" s="22" t="str">
        <f>IF(Tabel!P236="","",Tabel!T236)</f>
        <v/>
      </c>
      <c r="F233" s="11" t="str">
        <f>IF(Tabel!P236="","",IF(Tabel!U236="","",Tabel!P236))</f>
        <v/>
      </c>
    </row>
    <row r="234" spans="1:6" x14ac:dyDescent="0.25">
      <c r="A234" s="22" t="str">
        <f>IF(Tabel!N237="","",Tabel!Q237)</f>
        <v/>
      </c>
      <c r="B234" s="11" t="str">
        <f>IF(Tabel!N237="","",IF(Tabel!Q237="","",Tabel!N237))</f>
        <v/>
      </c>
      <c r="C234" s="22" t="str">
        <f>IF(Tabel!O237="","",Tabel!S237)</f>
        <v/>
      </c>
      <c r="D234" s="11" t="str">
        <f>IF(Tabel!O237="","",IF(Tabel!S237="","",Tabel!O237))</f>
        <v/>
      </c>
      <c r="E234" s="22" t="str">
        <f>IF(Tabel!P237="","",Tabel!T237)</f>
        <v/>
      </c>
      <c r="F234" s="11" t="str">
        <f>IF(Tabel!P237="","",IF(Tabel!U237="","",Tabel!P237))</f>
        <v/>
      </c>
    </row>
    <row r="235" spans="1:6" x14ac:dyDescent="0.25">
      <c r="A235" s="22" t="str">
        <f>IF(Tabel!N238="","",Tabel!Q238)</f>
        <v/>
      </c>
      <c r="B235" s="11" t="str">
        <f>IF(Tabel!N238="","",IF(Tabel!Q238="","",Tabel!N238))</f>
        <v/>
      </c>
      <c r="C235" s="22" t="str">
        <f>IF(Tabel!O238="","",Tabel!S238)</f>
        <v/>
      </c>
      <c r="D235" s="11" t="str">
        <f>IF(Tabel!O238="","",IF(Tabel!S238="","",Tabel!O238))</f>
        <v/>
      </c>
      <c r="E235" s="22" t="str">
        <f>IF(Tabel!P238="","",Tabel!T238)</f>
        <v/>
      </c>
      <c r="F235" s="11" t="str">
        <f>IF(Tabel!P238="","",IF(Tabel!U238="","",Tabel!P238))</f>
        <v/>
      </c>
    </row>
    <row r="236" spans="1:6" x14ac:dyDescent="0.25">
      <c r="A236" s="22" t="str">
        <f>IF(Tabel!N239="","",Tabel!Q239)</f>
        <v/>
      </c>
      <c r="B236" s="11" t="str">
        <f>IF(Tabel!N239="","",IF(Tabel!Q239="","",Tabel!N239))</f>
        <v/>
      </c>
      <c r="C236" s="22" t="str">
        <f>IF(Tabel!O239="","",Tabel!S239)</f>
        <v/>
      </c>
      <c r="D236" s="11" t="str">
        <f>IF(Tabel!O239="","",IF(Tabel!S239="","",Tabel!O239))</f>
        <v/>
      </c>
      <c r="E236" s="22" t="str">
        <f>IF(Tabel!P239="","",Tabel!T239)</f>
        <v/>
      </c>
      <c r="F236" s="11" t="str">
        <f>IF(Tabel!P239="","",IF(Tabel!U239="","",Tabel!P239))</f>
        <v/>
      </c>
    </row>
    <row r="237" spans="1:6" x14ac:dyDescent="0.25">
      <c r="A237" s="22" t="str">
        <f>IF(Tabel!N240="","",Tabel!Q240)</f>
        <v/>
      </c>
      <c r="B237" s="11" t="str">
        <f>IF(Tabel!N240="","",IF(Tabel!Q240="","",Tabel!N240))</f>
        <v/>
      </c>
      <c r="C237" s="22" t="str">
        <f>IF(Tabel!O240="","",Tabel!S240)</f>
        <v/>
      </c>
      <c r="D237" s="11" t="str">
        <f>IF(Tabel!O240="","",IF(Tabel!S240="","",Tabel!O240))</f>
        <v/>
      </c>
      <c r="E237" s="22" t="str">
        <f>IF(Tabel!P240="","",Tabel!T240)</f>
        <v/>
      </c>
      <c r="F237" s="11" t="str">
        <f>IF(Tabel!P240="","",IF(Tabel!U240="","",Tabel!P240))</f>
        <v/>
      </c>
    </row>
    <row r="238" spans="1:6" x14ac:dyDescent="0.25">
      <c r="A238" s="22" t="str">
        <f>IF(Tabel!N241="","",Tabel!Q241)</f>
        <v/>
      </c>
      <c r="B238" s="11" t="str">
        <f>IF(Tabel!N241="","",IF(Tabel!Q241="","",Tabel!N241))</f>
        <v/>
      </c>
      <c r="C238" s="22" t="str">
        <f>IF(Tabel!O241="","",Tabel!S241)</f>
        <v/>
      </c>
      <c r="D238" s="11" t="str">
        <f>IF(Tabel!O241="","",IF(Tabel!S241="","",Tabel!O241))</f>
        <v/>
      </c>
      <c r="E238" s="22" t="str">
        <f>IF(Tabel!P241="","",Tabel!T241)</f>
        <v/>
      </c>
      <c r="F238" s="11" t="str">
        <f>IF(Tabel!P241="","",IF(Tabel!U241="","",Tabel!P241))</f>
        <v/>
      </c>
    </row>
    <row r="239" spans="1:6" x14ac:dyDescent="0.25">
      <c r="A239" s="22" t="str">
        <f>IF(Tabel!N242="","",Tabel!Q242)</f>
        <v/>
      </c>
      <c r="B239" s="11" t="str">
        <f>IF(Tabel!N242="","",IF(Tabel!Q242="","",Tabel!N242))</f>
        <v/>
      </c>
      <c r="C239" s="22" t="str">
        <f>IF(Tabel!O242="","",Tabel!S242)</f>
        <v/>
      </c>
      <c r="D239" s="11" t="str">
        <f>IF(Tabel!O242="","",IF(Tabel!S242="","",Tabel!O242))</f>
        <v/>
      </c>
      <c r="E239" s="22" t="str">
        <f>IF(Tabel!P242="","",Tabel!T242)</f>
        <v/>
      </c>
      <c r="F239" s="11" t="str">
        <f>IF(Tabel!P242="","",IF(Tabel!U242="","",Tabel!P242))</f>
        <v/>
      </c>
    </row>
    <row r="240" spans="1:6" x14ac:dyDescent="0.25">
      <c r="A240" s="22" t="str">
        <f>IF(Tabel!N243="","",Tabel!Q243)</f>
        <v/>
      </c>
      <c r="B240" s="11" t="str">
        <f>IF(Tabel!N243="","",IF(Tabel!Q243="","",Tabel!N243))</f>
        <v/>
      </c>
      <c r="C240" s="22" t="str">
        <f>IF(Tabel!O243="","",Tabel!S243)</f>
        <v/>
      </c>
      <c r="D240" s="11" t="str">
        <f>IF(Tabel!O243="","",IF(Tabel!S243="","",Tabel!O243))</f>
        <v/>
      </c>
      <c r="E240" s="22" t="str">
        <f>IF(Tabel!P243="","",Tabel!T243)</f>
        <v/>
      </c>
      <c r="F240" s="11" t="str">
        <f>IF(Tabel!P243="","",IF(Tabel!U243="","",Tabel!P243))</f>
        <v/>
      </c>
    </row>
    <row r="241" spans="1:6" x14ac:dyDescent="0.25">
      <c r="A241" s="22" t="str">
        <f>IF(Tabel!N244="","",Tabel!Q244)</f>
        <v/>
      </c>
      <c r="B241" s="11" t="str">
        <f>IF(Tabel!N244="","",IF(Tabel!Q244="","",Tabel!N244))</f>
        <v/>
      </c>
      <c r="C241" s="22" t="str">
        <f>IF(Tabel!O244="","",Tabel!S244)</f>
        <v/>
      </c>
      <c r="D241" s="11" t="str">
        <f>IF(Tabel!O244="","",IF(Tabel!S244="","",Tabel!O244))</f>
        <v/>
      </c>
      <c r="E241" s="22" t="str">
        <f>IF(Tabel!P244="","",Tabel!T244)</f>
        <v/>
      </c>
      <c r="F241" s="11" t="str">
        <f>IF(Tabel!P244="","",IF(Tabel!U244="","",Tabel!P244))</f>
        <v/>
      </c>
    </row>
    <row r="242" spans="1:6" x14ac:dyDescent="0.25">
      <c r="A242" s="22" t="str">
        <f>IF(Tabel!N245="","",Tabel!Q245)</f>
        <v/>
      </c>
      <c r="B242" s="11" t="str">
        <f>IF(Tabel!N245="","",IF(Tabel!Q245="","",Tabel!N245))</f>
        <v/>
      </c>
      <c r="C242" s="22" t="str">
        <f>IF(Tabel!O245="","",Tabel!S245)</f>
        <v/>
      </c>
      <c r="D242" s="11" t="str">
        <f>IF(Tabel!O245="","",IF(Tabel!S245="","",Tabel!O245))</f>
        <v/>
      </c>
      <c r="E242" s="22" t="str">
        <f>IF(Tabel!P245="","",Tabel!T245)</f>
        <v/>
      </c>
      <c r="F242" s="11" t="str">
        <f>IF(Tabel!P245="","",IF(Tabel!U245="","",Tabel!P245))</f>
        <v/>
      </c>
    </row>
    <row r="243" spans="1:6" x14ac:dyDescent="0.25">
      <c r="A243" s="22" t="str">
        <f>IF(Tabel!N246="","",Tabel!Q246)</f>
        <v/>
      </c>
      <c r="B243" s="11" t="str">
        <f>IF(Tabel!N246="","",IF(Tabel!Q246="","",Tabel!N246))</f>
        <v/>
      </c>
      <c r="C243" s="22" t="str">
        <f>IF(Tabel!O246="","",Tabel!S246)</f>
        <v/>
      </c>
      <c r="D243" s="11" t="str">
        <f>IF(Tabel!O246="","",IF(Tabel!S246="","",Tabel!O246))</f>
        <v/>
      </c>
      <c r="E243" s="22" t="str">
        <f>IF(Tabel!P246="","",Tabel!T246)</f>
        <v/>
      </c>
      <c r="F243" s="11" t="str">
        <f>IF(Tabel!P246="","",IF(Tabel!U246="","",Tabel!P246))</f>
        <v/>
      </c>
    </row>
    <row r="244" spans="1:6" x14ac:dyDescent="0.25">
      <c r="A244" s="22" t="str">
        <f>IF(Tabel!N247="","",Tabel!Q247)</f>
        <v/>
      </c>
      <c r="B244" s="11" t="str">
        <f>IF(Tabel!N247="","",IF(Tabel!Q247="","",Tabel!N247))</f>
        <v/>
      </c>
      <c r="C244" s="22" t="str">
        <f>IF(Tabel!O247="","",Tabel!S247)</f>
        <v/>
      </c>
      <c r="D244" s="11" t="str">
        <f>IF(Tabel!O247="","",IF(Tabel!S247="","",Tabel!O247))</f>
        <v/>
      </c>
      <c r="E244" s="22" t="str">
        <f>IF(Tabel!P247="","",Tabel!T247)</f>
        <v/>
      </c>
      <c r="F244" s="11" t="str">
        <f>IF(Tabel!P247="","",IF(Tabel!U247="","",Tabel!P247))</f>
        <v/>
      </c>
    </row>
    <row r="245" spans="1:6" x14ac:dyDescent="0.25">
      <c r="A245" s="22" t="str">
        <f>IF(Tabel!N248="","",Tabel!Q248)</f>
        <v/>
      </c>
      <c r="B245" s="11" t="str">
        <f>IF(Tabel!N248="","",IF(Tabel!Q248="","",Tabel!N248))</f>
        <v/>
      </c>
      <c r="C245" s="22" t="str">
        <f>IF(Tabel!O248="","",Tabel!S248)</f>
        <v/>
      </c>
      <c r="D245" s="11" t="str">
        <f>IF(Tabel!O248="","",IF(Tabel!S248="","",Tabel!O248))</f>
        <v/>
      </c>
      <c r="E245" s="22" t="str">
        <f>IF(Tabel!P248="","",Tabel!T248)</f>
        <v/>
      </c>
      <c r="F245" s="11" t="str">
        <f>IF(Tabel!P248="","",IF(Tabel!U248="","",Tabel!P248))</f>
        <v/>
      </c>
    </row>
    <row r="246" spans="1:6" x14ac:dyDescent="0.25">
      <c r="A246" s="22" t="str">
        <f>IF(Tabel!N249="","",Tabel!Q249)</f>
        <v/>
      </c>
      <c r="B246" s="11" t="str">
        <f>IF(Tabel!N249="","",IF(Tabel!Q249="","",Tabel!N249))</f>
        <v/>
      </c>
      <c r="C246" s="22" t="str">
        <f>IF(Tabel!O249="","",Tabel!S249)</f>
        <v/>
      </c>
      <c r="D246" s="11" t="str">
        <f>IF(Tabel!O249="","",IF(Tabel!S249="","",Tabel!O249))</f>
        <v/>
      </c>
      <c r="E246" s="22" t="str">
        <f>IF(Tabel!P249="","",Tabel!T249)</f>
        <v/>
      </c>
      <c r="F246" s="11" t="str">
        <f>IF(Tabel!P249="","",IF(Tabel!U249="","",Tabel!P249))</f>
        <v/>
      </c>
    </row>
    <row r="247" spans="1:6" x14ac:dyDescent="0.25">
      <c r="A247" s="22" t="str">
        <f>IF(Tabel!N250="","",Tabel!Q250)</f>
        <v/>
      </c>
      <c r="B247" s="11" t="str">
        <f>IF(Tabel!N250="","",IF(Tabel!Q250="","",Tabel!N250))</f>
        <v/>
      </c>
      <c r="C247" s="22" t="str">
        <f>IF(Tabel!O250="","",Tabel!S250)</f>
        <v/>
      </c>
      <c r="D247" s="11" t="str">
        <f>IF(Tabel!O250="","",IF(Tabel!S250="","",Tabel!O250))</f>
        <v/>
      </c>
      <c r="E247" s="22" t="str">
        <f>IF(Tabel!P250="","",Tabel!T250)</f>
        <v/>
      </c>
      <c r="F247" s="11" t="str">
        <f>IF(Tabel!P250="","",IF(Tabel!U250="","",Tabel!P250))</f>
        <v/>
      </c>
    </row>
    <row r="248" spans="1:6" x14ac:dyDescent="0.25">
      <c r="A248" s="22" t="str">
        <f>IF(Tabel!N251="","",Tabel!Q251)</f>
        <v/>
      </c>
      <c r="B248" s="11" t="str">
        <f>IF(Tabel!N251="","",IF(Tabel!Q251="","",Tabel!N251))</f>
        <v/>
      </c>
      <c r="C248" s="22" t="str">
        <f>IF(Tabel!O251="","",Tabel!S251)</f>
        <v/>
      </c>
      <c r="D248" s="11" t="str">
        <f>IF(Tabel!O251="","",IF(Tabel!S251="","",Tabel!O251))</f>
        <v/>
      </c>
      <c r="E248" s="22" t="str">
        <f>IF(Tabel!P251="","",Tabel!T251)</f>
        <v/>
      </c>
      <c r="F248" s="11" t="str">
        <f>IF(Tabel!P251="","",IF(Tabel!U251="","",Tabel!P251))</f>
        <v/>
      </c>
    </row>
    <row r="249" spans="1:6" x14ac:dyDescent="0.25">
      <c r="A249" s="22" t="str">
        <f>IF(Tabel!N252="","",Tabel!Q252)</f>
        <v/>
      </c>
      <c r="B249" s="11" t="str">
        <f>IF(Tabel!N252="","",IF(Tabel!Q252="","",Tabel!N252))</f>
        <v/>
      </c>
      <c r="C249" s="22" t="str">
        <f>IF(Tabel!O252="","",Tabel!S252)</f>
        <v/>
      </c>
      <c r="D249" s="11" t="str">
        <f>IF(Tabel!O252="","",IF(Tabel!S252="","",Tabel!O252))</f>
        <v/>
      </c>
      <c r="E249" s="22" t="str">
        <f>IF(Tabel!P252="","",Tabel!T252)</f>
        <v/>
      </c>
      <c r="F249" s="11" t="str">
        <f>IF(Tabel!P252="","",IF(Tabel!U252="","",Tabel!P252))</f>
        <v/>
      </c>
    </row>
    <row r="250" spans="1:6" x14ac:dyDescent="0.25">
      <c r="A250" s="22" t="str">
        <f>IF(Tabel!N253="","",Tabel!Q253)</f>
        <v/>
      </c>
      <c r="B250" s="11" t="str">
        <f>IF(Tabel!N253="","",IF(Tabel!Q253="","",Tabel!N253))</f>
        <v/>
      </c>
      <c r="C250" s="22" t="str">
        <f>IF(Tabel!O253="","",Tabel!S253)</f>
        <v/>
      </c>
      <c r="D250" s="11" t="str">
        <f>IF(Tabel!O253="","",IF(Tabel!S253="","",Tabel!O253))</f>
        <v/>
      </c>
      <c r="E250" s="22" t="str">
        <f>IF(Tabel!P253="","",Tabel!T253)</f>
        <v/>
      </c>
      <c r="F250" s="11" t="str">
        <f>IF(Tabel!P253="","",IF(Tabel!U253="","",Tabel!P253))</f>
        <v/>
      </c>
    </row>
    <row r="251" spans="1:6" x14ac:dyDescent="0.25">
      <c r="A251" s="22" t="str">
        <f>IF(Tabel!N254="","",Tabel!Q254)</f>
        <v/>
      </c>
      <c r="B251" s="11" t="str">
        <f>IF(Tabel!N254="","",IF(Tabel!Q254="","",Tabel!N254))</f>
        <v/>
      </c>
      <c r="C251" s="22" t="str">
        <f>IF(Tabel!O254="","",Tabel!S254)</f>
        <v/>
      </c>
      <c r="D251" s="11" t="str">
        <f>IF(Tabel!O254="","",IF(Tabel!S254="","",Tabel!O254))</f>
        <v/>
      </c>
      <c r="E251" s="22" t="str">
        <f>IF(Tabel!P254="","",Tabel!T254)</f>
        <v/>
      </c>
      <c r="F251" s="11" t="str">
        <f>IF(Tabel!P254="","",IF(Tabel!U254="","",Tabel!P254))</f>
        <v/>
      </c>
    </row>
    <row r="252" spans="1:6" x14ac:dyDescent="0.25">
      <c r="A252" s="22" t="str">
        <f>IF(Tabel!N255="","",Tabel!Q255)</f>
        <v/>
      </c>
      <c r="B252" s="11" t="str">
        <f>IF(Tabel!N255="","",IF(Tabel!Q255="","",Tabel!N255))</f>
        <v/>
      </c>
      <c r="C252" s="22" t="str">
        <f>IF(Tabel!O255="","",Tabel!S255)</f>
        <v/>
      </c>
      <c r="D252" s="11" t="str">
        <f>IF(Tabel!O255="","",IF(Tabel!S255="","",Tabel!O255))</f>
        <v/>
      </c>
      <c r="E252" s="22" t="str">
        <f>IF(Tabel!P255="","",Tabel!T255)</f>
        <v/>
      </c>
      <c r="F252" s="11" t="str">
        <f>IF(Tabel!P255="","",IF(Tabel!U255="","",Tabel!P255))</f>
        <v/>
      </c>
    </row>
    <row r="253" spans="1:6" x14ac:dyDescent="0.25">
      <c r="A253" s="22" t="str">
        <f>IF(Tabel!N256="","",Tabel!Q256)</f>
        <v/>
      </c>
      <c r="B253" s="11" t="str">
        <f>IF(Tabel!N256="","",IF(Tabel!Q256="","",Tabel!N256))</f>
        <v/>
      </c>
      <c r="C253" s="22" t="str">
        <f>IF(Tabel!O256="","",Tabel!S256)</f>
        <v/>
      </c>
      <c r="D253" s="11" t="str">
        <f>IF(Tabel!O256="","",IF(Tabel!S256="","",Tabel!O256))</f>
        <v/>
      </c>
      <c r="E253" s="22" t="str">
        <f>IF(Tabel!P256="","",Tabel!T256)</f>
        <v/>
      </c>
      <c r="F253" s="11" t="str">
        <f>IF(Tabel!P256="","",IF(Tabel!U256="","",Tabel!P256))</f>
        <v/>
      </c>
    </row>
    <row r="254" spans="1:6" x14ac:dyDescent="0.25">
      <c r="A254" s="22" t="str">
        <f>IF(Tabel!N257="","",Tabel!Q257)</f>
        <v/>
      </c>
      <c r="B254" s="11" t="str">
        <f>IF(Tabel!N257="","",IF(Tabel!Q257="","",Tabel!N257))</f>
        <v/>
      </c>
      <c r="C254" s="22" t="str">
        <f>IF(Tabel!O257="","",Tabel!S257)</f>
        <v/>
      </c>
      <c r="D254" s="11" t="str">
        <f>IF(Tabel!O257="","",IF(Tabel!S257="","",Tabel!O257))</f>
        <v/>
      </c>
      <c r="E254" s="22" t="str">
        <f>IF(Tabel!P257="","",Tabel!T257)</f>
        <v/>
      </c>
      <c r="F254" s="11" t="str">
        <f>IF(Tabel!P257="","",IF(Tabel!U257="","",Tabel!P257))</f>
        <v/>
      </c>
    </row>
    <row r="255" spans="1:6" x14ac:dyDescent="0.25">
      <c r="A255" s="22" t="str">
        <f>IF(Tabel!N258="","",Tabel!Q258)</f>
        <v/>
      </c>
      <c r="B255" s="11" t="str">
        <f>IF(Tabel!N258="","",IF(Tabel!Q258="","",Tabel!N258))</f>
        <v/>
      </c>
      <c r="C255" s="22" t="str">
        <f>IF(Tabel!O258="","",Tabel!S258)</f>
        <v/>
      </c>
      <c r="D255" s="11" t="str">
        <f>IF(Tabel!O258="","",IF(Tabel!S258="","",Tabel!O258))</f>
        <v/>
      </c>
      <c r="E255" s="22" t="str">
        <f>IF(Tabel!P258="","",Tabel!T258)</f>
        <v/>
      </c>
      <c r="F255" s="11" t="str">
        <f>IF(Tabel!P258="","",IF(Tabel!U258="","",Tabel!P258))</f>
        <v/>
      </c>
    </row>
    <row r="256" spans="1:6" x14ac:dyDescent="0.25">
      <c r="A256" s="22" t="str">
        <f>IF(Tabel!N259="","",Tabel!Q259)</f>
        <v/>
      </c>
      <c r="B256" s="11" t="str">
        <f>IF(Tabel!N259="","",IF(Tabel!Q259="","",Tabel!N259))</f>
        <v/>
      </c>
      <c r="C256" s="22" t="str">
        <f>IF(Tabel!O259="","",Tabel!S259)</f>
        <v/>
      </c>
      <c r="D256" s="11" t="str">
        <f>IF(Tabel!O259="","",IF(Tabel!S259="","",Tabel!O259))</f>
        <v/>
      </c>
      <c r="E256" s="22" t="str">
        <f>IF(Tabel!P259="","",Tabel!T259)</f>
        <v/>
      </c>
      <c r="F256" s="11" t="str">
        <f>IF(Tabel!P259="","",IF(Tabel!U259="","",Tabel!P259))</f>
        <v/>
      </c>
    </row>
    <row r="257" spans="1:6" x14ac:dyDescent="0.25">
      <c r="A257" s="22" t="str">
        <f>IF(Tabel!N260="","",Tabel!Q260)</f>
        <v/>
      </c>
      <c r="B257" s="11" t="str">
        <f>IF(Tabel!N260="","",IF(Tabel!Q260="","",Tabel!N260))</f>
        <v/>
      </c>
      <c r="C257" s="22" t="str">
        <f>IF(Tabel!O260="","",Tabel!S260)</f>
        <v/>
      </c>
      <c r="D257" s="11" t="str">
        <f>IF(Tabel!O260="","",IF(Tabel!S260="","",Tabel!O260))</f>
        <v/>
      </c>
      <c r="E257" s="22" t="str">
        <f>IF(Tabel!P260="","",Tabel!T260)</f>
        <v/>
      </c>
      <c r="F257" s="11" t="str">
        <f>IF(Tabel!P260="","",IF(Tabel!U260="","",Tabel!P260))</f>
        <v/>
      </c>
    </row>
    <row r="258" spans="1:6" x14ac:dyDescent="0.25">
      <c r="A258" s="22" t="str">
        <f>IF(Tabel!N261="","",Tabel!Q261)</f>
        <v/>
      </c>
      <c r="B258" s="11" t="str">
        <f>IF(Tabel!N261="","",IF(Tabel!Q261="","",Tabel!N261))</f>
        <v/>
      </c>
      <c r="C258" s="22" t="str">
        <f>IF(Tabel!O261="","",Tabel!S261)</f>
        <v/>
      </c>
      <c r="D258" s="11" t="str">
        <f>IF(Tabel!O261="","",IF(Tabel!S261="","",Tabel!O261))</f>
        <v/>
      </c>
      <c r="E258" s="22" t="str">
        <f>IF(Tabel!P261="","",Tabel!T261)</f>
        <v/>
      </c>
      <c r="F258" s="11" t="str">
        <f>IF(Tabel!P261="","",IF(Tabel!U261="","",Tabel!P261))</f>
        <v/>
      </c>
    </row>
    <row r="259" spans="1:6" x14ac:dyDescent="0.25">
      <c r="A259" s="22" t="str">
        <f>IF(Tabel!N262="","",Tabel!Q262)</f>
        <v/>
      </c>
      <c r="B259" s="11" t="str">
        <f>IF(Tabel!N262="","",IF(Tabel!Q262="","",Tabel!N262))</f>
        <v/>
      </c>
      <c r="C259" s="22" t="str">
        <f>IF(Tabel!O262="","",Tabel!S262)</f>
        <v/>
      </c>
      <c r="D259" s="11" t="str">
        <f>IF(Tabel!O262="","",IF(Tabel!S262="","",Tabel!O262))</f>
        <v/>
      </c>
      <c r="E259" s="22" t="str">
        <f>IF(Tabel!P262="","",Tabel!T262)</f>
        <v/>
      </c>
      <c r="F259" s="11" t="str">
        <f>IF(Tabel!P262="","",IF(Tabel!U262="","",Tabel!P262))</f>
        <v/>
      </c>
    </row>
    <row r="260" spans="1:6" x14ac:dyDescent="0.25">
      <c r="A260" s="22" t="str">
        <f>IF(Tabel!N263="","",Tabel!Q263)</f>
        <v/>
      </c>
      <c r="B260" s="11" t="str">
        <f>IF(Tabel!N263="","",IF(Tabel!Q263="","",Tabel!N263))</f>
        <v/>
      </c>
      <c r="C260" s="22" t="str">
        <f>IF(Tabel!O263="","",Tabel!S263)</f>
        <v/>
      </c>
      <c r="D260" s="11" t="str">
        <f>IF(Tabel!O263="","",IF(Tabel!S263="","",Tabel!O263))</f>
        <v/>
      </c>
      <c r="E260" s="22" t="str">
        <f>IF(Tabel!P263="","",Tabel!T263)</f>
        <v/>
      </c>
      <c r="F260" s="11" t="str">
        <f>IF(Tabel!P263="","",IF(Tabel!U263="","",Tabel!P263))</f>
        <v/>
      </c>
    </row>
    <row r="261" spans="1:6" x14ac:dyDescent="0.25">
      <c r="A261" s="22" t="str">
        <f>IF(Tabel!N264="","",Tabel!Q264)</f>
        <v/>
      </c>
      <c r="B261" s="11" t="str">
        <f>IF(Tabel!N264="","",IF(Tabel!Q264="","",Tabel!N264))</f>
        <v/>
      </c>
      <c r="C261" s="22" t="str">
        <f>IF(Tabel!O264="","",Tabel!S264)</f>
        <v/>
      </c>
      <c r="D261" s="11" t="str">
        <f>IF(Tabel!O264="","",IF(Tabel!S264="","",Tabel!O264))</f>
        <v/>
      </c>
      <c r="E261" s="22" t="str">
        <f>IF(Tabel!P264="","",Tabel!T264)</f>
        <v/>
      </c>
      <c r="F261" s="11" t="str">
        <f>IF(Tabel!P264="","",IF(Tabel!U264="","",Tabel!P264))</f>
        <v/>
      </c>
    </row>
    <row r="262" spans="1:6" x14ac:dyDescent="0.25">
      <c r="A262" s="22" t="str">
        <f>IF(Tabel!N265="","",Tabel!Q265)</f>
        <v/>
      </c>
      <c r="B262" s="11" t="str">
        <f>IF(Tabel!N265="","",IF(Tabel!Q265="","",Tabel!N265))</f>
        <v/>
      </c>
      <c r="C262" s="22" t="str">
        <f>IF(Tabel!O265="","",Tabel!S265)</f>
        <v/>
      </c>
      <c r="D262" s="11" t="str">
        <f>IF(Tabel!O265="","",IF(Tabel!S265="","",Tabel!O265))</f>
        <v/>
      </c>
      <c r="E262" s="22" t="str">
        <f>IF(Tabel!P265="","",Tabel!T265)</f>
        <v/>
      </c>
      <c r="F262" s="11" t="str">
        <f>IF(Tabel!P265="","",IF(Tabel!U265="","",Tabel!P265))</f>
        <v/>
      </c>
    </row>
    <row r="263" spans="1:6" x14ac:dyDescent="0.25">
      <c r="A263" s="22" t="str">
        <f>IF(Tabel!N266="","",Tabel!Q266)</f>
        <v/>
      </c>
      <c r="B263" s="11" t="str">
        <f>IF(Tabel!N266="","",IF(Tabel!Q266="","",Tabel!N266))</f>
        <v/>
      </c>
      <c r="C263" s="22" t="str">
        <f>IF(Tabel!O266="","",Tabel!S266)</f>
        <v/>
      </c>
      <c r="D263" s="11" t="str">
        <f>IF(Tabel!O266="","",IF(Tabel!S266="","",Tabel!O266))</f>
        <v/>
      </c>
      <c r="E263" s="22" t="str">
        <f>IF(Tabel!P266="","",Tabel!T266)</f>
        <v/>
      </c>
      <c r="F263" s="11" t="str">
        <f>IF(Tabel!P266="","",IF(Tabel!U266="","",Tabel!P266))</f>
        <v/>
      </c>
    </row>
    <row r="264" spans="1:6" x14ac:dyDescent="0.25">
      <c r="A264" s="22" t="str">
        <f>IF(Tabel!N267="","",Tabel!Q267)</f>
        <v/>
      </c>
      <c r="B264" s="11" t="str">
        <f>IF(Tabel!N267="","",IF(Tabel!Q267="","",Tabel!N267))</f>
        <v/>
      </c>
      <c r="C264" s="22" t="str">
        <f>IF(Tabel!O267="","",Tabel!S267)</f>
        <v/>
      </c>
      <c r="D264" s="11" t="str">
        <f>IF(Tabel!O267="","",IF(Tabel!S267="","",Tabel!O267))</f>
        <v/>
      </c>
      <c r="E264" s="22" t="str">
        <f>IF(Tabel!P267="","",Tabel!T267)</f>
        <v/>
      </c>
      <c r="F264" s="11" t="str">
        <f>IF(Tabel!P267="","",IF(Tabel!U267="","",Tabel!P267))</f>
        <v/>
      </c>
    </row>
    <row r="265" spans="1:6" x14ac:dyDescent="0.25">
      <c r="A265" s="22" t="str">
        <f>IF(Tabel!N268="","",Tabel!Q268)</f>
        <v/>
      </c>
      <c r="B265" s="11" t="str">
        <f>IF(Tabel!N268="","",IF(Tabel!Q268="","",Tabel!N268))</f>
        <v/>
      </c>
      <c r="C265" s="22" t="str">
        <f>IF(Tabel!O268="","",Tabel!S268)</f>
        <v/>
      </c>
      <c r="D265" s="11" t="str">
        <f>IF(Tabel!O268="","",IF(Tabel!S268="","",Tabel!O268))</f>
        <v/>
      </c>
      <c r="E265" s="22" t="str">
        <f>IF(Tabel!P268="","",Tabel!T268)</f>
        <v/>
      </c>
      <c r="F265" s="11" t="str">
        <f>IF(Tabel!P268="","",IF(Tabel!U268="","",Tabel!P268))</f>
        <v/>
      </c>
    </row>
    <row r="266" spans="1:6" x14ac:dyDescent="0.25">
      <c r="A266" s="22" t="str">
        <f>IF(Tabel!N269="","",Tabel!Q269)</f>
        <v/>
      </c>
      <c r="B266" s="11" t="str">
        <f>IF(Tabel!N269="","",IF(Tabel!Q269="","",Tabel!N269))</f>
        <v/>
      </c>
      <c r="C266" s="22" t="str">
        <f>IF(Tabel!O269="","",Tabel!S269)</f>
        <v/>
      </c>
      <c r="D266" s="11" t="str">
        <f>IF(Tabel!O269="","",IF(Tabel!S269="","",Tabel!O269))</f>
        <v/>
      </c>
      <c r="E266" s="22" t="str">
        <f>IF(Tabel!P269="","",Tabel!T269)</f>
        <v/>
      </c>
      <c r="F266" s="11" t="str">
        <f>IF(Tabel!P269="","",IF(Tabel!U269="","",Tabel!P269))</f>
        <v/>
      </c>
    </row>
    <row r="267" spans="1:6" x14ac:dyDescent="0.25">
      <c r="A267" s="22" t="str">
        <f>IF(Tabel!N270="","",Tabel!Q270)</f>
        <v/>
      </c>
      <c r="B267" s="11" t="str">
        <f>IF(Tabel!N270="","",IF(Tabel!Q270="","",Tabel!N270))</f>
        <v/>
      </c>
      <c r="C267" s="22" t="str">
        <f>IF(Tabel!O270="","",Tabel!S270)</f>
        <v/>
      </c>
      <c r="D267" s="11" t="str">
        <f>IF(Tabel!O270="","",IF(Tabel!S270="","",Tabel!O270))</f>
        <v/>
      </c>
      <c r="E267" s="22" t="str">
        <f>IF(Tabel!P270="","",Tabel!T270)</f>
        <v/>
      </c>
      <c r="F267" s="11" t="str">
        <f>IF(Tabel!P270="","",IF(Tabel!U270="","",Tabel!P270))</f>
        <v/>
      </c>
    </row>
    <row r="268" spans="1:6" x14ac:dyDescent="0.25">
      <c r="A268" s="22" t="str">
        <f>IF(Tabel!N271="","",Tabel!Q271)</f>
        <v/>
      </c>
      <c r="B268" s="11" t="str">
        <f>IF(Tabel!N271="","",IF(Tabel!Q271="","",Tabel!N271))</f>
        <v/>
      </c>
      <c r="C268" s="22" t="str">
        <f>IF(Tabel!O271="","",Tabel!S271)</f>
        <v/>
      </c>
      <c r="D268" s="11" t="str">
        <f>IF(Tabel!O271="","",IF(Tabel!S271="","",Tabel!O271))</f>
        <v/>
      </c>
      <c r="E268" s="22" t="str">
        <f>IF(Tabel!P271="","",Tabel!T271)</f>
        <v/>
      </c>
      <c r="F268" s="11" t="str">
        <f>IF(Tabel!P271="","",IF(Tabel!U271="","",Tabel!P271))</f>
        <v/>
      </c>
    </row>
    <row r="269" spans="1:6" x14ac:dyDescent="0.25">
      <c r="A269" s="22" t="str">
        <f>IF(Tabel!N272="","",Tabel!Q272)</f>
        <v/>
      </c>
      <c r="B269" s="11" t="str">
        <f>IF(Tabel!N272="","",IF(Tabel!Q272="","",Tabel!N272))</f>
        <v/>
      </c>
      <c r="C269" s="22" t="str">
        <f>IF(Tabel!O272="","",Tabel!S272)</f>
        <v/>
      </c>
      <c r="D269" s="11" t="str">
        <f>IF(Tabel!O272="","",IF(Tabel!S272="","",Tabel!O272))</f>
        <v/>
      </c>
      <c r="E269" s="22" t="str">
        <f>IF(Tabel!P272="","",Tabel!T272)</f>
        <v/>
      </c>
      <c r="F269" s="11" t="str">
        <f>IF(Tabel!P272="","",IF(Tabel!U272="","",Tabel!P272))</f>
        <v/>
      </c>
    </row>
    <row r="270" spans="1:6" x14ac:dyDescent="0.25">
      <c r="A270" s="22" t="str">
        <f>IF(Tabel!N273="","",Tabel!Q273)</f>
        <v/>
      </c>
      <c r="B270" s="11" t="str">
        <f>IF(Tabel!N273="","",IF(Tabel!Q273="","",Tabel!N273))</f>
        <v/>
      </c>
      <c r="C270" s="22" t="str">
        <f>IF(Tabel!O273="","",Tabel!S273)</f>
        <v/>
      </c>
      <c r="D270" s="11" t="str">
        <f>IF(Tabel!O273="","",IF(Tabel!S273="","",Tabel!O273))</f>
        <v/>
      </c>
      <c r="E270" s="22" t="str">
        <f>IF(Tabel!P273="","",Tabel!T273)</f>
        <v/>
      </c>
      <c r="F270" s="11" t="str">
        <f>IF(Tabel!P273="","",IF(Tabel!U273="","",Tabel!P273))</f>
        <v/>
      </c>
    </row>
    <row r="271" spans="1:6" x14ac:dyDescent="0.25">
      <c r="A271" s="22" t="str">
        <f>IF(Tabel!N274="","",Tabel!Q274)</f>
        <v/>
      </c>
      <c r="B271" s="11" t="str">
        <f>IF(Tabel!N274="","",IF(Tabel!Q274="","",Tabel!N274))</f>
        <v/>
      </c>
      <c r="C271" s="22" t="str">
        <f>IF(Tabel!O274="","",Tabel!S274)</f>
        <v/>
      </c>
      <c r="D271" s="11" t="str">
        <f>IF(Tabel!O274="","",IF(Tabel!S274="","",Tabel!O274))</f>
        <v/>
      </c>
      <c r="E271" s="22" t="str">
        <f>IF(Tabel!P274="","",Tabel!T274)</f>
        <v/>
      </c>
      <c r="F271" s="11" t="str">
        <f>IF(Tabel!P274="","",IF(Tabel!U274="","",Tabel!P274))</f>
        <v/>
      </c>
    </row>
    <row r="272" spans="1:6" x14ac:dyDescent="0.25">
      <c r="A272" s="22" t="str">
        <f>IF(Tabel!N275="","",Tabel!Q275)</f>
        <v/>
      </c>
      <c r="B272" s="11" t="str">
        <f>IF(Tabel!N275="","",IF(Tabel!Q275="","",Tabel!N275))</f>
        <v/>
      </c>
      <c r="C272" s="22" t="str">
        <f>IF(Tabel!O275="","",Tabel!S275)</f>
        <v/>
      </c>
      <c r="D272" s="11" t="str">
        <f>IF(Tabel!O275="","",IF(Tabel!S275="","",Tabel!O275))</f>
        <v/>
      </c>
      <c r="E272" s="22" t="str">
        <f>IF(Tabel!P275="","",Tabel!T275)</f>
        <v/>
      </c>
      <c r="F272" s="11" t="str">
        <f>IF(Tabel!P275="","",IF(Tabel!U275="","",Tabel!P275))</f>
        <v/>
      </c>
    </row>
    <row r="273" spans="1:6" x14ac:dyDescent="0.25">
      <c r="A273" s="22" t="str">
        <f>IF(Tabel!N276="","",Tabel!Q276)</f>
        <v/>
      </c>
      <c r="B273" s="11" t="str">
        <f>IF(Tabel!N276="","",IF(Tabel!Q276="","",Tabel!N276))</f>
        <v/>
      </c>
      <c r="C273" s="22" t="str">
        <f>IF(Tabel!O276="","",Tabel!S276)</f>
        <v/>
      </c>
      <c r="D273" s="11" t="str">
        <f>IF(Tabel!O276="","",IF(Tabel!S276="","",Tabel!O276))</f>
        <v/>
      </c>
      <c r="E273" s="22" t="str">
        <f>IF(Tabel!P276="","",Tabel!T276)</f>
        <v/>
      </c>
      <c r="F273" s="11" t="str">
        <f>IF(Tabel!P276="","",IF(Tabel!U276="","",Tabel!P276))</f>
        <v/>
      </c>
    </row>
    <row r="274" spans="1:6" x14ac:dyDescent="0.25">
      <c r="A274" s="22" t="str">
        <f>IF(Tabel!N277="","",Tabel!Q277)</f>
        <v/>
      </c>
      <c r="B274" s="11" t="str">
        <f>IF(Tabel!N277="","",IF(Tabel!Q277="","",Tabel!N277))</f>
        <v/>
      </c>
      <c r="C274" s="22" t="str">
        <f>IF(Tabel!O277="","",Tabel!S277)</f>
        <v/>
      </c>
      <c r="D274" s="11" t="str">
        <f>IF(Tabel!O277="","",IF(Tabel!S277="","",Tabel!O277))</f>
        <v/>
      </c>
      <c r="E274" s="22" t="str">
        <f>IF(Tabel!P277="","",Tabel!T277)</f>
        <v/>
      </c>
      <c r="F274" s="11" t="str">
        <f>IF(Tabel!P277="","",IF(Tabel!U277="","",Tabel!P277))</f>
        <v/>
      </c>
    </row>
    <row r="275" spans="1:6" x14ac:dyDescent="0.25">
      <c r="A275" s="22" t="str">
        <f>IF(Tabel!N278="","",Tabel!Q278)</f>
        <v/>
      </c>
      <c r="B275" s="11" t="str">
        <f>IF(Tabel!N278="","",IF(Tabel!Q278="","",Tabel!N278))</f>
        <v/>
      </c>
      <c r="C275" s="22" t="str">
        <f>IF(Tabel!O278="","",Tabel!S278)</f>
        <v/>
      </c>
      <c r="D275" s="11" t="str">
        <f>IF(Tabel!O278="","",IF(Tabel!S278="","",Tabel!O278))</f>
        <v/>
      </c>
      <c r="E275" s="22" t="str">
        <f>IF(Tabel!P278="","",Tabel!T278)</f>
        <v/>
      </c>
      <c r="F275" s="11" t="str">
        <f>IF(Tabel!P278="","",IF(Tabel!U278="","",Tabel!P278))</f>
        <v/>
      </c>
    </row>
    <row r="276" spans="1:6" x14ac:dyDescent="0.25">
      <c r="A276" s="22" t="str">
        <f>IF(Tabel!N279="","",Tabel!Q279)</f>
        <v/>
      </c>
      <c r="B276" s="11" t="str">
        <f>IF(Tabel!N279="","",IF(Tabel!Q279="","",Tabel!N279))</f>
        <v/>
      </c>
      <c r="C276" s="22" t="str">
        <f>IF(Tabel!O279="","",Tabel!S279)</f>
        <v/>
      </c>
      <c r="D276" s="11" t="str">
        <f>IF(Tabel!O279="","",IF(Tabel!S279="","",Tabel!O279))</f>
        <v/>
      </c>
      <c r="E276" s="22" t="str">
        <f>IF(Tabel!P279="","",Tabel!T279)</f>
        <v/>
      </c>
      <c r="F276" s="11" t="str">
        <f>IF(Tabel!P279="","",IF(Tabel!U279="","",Tabel!P279))</f>
        <v/>
      </c>
    </row>
    <row r="277" spans="1:6" x14ac:dyDescent="0.25">
      <c r="A277" s="22" t="str">
        <f>IF(Tabel!N280="","",Tabel!Q280)</f>
        <v/>
      </c>
      <c r="B277" s="11" t="str">
        <f>IF(Tabel!N280="","",IF(Tabel!Q280="","",Tabel!N280))</f>
        <v/>
      </c>
      <c r="C277" s="22" t="str">
        <f>IF(Tabel!O280="","",Tabel!S280)</f>
        <v/>
      </c>
      <c r="D277" s="11" t="str">
        <f>IF(Tabel!O280="","",IF(Tabel!S280="","",Tabel!O280))</f>
        <v/>
      </c>
      <c r="E277" s="22" t="str">
        <f>IF(Tabel!P280="","",Tabel!T280)</f>
        <v/>
      </c>
      <c r="F277" s="11" t="str">
        <f>IF(Tabel!P280="","",IF(Tabel!U280="","",Tabel!P280))</f>
        <v/>
      </c>
    </row>
    <row r="278" spans="1:6" x14ac:dyDescent="0.25">
      <c r="A278" s="22" t="str">
        <f>IF(Tabel!N281="","",Tabel!Q281)</f>
        <v/>
      </c>
      <c r="B278" s="11" t="str">
        <f>IF(Tabel!N281="","",IF(Tabel!Q281="","",Tabel!N281))</f>
        <v/>
      </c>
      <c r="C278" s="22" t="str">
        <f>IF(Tabel!O281="","",Tabel!S281)</f>
        <v/>
      </c>
      <c r="D278" s="11" t="str">
        <f>IF(Tabel!O281="","",IF(Tabel!S281="","",Tabel!O281))</f>
        <v/>
      </c>
      <c r="E278" s="22" t="str">
        <f>IF(Tabel!P281="","",Tabel!T281)</f>
        <v/>
      </c>
      <c r="F278" s="11" t="str">
        <f>IF(Tabel!P281="","",IF(Tabel!U281="","",Tabel!P281))</f>
        <v/>
      </c>
    </row>
    <row r="279" spans="1:6" x14ac:dyDescent="0.25">
      <c r="A279" s="22" t="str">
        <f>IF(Tabel!N282="","",Tabel!Q282)</f>
        <v/>
      </c>
      <c r="B279" s="11" t="str">
        <f>IF(Tabel!N282="","",IF(Tabel!Q282="","",Tabel!N282))</f>
        <v/>
      </c>
      <c r="C279" s="22" t="str">
        <f>IF(Tabel!O282="","",Tabel!S282)</f>
        <v/>
      </c>
      <c r="D279" s="11" t="str">
        <f>IF(Tabel!O282="","",IF(Tabel!S282="","",Tabel!O282))</f>
        <v/>
      </c>
      <c r="E279" s="22" t="str">
        <f>IF(Tabel!P282="","",Tabel!T282)</f>
        <v/>
      </c>
      <c r="F279" s="11" t="str">
        <f>IF(Tabel!P282="","",IF(Tabel!U282="","",Tabel!P282))</f>
        <v/>
      </c>
    </row>
    <row r="280" spans="1:6" x14ac:dyDescent="0.25">
      <c r="A280" s="22" t="str">
        <f>IF(Tabel!N283="","",Tabel!Q283)</f>
        <v/>
      </c>
      <c r="B280" s="11" t="str">
        <f>IF(Tabel!N283="","",IF(Tabel!Q283="","",Tabel!N283))</f>
        <v/>
      </c>
      <c r="C280" s="22" t="str">
        <f>IF(Tabel!O283="","",Tabel!S283)</f>
        <v/>
      </c>
      <c r="D280" s="11" t="str">
        <f>IF(Tabel!O283="","",IF(Tabel!S283="","",Tabel!O283))</f>
        <v/>
      </c>
      <c r="E280" s="22" t="str">
        <f>IF(Tabel!P283="","",Tabel!T283)</f>
        <v/>
      </c>
      <c r="F280" s="11" t="str">
        <f>IF(Tabel!P283="","",IF(Tabel!U283="","",Tabel!P283))</f>
        <v/>
      </c>
    </row>
    <row r="281" spans="1:6" x14ac:dyDescent="0.25">
      <c r="A281" s="22" t="str">
        <f>IF(Tabel!N284="","",Tabel!Q284)</f>
        <v/>
      </c>
      <c r="B281" s="11" t="str">
        <f>IF(Tabel!N284="","",IF(Tabel!Q284="","",Tabel!N284))</f>
        <v/>
      </c>
      <c r="C281" s="22" t="str">
        <f>IF(Tabel!O284="","",Tabel!S284)</f>
        <v/>
      </c>
      <c r="D281" s="11" t="str">
        <f>IF(Tabel!O284="","",IF(Tabel!S284="","",Tabel!O284))</f>
        <v/>
      </c>
      <c r="E281" s="22" t="str">
        <f>IF(Tabel!P284="","",Tabel!T284)</f>
        <v/>
      </c>
      <c r="F281" s="11" t="str">
        <f>IF(Tabel!P284="","",IF(Tabel!U284="","",Tabel!P284))</f>
        <v/>
      </c>
    </row>
    <row r="282" spans="1:6" x14ac:dyDescent="0.25">
      <c r="A282" s="22" t="str">
        <f>IF(Tabel!N285="","",Tabel!Q285)</f>
        <v/>
      </c>
      <c r="B282" s="11" t="str">
        <f>IF(Tabel!N285="","",IF(Tabel!Q285="","",Tabel!N285))</f>
        <v/>
      </c>
      <c r="C282" s="22" t="str">
        <f>IF(Tabel!O285="","",Tabel!S285)</f>
        <v/>
      </c>
      <c r="D282" s="11" t="str">
        <f>IF(Tabel!O285="","",IF(Tabel!S285="","",Tabel!O285))</f>
        <v/>
      </c>
      <c r="E282" s="22" t="str">
        <f>IF(Tabel!P285="","",Tabel!T285)</f>
        <v/>
      </c>
      <c r="F282" s="11" t="str">
        <f>IF(Tabel!P285="","",IF(Tabel!U285="","",Tabel!P285))</f>
        <v/>
      </c>
    </row>
    <row r="283" spans="1:6" x14ac:dyDescent="0.25">
      <c r="A283" s="22" t="str">
        <f>IF(Tabel!N286="","",Tabel!Q286)</f>
        <v/>
      </c>
      <c r="B283" s="11" t="str">
        <f>IF(Tabel!N286="","",IF(Tabel!Q286="","",Tabel!N286))</f>
        <v/>
      </c>
      <c r="C283" s="22" t="str">
        <f>IF(Tabel!O286="","",Tabel!S286)</f>
        <v/>
      </c>
      <c r="D283" s="11" t="str">
        <f>IF(Tabel!O286="","",IF(Tabel!S286="","",Tabel!O286))</f>
        <v/>
      </c>
      <c r="E283" s="22" t="str">
        <f>IF(Tabel!P286="","",Tabel!T286)</f>
        <v/>
      </c>
      <c r="F283" s="11" t="str">
        <f>IF(Tabel!P286="","",IF(Tabel!U286="","",Tabel!P286))</f>
        <v/>
      </c>
    </row>
    <row r="284" spans="1:6" x14ac:dyDescent="0.25">
      <c r="A284" s="22" t="str">
        <f>IF(Tabel!N287="","",Tabel!Q287)</f>
        <v/>
      </c>
      <c r="B284" s="11" t="str">
        <f>IF(Tabel!N287="","",IF(Tabel!Q287="","",Tabel!N287))</f>
        <v/>
      </c>
      <c r="C284" s="22" t="str">
        <f>IF(Tabel!O287="","",Tabel!S287)</f>
        <v/>
      </c>
      <c r="D284" s="11" t="str">
        <f>IF(Tabel!O287="","",IF(Tabel!S287="","",Tabel!O287))</f>
        <v/>
      </c>
      <c r="E284" s="22" t="str">
        <f>IF(Tabel!P287="","",Tabel!T287)</f>
        <v/>
      </c>
      <c r="F284" s="11" t="str">
        <f>IF(Tabel!P287="","",IF(Tabel!U287="","",Tabel!P287))</f>
        <v/>
      </c>
    </row>
    <row r="285" spans="1:6" x14ac:dyDescent="0.25">
      <c r="A285" s="22" t="str">
        <f>IF(Tabel!N288="","",Tabel!Q288)</f>
        <v/>
      </c>
      <c r="B285" s="11" t="str">
        <f>IF(Tabel!N288="","",IF(Tabel!Q288="","",Tabel!N288))</f>
        <v/>
      </c>
      <c r="C285" s="22" t="str">
        <f>IF(Tabel!O288="","",Tabel!S288)</f>
        <v/>
      </c>
      <c r="D285" s="11" t="str">
        <f>IF(Tabel!O288="","",IF(Tabel!S288="","",Tabel!O288))</f>
        <v/>
      </c>
      <c r="E285" s="22" t="str">
        <f>IF(Tabel!P288="","",Tabel!T288)</f>
        <v/>
      </c>
      <c r="F285" s="11" t="str">
        <f>IF(Tabel!P288="","",IF(Tabel!U288="","",Tabel!P288))</f>
        <v/>
      </c>
    </row>
    <row r="286" spans="1:6" x14ac:dyDescent="0.25">
      <c r="A286" s="22" t="str">
        <f>IF(Tabel!N289="","",Tabel!Q289)</f>
        <v/>
      </c>
      <c r="B286" s="11" t="str">
        <f>IF(Tabel!N289="","",IF(Tabel!Q289="","",Tabel!N289))</f>
        <v/>
      </c>
      <c r="C286" s="22" t="str">
        <f>IF(Tabel!O289="","",Tabel!S289)</f>
        <v/>
      </c>
      <c r="D286" s="11" t="str">
        <f>IF(Tabel!O289="","",IF(Tabel!S289="","",Tabel!O289))</f>
        <v/>
      </c>
      <c r="E286" s="22" t="str">
        <f>IF(Tabel!P289="","",Tabel!T289)</f>
        <v/>
      </c>
      <c r="F286" s="11" t="str">
        <f>IF(Tabel!P289="","",IF(Tabel!U289="","",Tabel!P289))</f>
        <v/>
      </c>
    </row>
    <row r="287" spans="1:6" x14ac:dyDescent="0.25">
      <c r="A287" s="22" t="str">
        <f>IF(Tabel!N290="","",Tabel!Q290)</f>
        <v/>
      </c>
      <c r="B287" s="11" t="str">
        <f>IF(Tabel!N290="","",IF(Tabel!Q290="","",Tabel!N290))</f>
        <v/>
      </c>
      <c r="C287" s="22" t="str">
        <f>IF(Tabel!O290="","",Tabel!S290)</f>
        <v/>
      </c>
      <c r="D287" s="11" t="str">
        <f>IF(Tabel!O290="","",IF(Tabel!S290="","",Tabel!O290))</f>
        <v/>
      </c>
      <c r="E287" s="22" t="str">
        <f>IF(Tabel!P290="","",Tabel!T290)</f>
        <v/>
      </c>
      <c r="F287" s="11" t="str">
        <f>IF(Tabel!P290="","",IF(Tabel!U290="","",Tabel!P290))</f>
        <v/>
      </c>
    </row>
    <row r="288" spans="1:6" x14ac:dyDescent="0.25">
      <c r="A288" s="22" t="str">
        <f>IF(Tabel!N291="","",Tabel!Q291)</f>
        <v/>
      </c>
      <c r="B288" s="11" t="str">
        <f>IF(Tabel!N291="","",IF(Tabel!Q291="","",Tabel!N291))</f>
        <v/>
      </c>
      <c r="C288" s="22" t="str">
        <f>IF(Tabel!O291="","",Tabel!S291)</f>
        <v/>
      </c>
      <c r="D288" s="11" t="str">
        <f>IF(Tabel!O291="","",IF(Tabel!S291="","",Tabel!O291))</f>
        <v/>
      </c>
      <c r="E288" s="22" t="str">
        <f>IF(Tabel!P291="","",Tabel!T291)</f>
        <v/>
      </c>
      <c r="F288" s="11" t="str">
        <f>IF(Tabel!P291="","",IF(Tabel!U291="","",Tabel!P291))</f>
        <v/>
      </c>
    </row>
    <row r="289" spans="1:6" x14ac:dyDescent="0.25">
      <c r="A289" s="22" t="str">
        <f>IF(Tabel!N292="","",Tabel!Q292)</f>
        <v/>
      </c>
      <c r="B289" s="11" t="str">
        <f>IF(Tabel!N292="","",IF(Tabel!Q292="","",Tabel!N292))</f>
        <v/>
      </c>
      <c r="C289" s="22" t="str">
        <f>IF(Tabel!O292="","",Tabel!S292)</f>
        <v/>
      </c>
      <c r="D289" s="11" t="str">
        <f>IF(Tabel!O292="","",IF(Tabel!S292="","",Tabel!O292))</f>
        <v/>
      </c>
      <c r="E289" s="22" t="str">
        <f>IF(Tabel!P292="","",Tabel!T292)</f>
        <v/>
      </c>
      <c r="F289" s="11" t="str">
        <f>IF(Tabel!P292="","",IF(Tabel!U292="","",Tabel!P292))</f>
        <v/>
      </c>
    </row>
    <row r="290" spans="1:6" x14ac:dyDescent="0.25">
      <c r="A290" s="22" t="str">
        <f>IF(Tabel!N293="","",Tabel!Q293)</f>
        <v/>
      </c>
      <c r="B290" s="11" t="str">
        <f>IF(Tabel!N293="","",IF(Tabel!Q293="","",Tabel!N293))</f>
        <v/>
      </c>
      <c r="C290" s="22" t="str">
        <f>IF(Tabel!O293="","",Tabel!S293)</f>
        <v/>
      </c>
      <c r="D290" s="11" t="str">
        <f>IF(Tabel!O293="","",IF(Tabel!S293="","",Tabel!O293))</f>
        <v/>
      </c>
      <c r="E290" s="22" t="str">
        <f>IF(Tabel!P293="","",Tabel!T293)</f>
        <v/>
      </c>
      <c r="F290" s="11" t="str">
        <f>IF(Tabel!P293="","",IF(Tabel!U293="","",Tabel!P293))</f>
        <v/>
      </c>
    </row>
    <row r="291" spans="1:6" x14ac:dyDescent="0.25">
      <c r="A291" s="22" t="str">
        <f>IF(Tabel!N294="","",Tabel!Q294)</f>
        <v/>
      </c>
      <c r="B291" s="11" t="str">
        <f>IF(Tabel!N294="","",IF(Tabel!Q294="","",Tabel!N294))</f>
        <v/>
      </c>
      <c r="C291" s="22" t="str">
        <f>IF(Tabel!O294="","",Tabel!S294)</f>
        <v/>
      </c>
      <c r="D291" s="11" t="str">
        <f>IF(Tabel!O294="","",IF(Tabel!S294="","",Tabel!O294))</f>
        <v/>
      </c>
      <c r="E291" s="22" t="str">
        <f>IF(Tabel!P294="","",Tabel!T294)</f>
        <v/>
      </c>
      <c r="F291" s="11" t="str">
        <f>IF(Tabel!P294="","",IF(Tabel!U294="","",Tabel!P294))</f>
        <v/>
      </c>
    </row>
    <row r="292" spans="1:6" x14ac:dyDescent="0.25">
      <c r="A292" s="22" t="str">
        <f>IF(Tabel!N295="","",Tabel!Q295)</f>
        <v/>
      </c>
      <c r="B292" s="11" t="str">
        <f>IF(Tabel!N295="","",IF(Tabel!Q295="","",Tabel!N295))</f>
        <v/>
      </c>
      <c r="C292" s="22" t="str">
        <f>IF(Tabel!O295="","",Tabel!S295)</f>
        <v/>
      </c>
      <c r="D292" s="11" t="str">
        <f>IF(Tabel!O295="","",IF(Tabel!S295="","",Tabel!O295))</f>
        <v/>
      </c>
      <c r="E292" s="22" t="str">
        <f>IF(Tabel!P295="","",Tabel!T295)</f>
        <v/>
      </c>
      <c r="F292" s="11" t="str">
        <f>IF(Tabel!P295="","",IF(Tabel!U295="","",Tabel!P295))</f>
        <v/>
      </c>
    </row>
    <row r="293" spans="1:6" x14ac:dyDescent="0.25">
      <c r="A293" s="22" t="str">
        <f>IF(Tabel!N296="","",Tabel!Q296)</f>
        <v/>
      </c>
      <c r="B293" s="11" t="str">
        <f>IF(Tabel!N296="","",IF(Tabel!Q296="","",Tabel!N296))</f>
        <v/>
      </c>
      <c r="C293" s="22" t="str">
        <f>IF(Tabel!O296="","",Tabel!S296)</f>
        <v/>
      </c>
      <c r="D293" s="11" t="str">
        <f>IF(Tabel!O296="","",IF(Tabel!S296="","",Tabel!O296))</f>
        <v/>
      </c>
      <c r="E293" s="22" t="str">
        <f>IF(Tabel!P296="","",Tabel!T296)</f>
        <v/>
      </c>
      <c r="F293" s="11" t="str">
        <f>IF(Tabel!P296="","",IF(Tabel!U296="","",Tabel!P296))</f>
        <v/>
      </c>
    </row>
    <row r="294" spans="1:6" x14ac:dyDescent="0.25">
      <c r="A294" s="22" t="str">
        <f>IF(Tabel!N297="","",Tabel!Q297)</f>
        <v/>
      </c>
      <c r="B294" s="11" t="str">
        <f>IF(Tabel!N297="","",IF(Tabel!Q297="","",Tabel!N297))</f>
        <v/>
      </c>
      <c r="C294" s="22" t="str">
        <f>IF(Tabel!O297="","",Tabel!S297)</f>
        <v/>
      </c>
      <c r="D294" s="11" t="str">
        <f>IF(Tabel!O297="","",IF(Tabel!S297="","",Tabel!O297))</f>
        <v/>
      </c>
      <c r="E294" s="22" t="str">
        <f>IF(Tabel!P297="","",Tabel!T297)</f>
        <v/>
      </c>
      <c r="F294" s="11" t="str">
        <f>IF(Tabel!P297="","",IF(Tabel!U297="","",Tabel!P297))</f>
        <v/>
      </c>
    </row>
    <row r="295" spans="1:6" x14ac:dyDescent="0.25">
      <c r="A295" s="22" t="str">
        <f>IF(Tabel!N298="","",Tabel!Q298)</f>
        <v/>
      </c>
      <c r="B295" s="11" t="str">
        <f>IF(Tabel!N298="","",IF(Tabel!Q298="","",Tabel!N298))</f>
        <v/>
      </c>
      <c r="C295" s="22" t="str">
        <f>IF(Tabel!O298="","",Tabel!S298)</f>
        <v/>
      </c>
      <c r="D295" s="11" t="str">
        <f>IF(Tabel!O298="","",IF(Tabel!S298="","",Tabel!O298))</f>
        <v/>
      </c>
      <c r="E295" s="22" t="str">
        <f>IF(Tabel!P298="","",Tabel!T298)</f>
        <v/>
      </c>
      <c r="F295" s="11" t="str">
        <f>IF(Tabel!P298="","",IF(Tabel!U298="","",Tabel!P298))</f>
        <v/>
      </c>
    </row>
    <row r="296" spans="1:6" x14ac:dyDescent="0.25">
      <c r="A296" s="22" t="str">
        <f>IF(Tabel!N299="","",Tabel!Q299)</f>
        <v/>
      </c>
      <c r="B296" s="11" t="str">
        <f>IF(Tabel!N299="","",IF(Tabel!Q299="","",Tabel!N299))</f>
        <v/>
      </c>
      <c r="C296" s="22" t="str">
        <f>IF(Tabel!O299="","",Tabel!S299)</f>
        <v/>
      </c>
      <c r="D296" s="11" t="str">
        <f>IF(Tabel!O299="","",IF(Tabel!S299="","",Tabel!O299))</f>
        <v/>
      </c>
      <c r="E296" s="22" t="str">
        <f>IF(Tabel!P299="","",Tabel!T299)</f>
        <v/>
      </c>
      <c r="F296" s="11" t="str">
        <f>IF(Tabel!P299="","",IF(Tabel!U299="","",Tabel!P299))</f>
        <v/>
      </c>
    </row>
    <row r="297" spans="1:6" x14ac:dyDescent="0.25">
      <c r="A297" s="22" t="str">
        <f>IF(Tabel!N300="","",Tabel!Q300)</f>
        <v/>
      </c>
      <c r="B297" s="11" t="str">
        <f>IF(Tabel!N300="","",IF(Tabel!Q300="","",Tabel!N300))</f>
        <v/>
      </c>
      <c r="C297" s="22" t="str">
        <f>IF(Tabel!O300="","",Tabel!S300)</f>
        <v/>
      </c>
      <c r="D297" s="11" t="str">
        <f>IF(Tabel!O300="","",IF(Tabel!S300="","",Tabel!O300))</f>
        <v/>
      </c>
      <c r="E297" s="22" t="str">
        <f>IF(Tabel!P300="","",Tabel!T300)</f>
        <v/>
      </c>
      <c r="F297" s="11" t="str">
        <f>IF(Tabel!P300="","",IF(Tabel!U300="","",Tabel!P300))</f>
        <v/>
      </c>
    </row>
    <row r="298" spans="1:6" x14ac:dyDescent="0.25">
      <c r="A298" s="22" t="str">
        <f>IF(Tabel!N301="","",Tabel!Q301)</f>
        <v/>
      </c>
      <c r="B298" s="11" t="str">
        <f>IF(Tabel!N301="","",IF(Tabel!Q301="","",Tabel!N301))</f>
        <v/>
      </c>
      <c r="C298" s="22" t="str">
        <f>IF(Tabel!O301="","",Tabel!S301)</f>
        <v/>
      </c>
      <c r="D298" s="11" t="str">
        <f>IF(Tabel!O301="","",IF(Tabel!S301="","",Tabel!O301))</f>
        <v/>
      </c>
      <c r="E298" s="22" t="str">
        <f>IF(Tabel!P301="","",Tabel!T301)</f>
        <v/>
      </c>
      <c r="F298" s="11" t="str">
        <f>IF(Tabel!P301="","",IF(Tabel!U301="","",Tabel!P301))</f>
        <v/>
      </c>
    </row>
    <row r="299" spans="1:6" x14ac:dyDescent="0.25">
      <c r="A299" s="22" t="str">
        <f>IF(Tabel!N302="","",Tabel!Q302)</f>
        <v/>
      </c>
      <c r="B299" s="11" t="str">
        <f>IF(Tabel!N302="","",IF(Tabel!Q302="","",Tabel!N302))</f>
        <v/>
      </c>
      <c r="C299" s="22" t="str">
        <f>IF(Tabel!O302="","",Tabel!S302)</f>
        <v/>
      </c>
      <c r="D299" s="11" t="str">
        <f>IF(Tabel!O302="","",IF(Tabel!S302="","",Tabel!O302))</f>
        <v/>
      </c>
      <c r="E299" s="22" t="str">
        <f>IF(Tabel!P302="","",Tabel!T302)</f>
        <v/>
      </c>
      <c r="F299" s="11" t="str">
        <f>IF(Tabel!P302="","",IF(Tabel!U302="","",Tabel!P302))</f>
        <v/>
      </c>
    </row>
    <row r="300" spans="1:6" x14ac:dyDescent="0.25">
      <c r="A300" s="22" t="str">
        <f>IF(Tabel!N303="","",Tabel!Q303)</f>
        <v/>
      </c>
      <c r="B300" s="11" t="str">
        <f>IF(Tabel!N303="","",IF(Tabel!Q303="","",Tabel!N303))</f>
        <v/>
      </c>
      <c r="C300" s="22" t="str">
        <f>IF(Tabel!O303="","",Tabel!S303)</f>
        <v/>
      </c>
      <c r="D300" s="11" t="str">
        <f>IF(Tabel!O303="","",IF(Tabel!S303="","",Tabel!O303))</f>
        <v/>
      </c>
      <c r="E300" s="22" t="str">
        <f>IF(Tabel!P303="","",Tabel!T303)</f>
        <v/>
      </c>
      <c r="F300" s="11" t="str">
        <f>IF(Tabel!P303="","",IF(Tabel!U303="","",Tabel!P303))</f>
        <v/>
      </c>
    </row>
    <row r="301" spans="1:6" x14ac:dyDescent="0.25">
      <c r="A301" s="22" t="str">
        <f>IF(Tabel!N304="","",Tabel!Q304)</f>
        <v/>
      </c>
      <c r="B301" s="11" t="str">
        <f>IF(Tabel!N304="","",IF(Tabel!Q304="","",Tabel!N304))</f>
        <v/>
      </c>
      <c r="C301" s="22" t="str">
        <f>IF(Tabel!O304="","",Tabel!S304)</f>
        <v/>
      </c>
      <c r="D301" s="11" t="str">
        <f>IF(Tabel!O304="","",IF(Tabel!S304="","",Tabel!O304))</f>
        <v/>
      </c>
      <c r="E301" s="22" t="str">
        <f>IF(Tabel!P304="","",Tabel!T304)</f>
        <v/>
      </c>
      <c r="F301" s="11" t="str">
        <f>IF(Tabel!P304="","",IF(Tabel!U304="","",Tabel!P304))</f>
        <v/>
      </c>
    </row>
    <row r="302" spans="1:6" x14ac:dyDescent="0.25">
      <c r="A302" s="22" t="str">
        <f>IF(Tabel!N305="","",Tabel!Q305)</f>
        <v/>
      </c>
      <c r="B302" s="11" t="str">
        <f>IF(Tabel!N305="","",IF(Tabel!Q305="","",Tabel!N305))</f>
        <v/>
      </c>
      <c r="C302" s="22" t="str">
        <f>IF(Tabel!O305="","",Tabel!S305)</f>
        <v/>
      </c>
      <c r="D302" s="11" t="str">
        <f>IF(Tabel!O305="","",IF(Tabel!S305="","",Tabel!O305))</f>
        <v/>
      </c>
      <c r="E302" s="22" t="str">
        <f>IF(Tabel!P305="","",Tabel!T305)</f>
        <v/>
      </c>
      <c r="F302" s="11" t="str">
        <f>IF(Tabel!P305="","",IF(Tabel!U305="","",Tabel!P305))</f>
        <v/>
      </c>
    </row>
    <row r="303" spans="1:6" x14ac:dyDescent="0.25">
      <c r="A303" s="22" t="str">
        <f>IF(Tabel!N306="","",Tabel!Q306)</f>
        <v/>
      </c>
      <c r="B303" s="11" t="str">
        <f>IF(Tabel!N306="","",IF(Tabel!Q306="","",Tabel!N306))</f>
        <v/>
      </c>
      <c r="C303" s="22" t="str">
        <f>IF(Tabel!O306="","",Tabel!S306)</f>
        <v/>
      </c>
      <c r="D303" s="11" t="str">
        <f>IF(Tabel!O306="","",IF(Tabel!S306="","",Tabel!O306))</f>
        <v/>
      </c>
      <c r="E303" s="22" t="str">
        <f>IF(Tabel!P306="","",Tabel!T306)</f>
        <v/>
      </c>
      <c r="F303" s="11" t="str">
        <f>IF(Tabel!P306="","",IF(Tabel!U306="","",Tabel!P306))</f>
        <v/>
      </c>
    </row>
    <row r="304" spans="1:6" x14ac:dyDescent="0.25">
      <c r="A304" s="22" t="str">
        <f>IF(Tabel!N307="","",Tabel!Q307)</f>
        <v/>
      </c>
      <c r="B304" s="11" t="str">
        <f>IF(Tabel!N307="","",IF(Tabel!Q307="","",Tabel!N307))</f>
        <v/>
      </c>
      <c r="C304" s="22" t="str">
        <f>IF(Tabel!O307="","",Tabel!S307)</f>
        <v/>
      </c>
      <c r="D304" s="11" t="str">
        <f>IF(Tabel!O307="","",IF(Tabel!S307="","",Tabel!O307))</f>
        <v/>
      </c>
      <c r="E304" s="22" t="str">
        <f>IF(Tabel!P307="","",Tabel!T307)</f>
        <v/>
      </c>
      <c r="F304" s="11" t="str">
        <f>IF(Tabel!P307="","",IF(Tabel!U307="","",Tabel!P307))</f>
        <v/>
      </c>
    </row>
    <row r="305" spans="1:6" x14ac:dyDescent="0.25">
      <c r="A305" s="22" t="str">
        <f>IF(Tabel!N308="","",Tabel!Q308)</f>
        <v/>
      </c>
      <c r="B305" s="11" t="str">
        <f>IF(Tabel!N308="","",IF(Tabel!Q308="","",Tabel!N308))</f>
        <v/>
      </c>
      <c r="C305" s="22" t="str">
        <f>IF(Tabel!O308="","",Tabel!S308)</f>
        <v/>
      </c>
      <c r="D305" s="11" t="str">
        <f>IF(Tabel!O308="","",IF(Tabel!S308="","",Tabel!O308))</f>
        <v/>
      </c>
      <c r="E305" s="22" t="str">
        <f>IF(Tabel!P308="","",Tabel!T308)</f>
        <v/>
      </c>
      <c r="F305" s="11" t="str">
        <f>IF(Tabel!P308="","",IF(Tabel!U308="","",Tabel!P308))</f>
        <v/>
      </c>
    </row>
    <row r="306" spans="1:6" x14ac:dyDescent="0.25">
      <c r="A306" s="22" t="str">
        <f>IF(Tabel!N309="","",Tabel!Q309)</f>
        <v/>
      </c>
      <c r="B306" s="11" t="str">
        <f>IF(Tabel!N309="","",IF(Tabel!Q309="","",Tabel!N309))</f>
        <v/>
      </c>
      <c r="C306" s="22" t="str">
        <f>IF(Tabel!O309="","",Tabel!S309)</f>
        <v/>
      </c>
      <c r="D306" s="11" t="str">
        <f>IF(Tabel!O309="","",IF(Tabel!S309="","",Tabel!O309))</f>
        <v/>
      </c>
      <c r="E306" s="22" t="str">
        <f>IF(Tabel!P309="","",Tabel!T309)</f>
        <v/>
      </c>
      <c r="F306" s="11" t="str">
        <f>IF(Tabel!P309="","",IF(Tabel!U309="","",Tabel!P309))</f>
        <v/>
      </c>
    </row>
    <row r="307" spans="1:6" x14ac:dyDescent="0.25">
      <c r="A307" s="22" t="str">
        <f>IF(Tabel!N310="","",Tabel!Q310)</f>
        <v/>
      </c>
      <c r="B307" s="11" t="str">
        <f>IF(Tabel!N310="","",IF(Tabel!Q310="","",Tabel!N310))</f>
        <v/>
      </c>
      <c r="C307" s="22" t="str">
        <f>IF(Tabel!O310="","",Tabel!S310)</f>
        <v/>
      </c>
      <c r="D307" s="11" t="str">
        <f>IF(Tabel!O310="","",IF(Tabel!S310="","",Tabel!O310))</f>
        <v/>
      </c>
      <c r="E307" s="22" t="str">
        <f>IF(Tabel!P310="","",Tabel!T310)</f>
        <v/>
      </c>
      <c r="F307" s="11" t="str">
        <f>IF(Tabel!P310="","",IF(Tabel!U310="","",Tabel!P310))</f>
        <v/>
      </c>
    </row>
    <row r="308" spans="1:6" x14ac:dyDescent="0.25">
      <c r="A308" s="22" t="str">
        <f>IF(Tabel!N311="","",Tabel!Q311)</f>
        <v/>
      </c>
      <c r="B308" s="11" t="str">
        <f>IF(Tabel!N311="","",IF(Tabel!Q311="","",Tabel!N311))</f>
        <v/>
      </c>
      <c r="C308" s="22" t="str">
        <f>IF(Tabel!O311="","",Tabel!S311)</f>
        <v/>
      </c>
      <c r="D308" s="11" t="str">
        <f>IF(Tabel!O311="","",IF(Tabel!S311="","",Tabel!O311))</f>
        <v/>
      </c>
      <c r="E308" s="22" t="str">
        <f>IF(Tabel!P311="","",Tabel!T311)</f>
        <v/>
      </c>
      <c r="F308" s="11" t="str">
        <f>IF(Tabel!P311="","",IF(Tabel!U311="","",Tabel!P311))</f>
        <v/>
      </c>
    </row>
    <row r="309" spans="1:6" x14ac:dyDescent="0.25">
      <c r="A309" s="22" t="str">
        <f>IF(Tabel!N312="","",Tabel!Q312)</f>
        <v/>
      </c>
      <c r="B309" s="11" t="str">
        <f>IF(Tabel!N312="","",IF(Tabel!Q312="","",Tabel!N312))</f>
        <v/>
      </c>
      <c r="C309" s="22" t="str">
        <f>IF(Tabel!O312="","",Tabel!S312)</f>
        <v/>
      </c>
      <c r="D309" s="11" t="str">
        <f>IF(Tabel!O312="","",IF(Tabel!S312="","",Tabel!O312))</f>
        <v/>
      </c>
      <c r="E309" s="22" t="str">
        <f>IF(Tabel!P312="","",Tabel!T312)</f>
        <v/>
      </c>
      <c r="F309" s="11" t="str">
        <f>IF(Tabel!P312="","",IF(Tabel!U312="","",Tabel!P312))</f>
        <v/>
      </c>
    </row>
    <row r="310" spans="1:6" x14ac:dyDescent="0.25">
      <c r="A310" s="22" t="str">
        <f>IF(Tabel!N313="","",Tabel!Q313)</f>
        <v/>
      </c>
      <c r="B310" s="11" t="str">
        <f>IF(Tabel!N313="","",IF(Tabel!Q313="","",Tabel!N313))</f>
        <v/>
      </c>
      <c r="C310" s="22" t="str">
        <f>IF(Tabel!O313="","",Tabel!S313)</f>
        <v/>
      </c>
      <c r="D310" s="11" t="str">
        <f>IF(Tabel!O313="","",IF(Tabel!S313="","",Tabel!O313))</f>
        <v/>
      </c>
      <c r="E310" s="22" t="str">
        <f>IF(Tabel!P313="","",Tabel!T313)</f>
        <v/>
      </c>
      <c r="F310" s="11" t="str">
        <f>IF(Tabel!P313="","",IF(Tabel!U313="","",Tabel!P313))</f>
        <v/>
      </c>
    </row>
    <row r="311" spans="1:6" x14ac:dyDescent="0.25">
      <c r="A311" s="22" t="str">
        <f>IF(Tabel!N314="","",Tabel!Q314)</f>
        <v/>
      </c>
      <c r="B311" s="11" t="str">
        <f>IF(Tabel!N314="","",IF(Tabel!Q314="","",Tabel!N314))</f>
        <v/>
      </c>
      <c r="C311" s="22" t="str">
        <f>IF(Tabel!O314="","",Tabel!S314)</f>
        <v/>
      </c>
      <c r="D311" s="11" t="str">
        <f>IF(Tabel!O314="","",IF(Tabel!S314="","",Tabel!O314))</f>
        <v/>
      </c>
      <c r="E311" s="22" t="str">
        <f>IF(Tabel!P314="","",Tabel!T314)</f>
        <v/>
      </c>
      <c r="F311" s="11" t="str">
        <f>IF(Tabel!P314="","",IF(Tabel!U314="","",Tabel!P314))</f>
        <v/>
      </c>
    </row>
    <row r="312" spans="1:6" x14ac:dyDescent="0.25">
      <c r="A312" s="22" t="str">
        <f>IF(Tabel!N315="","",Tabel!Q315)</f>
        <v/>
      </c>
      <c r="B312" s="11" t="str">
        <f>IF(Tabel!N315="","",IF(Tabel!Q315="","",Tabel!N315))</f>
        <v/>
      </c>
      <c r="C312" s="22" t="str">
        <f>IF(Tabel!O315="","",Tabel!S315)</f>
        <v/>
      </c>
      <c r="D312" s="11" t="str">
        <f>IF(Tabel!O315="","",IF(Tabel!S315="","",Tabel!O315))</f>
        <v/>
      </c>
      <c r="E312" s="22" t="str">
        <f>IF(Tabel!P315="","",Tabel!T315)</f>
        <v/>
      </c>
      <c r="F312" s="11" t="str">
        <f>IF(Tabel!P315="","",IF(Tabel!U315="","",Tabel!P315))</f>
        <v/>
      </c>
    </row>
    <row r="313" spans="1:6" x14ac:dyDescent="0.25">
      <c r="A313" s="22" t="str">
        <f>IF(Tabel!N316="","",Tabel!Q316)</f>
        <v/>
      </c>
      <c r="B313" s="11" t="str">
        <f>IF(Tabel!N316="","",IF(Tabel!Q316="","",Tabel!N316))</f>
        <v/>
      </c>
      <c r="C313" s="22" t="str">
        <f>IF(Tabel!O316="","",Tabel!S316)</f>
        <v/>
      </c>
      <c r="D313" s="11" t="str">
        <f>IF(Tabel!O316="","",IF(Tabel!S316="","",Tabel!O316))</f>
        <v/>
      </c>
      <c r="E313" s="22" t="str">
        <f>IF(Tabel!P316="","",Tabel!T316)</f>
        <v/>
      </c>
      <c r="F313" s="11" t="str">
        <f>IF(Tabel!P316="","",IF(Tabel!U316="","",Tabel!P316))</f>
        <v/>
      </c>
    </row>
    <row r="314" spans="1:6" x14ac:dyDescent="0.25">
      <c r="A314" s="22" t="str">
        <f>IF(Tabel!N317="","",Tabel!Q317)</f>
        <v/>
      </c>
      <c r="B314" s="11" t="str">
        <f>IF(Tabel!N317="","",IF(Tabel!Q317="","",Tabel!N317))</f>
        <v/>
      </c>
      <c r="C314" s="22" t="str">
        <f>IF(Tabel!O317="","",Tabel!S317)</f>
        <v/>
      </c>
      <c r="D314" s="11" t="str">
        <f>IF(Tabel!O317="","",IF(Tabel!S317="","",Tabel!O317))</f>
        <v/>
      </c>
      <c r="E314" s="22" t="str">
        <f>IF(Tabel!P317="","",Tabel!T317)</f>
        <v/>
      </c>
      <c r="F314" s="11" t="str">
        <f>IF(Tabel!P317="","",IF(Tabel!U317="","",Tabel!P317))</f>
        <v/>
      </c>
    </row>
    <row r="315" spans="1:6" x14ac:dyDescent="0.25">
      <c r="A315" s="22" t="str">
        <f>IF(Tabel!N318="","",Tabel!Q318)</f>
        <v/>
      </c>
      <c r="B315" s="11" t="str">
        <f>IF(Tabel!N318="","",IF(Tabel!Q318="","",Tabel!N318))</f>
        <v/>
      </c>
      <c r="C315" s="22" t="str">
        <f>IF(Tabel!O318="","",Tabel!S318)</f>
        <v/>
      </c>
      <c r="D315" s="11" t="str">
        <f>IF(Tabel!O318="","",IF(Tabel!S318="","",Tabel!O318))</f>
        <v/>
      </c>
      <c r="E315" s="22" t="str">
        <f>IF(Tabel!P318="","",Tabel!T318)</f>
        <v/>
      </c>
      <c r="F315" s="11" t="str">
        <f>IF(Tabel!P318="","",IF(Tabel!U318="","",Tabel!P318))</f>
        <v/>
      </c>
    </row>
    <row r="316" spans="1:6" x14ac:dyDescent="0.25">
      <c r="A316" s="22" t="str">
        <f>IF(Tabel!N319="","",Tabel!Q319)</f>
        <v/>
      </c>
      <c r="B316" s="11" t="str">
        <f>IF(Tabel!N319="","",IF(Tabel!Q319="","",Tabel!N319))</f>
        <v/>
      </c>
      <c r="C316" s="22" t="str">
        <f>IF(Tabel!O319="","",Tabel!S319)</f>
        <v/>
      </c>
      <c r="D316" s="11" t="str">
        <f>IF(Tabel!O319="","",IF(Tabel!S319="","",Tabel!O319))</f>
        <v/>
      </c>
      <c r="E316" s="22" t="str">
        <f>IF(Tabel!P319="","",Tabel!T319)</f>
        <v/>
      </c>
      <c r="F316" s="11" t="str">
        <f>IF(Tabel!P319="","",IF(Tabel!U319="","",Tabel!P319))</f>
        <v/>
      </c>
    </row>
    <row r="317" spans="1:6" x14ac:dyDescent="0.25">
      <c r="A317" s="22" t="str">
        <f>IF(Tabel!N320="","",Tabel!Q320)</f>
        <v/>
      </c>
      <c r="B317" s="11" t="str">
        <f>IF(Tabel!N320="","",IF(Tabel!Q320="","",Tabel!N320))</f>
        <v/>
      </c>
      <c r="C317" s="22" t="str">
        <f>IF(Tabel!O320="","",Tabel!S320)</f>
        <v/>
      </c>
      <c r="D317" s="11" t="str">
        <f>IF(Tabel!O320="","",IF(Tabel!S320="","",Tabel!O320))</f>
        <v/>
      </c>
      <c r="E317" s="22" t="str">
        <f>IF(Tabel!P320="","",Tabel!T320)</f>
        <v/>
      </c>
      <c r="F317" s="11" t="str">
        <f>IF(Tabel!P320="","",IF(Tabel!U320="","",Tabel!P320))</f>
        <v/>
      </c>
    </row>
    <row r="318" spans="1:6" x14ac:dyDescent="0.25">
      <c r="A318" s="22" t="str">
        <f>IF(Tabel!N321="","",Tabel!Q321)</f>
        <v/>
      </c>
      <c r="B318" s="11" t="str">
        <f>IF(Tabel!N321="","",IF(Tabel!Q321="","",Tabel!N321))</f>
        <v/>
      </c>
      <c r="C318" s="22" t="str">
        <f>IF(Tabel!O321="","",Tabel!S321)</f>
        <v/>
      </c>
      <c r="D318" s="11" t="str">
        <f>IF(Tabel!O321="","",IF(Tabel!S321="","",Tabel!O321))</f>
        <v/>
      </c>
      <c r="E318" s="22" t="str">
        <f>IF(Tabel!P321="","",Tabel!T321)</f>
        <v/>
      </c>
      <c r="F318" s="11" t="str">
        <f>IF(Tabel!P321="","",IF(Tabel!U321="","",Tabel!P321))</f>
        <v/>
      </c>
    </row>
    <row r="319" spans="1:6" x14ac:dyDescent="0.25">
      <c r="A319" s="22" t="str">
        <f>IF(Tabel!N322="","",Tabel!Q322)</f>
        <v/>
      </c>
      <c r="B319" s="11" t="str">
        <f>IF(Tabel!N322="","",IF(Tabel!Q322="","",Tabel!N322))</f>
        <v/>
      </c>
      <c r="C319" s="22" t="str">
        <f>IF(Tabel!O322="","",Tabel!S322)</f>
        <v/>
      </c>
      <c r="D319" s="11" t="str">
        <f>IF(Tabel!O322="","",IF(Tabel!S322="","",Tabel!O322))</f>
        <v/>
      </c>
      <c r="E319" s="22" t="str">
        <f>IF(Tabel!P322="","",Tabel!T322)</f>
        <v/>
      </c>
      <c r="F319" s="11" t="str">
        <f>IF(Tabel!P322="","",IF(Tabel!U322="","",Tabel!P322))</f>
        <v/>
      </c>
    </row>
    <row r="320" spans="1:6" x14ac:dyDescent="0.25">
      <c r="A320" s="22" t="str">
        <f>IF(Tabel!N323="","",Tabel!Q323)</f>
        <v/>
      </c>
      <c r="B320" s="11" t="str">
        <f>IF(Tabel!N323="","",IF(Tabel!Q323="","",Tabel!N323))</f>
        <v/>
      </c>
      <c r="C320" s="22" t="str">
        <f>IF(Tabel!O323="","",Tabel!S323)</f>
        <v/>
      </c>
      <c r="D320" s="11" t="str">
        <f>IF(Tabel!O323="","",IF(Tabel!S323="","",Tabel!O323))</f>
        <v/>
      </c>
      <c r="E320" s="22" t="str">
        <f>IF(Tabel!P323="","",Tabel!T323)</f>
        <v/>
      </c>
      <c r="F320" s="11" t="str">
        <f>IF(Tabel!P323="","",IF(Tabel!U323="","",Tabel!P323))</f>
        <v/>
      </c>
    </row>
    <row r="321" spans="1:6" x14ac:dyDescent="0.25">
      <c r="A321" s="22" t="str">
        <f>IF(Tabel!N324="","",Tabel!Q324)</f>
        <v/>
      </c>
      <c r="B321" s="11" t="str">
        <f>IF(Tabel!N324="","",IF(Tabel!Q324="","",Tabel!N324))</f>
        <v/>
      </c>
      <c r="C321" s="22" t="str">
        <f>IF(Tabel!O324="","",Tabel!S324)</f>
        <v/>
      </c>
      <c r="D321" s="11" t="str">
        <f>IF(Tabel!O324="","",IF(Tabel!S324="","",Tabel!O324))</f>
        <v/>
      </c>
      <c r="E321" s="22" t="str">
        <f>IF(Tabel!P324="","",Tabel!T324)</f>
        <v/>
      </c>
      <c r="F321" s="11" t="str">
        <f>IF(Tabel!P324="","",IF(Tabel!U324="","",Tabel!P324))</f>
        <v/>
      </c>
    </row>
    <row r="322" spans="1:6" x14ac:dyDescent="0.25">
      <c r="A322" s="22" t="str">
        <f>IF(Tabel!N325="","",Tabel!Q325)</f>
        <v/>
      </c>
      <c r="B322" s="11" t="str">
        <f>IF(Tabel!N325="","",IF(Tabel!Q325="","",Tabel!N325))</f>
        <v/>
      </c>
      <c r="C322" s="22" t="str">
        <f>IF(Tabel!O325="","",Tabel!S325)</f>
        <v/>
      </c>
      <c r="D322" s="11" t="str">
        <f>IF(Tabel!O325="","",IF(Tabel!S325="","",Tabel!O325))</f>
        <v/>
      </c>
      <c r="E322" s="22" t="str">
        <f>IF(Tabel!P325="","",Tabel!T325)</f>
        <v/>
      </c>
      <c r="F322" s="11" t="str">
        <f>IF(Tabel!P325="","",IF(Tabel!U325="","",Tabel!P325))</f>
        <v/>
      </c>
    </row>
    <row r="323" spans="1:6" x14ac:dyDescent="0.25">
      <c r="A323" s="22" t="str">
        <f>IF(Tabel!N326="","",Tabel!Q326)</f>
        <v/>
      </c>
      <c r="B323" s="11" t="str">
        <f>IF(Tabel!N326="","",IF(Tabel!Q326="","",Tabel!N326))</f>
        <v/>
      </c>
      <c r="C323" s="22" t="str">
        <f>IF(Tabel!O326="","",Tabel!S326)</f>
        <v/>
      </c>
      <c r="D323" s="11" t="str">
        <f>IF(Tabel!O326="","",IF(Tabel!S326="","",Tabel!O326))</f>
        <v/>
      </c>
      <c r="E323" s="22" t="str">
        <f>IF(Tabel!P326="","",Tabel!T326)</f>
        <v/>
      </c>
      <c r="F323" s="11" t="str">
        <f>IF(Tabel!P326="","",IF(Tabel!U326="","",Tabel!P326))</f>
        <v/>
      </c>
    </row>
    <row r="324" spans="1:6" x14ac:dyDescent="0.25">
      <c r="A324" s="22" t="str">
        <f>IF(Tabel!N327="","",Tabel!Q327)</f>
        <v/>
      </c>
      <c r="B324" s="11" t="str">
        <f>IF(Tabel!N327="","",IF(Tabel!Q327="","",Tabel!N327))</f>
        <v/>
      </c>
      <c r="C324" s="22" t="str">
        <f>IF(Tabel!O327="","",Tabel!S327)</f>
        <v/>
      </c>
      <c r="D324" s="11" t="str">
        <f>IF(Tabel!O327="","",IF(Tabel!S327="","",Tabel!O327))</f>
        <v/>
      </c>
      <c r="E324" s="22" t="str">
        <f>IF(Tabel!P327="","",Tabel!T327)</f>
        <v/>
      </c>
      <c r="F324" s="11" t="str">
        <f>IF(Tabel!P327="","",IF(Tabel!U327="","",Tabel!P327))</f>
        <v/>
      </c>
    </row>
    <row r="325" spans="1:6" x14ac:dyDescent="0.25">
      <c r="A325" s="22" t="str">
        <f>IF(Tabel!N328="","",Tabel!Q328)</f>
        <v/>
      </c>
      <c r="B325" s="11" t="str">
        <f>IF(Tabel!N328="","",IF(Tabel!Q328="","",Tabel!N328))</f>
        <v/>
      </c>
      <c r="C325" s="22" t="str">
        <f>IF(Tabel!O328="","",Tabel!S328)</f>
        <v/>
      </c>
      <c r="D325" s="11" t="str">
        <f>IF(Tabel!O328="","",IF(Tabel!S328="","",Tabel!O328))</f>
        <v/>
      </c>
      <c r="E325" s="22" t="str">
        <f>IF(Tabel!P328="","",Tabel!T328)</f>
        <v/>
      </c>
      <c r="F325" s="11" t="str">
        <f>IF(Tabel!P328="","",IF(Tabel!U328="","",Tabel!P328))</f>
        <v/>
      </c>
    </row>
    <row r="326" spans="1:6" x14ac:dyDescent="0.25">
      <c r="A326" s="22" t="str">
        <f>IF(Tabel!N329="","",Tabel!Q329)</f>
        <v/>
      </c>
      <c r="B326" s="11" t="str">
        <f>IF(Tabel!N329="","",IF(Tabel!Q329="","",Tabel!N329))</f>
        <v/>
      </c>
      <c r="C326" s="22" t="str">
        <f>IF(Tabel!O329="","",Tabel!S329)</f>
        <v/>
      </c>
      <c r="D326" s="11" t="str">
        <f>IF(Tabel!O329="","",IF(Tabel!S329="","",Tabel!O329))</f>
        <v/>
      </c>
      <c r="E326" s="22" t="str">
        <f>IF(Tabel!P329="","",Tabel!T329)</f>
        <v/>
      </c>
      <c r="F326" s="11" t="str">
        <f>IF(Tabel!P329="","",IF(Tabel!U329="","",Tabel!P329))</f>
        <v/>
      </c>
    </row>
    <row r="327" spans="1:6" x14ac:dyDescent="0.25">
      <c r="A327" s="22" t="str">
        <f>IF(Tabel!N330="","",Tabel!Q330)</f>
        <v/>
      </c>
      <c r="B327" s="11" t="str">
        <f>IF(Tabel!N330="","",IF(Tabel!Q330="","",Tabel!N330))</f>
        <v/>
      </c>
      <c r="C327" s="22" t="str">
        <f>IF(Tabel!O330="","",Tabel!S330)</f>
        <v/>
      </c>
      <c r="D327" s="11" t="str">
        <f>IF(Tabel!O330="","",IF(Tabel!S330="","",Tabel!O330))</f>
        <v/>
      </c>
      <c r="E327" s="22" t="str">
        <f>IF(Tabel!P330="","",Tabel!T330)</f>
        <v/>
      </c>
      <c r="F327" s="11" t="str">
        <f>IF(Tabel!P330="","",IF(Tabel!U330="","",Tabel!P330))</f>
        <v/>
      </c>
    </row>
    <row r="328" spans="1:6" x14ac:dyDescent="0.25">
      <c r="A328" s="22" t="str">
        <f>IF(Tabel!N331="","",Tabel!Q331)</f>
        <v/>
      </c>
      <c r="B328" s="11" t="str">
        <f>IF(Tabel!N331="","",IF(Tabel!Q331="","",Tabel!N331))</f>
        <v/>
      </c>
      <c r="C328" s="22" t="str">
        <f>IF(Tabel!O331="","",Tabel!S331)</f>
        <v/>
      </c>
      <c r="D328" s="11" t="str">
        <f>IF(Tabel!O331="","",IF(Tabel!S331="","",Tabel!O331))</f>
        <v/>
      </c>
      <c r="E328" s="22" t="str">
        <f>IF(Tabel!P331="","",Tabel!T331)</f>
        <v/>
      </c>
      <c r="F328" s="11" t="str">
        <f>IF(Tabel!P331="","",IF(Tabel!U331="","",Tabel!P331))</f>
        <v/>
      </c>
    </row>
    <row r="329" spans="1:6" x14ac:dyDescent="0.25">
      <c r="A329" s="22" t="str">
        <f>IF(Tabel!N332="","",Tabel!Q332)</f>
        <v/>
      </c>
      <c r="B329" s="11" t="str">
        <f>IF(Tabel!N332="","",IF(Tabel!Q332="","",Tabel!N332))</f>
        <v/>
      </c>
      <c r="C329" s="22" t="str">
        <f>IF(Tabel!O332="","",Tabel!S332)</f>
        <v/>
      </c>
      <c r="D329" s="11" t="str">
        <f>IF(Tabel!O332="","",IF(Tabel!S332="","",Tabel!O332))</f>
        <v/>
      </c>
      <c r="E329" s="22" t="str">
        <f>IF(Tabel!P332="","",Tabel!T332)</f>
        <v/>
      </c>
      <c r="F329" s="11" t="str">
        <f>IF(Tabel!P332="","",IF(Tabel!U332="","",Tabel!P332))</f>
        <v/>
      </c>
    </row>
    <row r="330" spans="1:6" x14ac:dyDescent="0.25">
      <c r="A330" s="22" t="str">
        <f>IF(Tabel!N333="","",Tabel!Q333)</f>
        <v/>
      </c>
      <c r="B330" s="11" t="str">
        <f>IF(Tabel!N333="","",IF(Tabel!Q333="","",Tabel!N333))</f>
        <v/>
      </c>
      <c r="C330" s="22" t="str">
        <f>IF(Tabel!O333="","",Tabel!S333)</f>
        <v/>
      </c>
      <c r="D330" s="11" t="str">
        <f>IF(Tabel!O333="","",IF(Tabel!S333="","",Tabel!O333))</f>
        <v/>
      </c>
      <c r="E330" s="22" t="str">
        <f>IF(Tabel!P333="","",Tabel!T333)</f>
        <v/>
      </c>
      <c r="F330" s="11" t="str">
        <f>IF(Tabel!P333="","",IF(Tabel!U333="","",Tabel!P333))</f>
        <v/>
      </c>
    </row>
    <row r="331" spans="1:6" x14ac:dyDescent="0.25">
      <c r="A331" s="22" t="str">
        <f>IF(Tabel!N334="","",Tabel!Q334)</f>
        <v/>
      </c>
      <c r="B331" s="11" t="str">
        <f>IF(Tabel!N334="","",IF(Tabel!Q334="","",Tabel!N334))</f>
        <v/>
      </c>
      <c r="C331" s="22" t="str">
        <f>IF(Tabel!O334="","",Tabel!S334)</f>
        <v/>
      </c>
      <c r="D331" s="11" t="str">
        <f>IF(Tabel!O334="","",IF(Tabel!S334="","",Tabel!O334))</f>
        <v/>
      </c>
      <c r="E331" s="22" t="str">
        <f>IF(Tabel!P334="","",Tabel!T334)</f>
        <v/>
      </c>
      <c r="F331" s="11" t="str">
        <f>IF(Tabel!P334="","",IF(Tabel!U334="","",Tabel!P334))</f>
        <v/>
      </c>
    </row>
    <row r="332" spans="1:6" x14ac:dyDescent="0.25">
      <c r="A332" s="22" t="str">
        <f>IF(Tabel!N335="","",Tabel!Q335)</f>
        <v/>
      </c>
      <c r="B332" s="11" t="str">
        <f>IF(Tabel!N335="","",IF(Tabel!Q335="","",Tabel!N335))</f>
        <v/>
      </c>
      <c r="C332" s="22" t="str">
        <f>IF(Tabel!O335="","",Tabel!S335)</f>
        <v/>
      </c>
      <c r="D332" s="11" t="str">
        <f>IF(Tabel!O335="","",IF(Tabel!S335="","",Tabel!O335))</f>
        <v/>
      </c>
      <c r="E332" s="22" t="str">
        <f>IF(Tabel!P335="","",Tabel!T335)</f>
        <v/>
      </c>
      <c r="F332" s="11" t="str">
        <f>IF(Tabel!P335="","",IF(Tabel!U335="","",Tabel!P335))</f>
        <v/>
      </c>
    </row>
    <row r="333" spans="1:6" x14ac:dyDescent="0.25">
      <c r="A333" s="22" t="str">
        <f>IF(Tabel!N336="","",Tabel!Q336)</f>
        <v/>
      </c>
      <c r="B333" s="11" t="str">
        <f>IF(Tabel!N336="","",IF(Tabel!Q336="","",Tabel!N336))</f>
        <v/>
      </c>
      <c r="C333" s="22" t="str">
        <f>IF(Tabel!O336="","",Tabel!S336)</f>
        <v/>
      </c>
      <c r="D333" s="11" t="str">
        <f>IF(Tabel!O336="","",IF(Tabel!S336="","",Tabel!O336))</f>
        <v/>
      </c>
      <c r="E333" s="22" t="str">
        <f>IF(Tabel!P336="","",Tabel!T336)</f>
        <v/>
      </c>
      <c r="F333" s="11" t="str">
        <f>IF(Tabel!P336="","",IF(Tabel!U336="","",Tabel!P336))</f>
        <v/>
      </c>
    </row>
    <row r="334" spans="1:6" x14ac:dyDescent="0.25">
      <c r="A334" s="22" t="str">
        <f>IF(Tabel!N337="","",Tabel!Q337)</f>
        <v/>
      </c>
      <c r="B334" s="11" t="str">
        <f>IF(Tabel!N337="","",IF(Tabel!Q337="","",Tabel!N337))</f>
        <v/>
      </c>
      <c r="C334" s="22" t="str">
        <f>IF(Tabel!O337="","",Tabel!S337)</f>
        <v/>
      </c>
      <c r="D334" s="11" t="str">
        <f>IF(Tabel!O337="","",IF(Tabel!S337="","",Tabel!O337))</f>
        <v/>
      </c>
      <c r="E334" s="22" t="str">
        <f>IF(Tabel!P337="","",Tabel!T337)</f>
        <v/>
      </c>
      <c r="F334" s="11" t="str">
        <f>IF(Tabel!P337="","",IF(Tabel!U337="","",Tabel!P337))</f>
        <v/>
      </c>
    </row>
    <row r="335" spans="1:6" x14ac:dyDescent="0.25">
      <c r="A335" s="22" t="str">
        <f>IF(Tabel!N338="","",Tabel!Q338)</f>
        <v/>
      </c>
      <c r="B335" s="11" t="str">
        <f>IF(Tabel!N338="","",IF(Tabel!Q338="","",Tabel!N338))</f>
        <v/>
      </c>
      <c r="C335" s="22" t="str">
        <f>IF(Tabel!O338="","",Tabel!S338)</f>
        <v/>
      </c>
      <c r="D335" s="11" t="str">
        <f>IF(Tabel!O338="","",IF(Tabel!S338="","",Tabel!O338))</f>
        <v/>
      </c>
      <c r="E335" s="22" t="str">
        <f>IF(Tabel!P338="","",Tabel!T338)</f>
        <v/>
      </c>
      <c r="F335" s="11" t="str">
        <f>IF(Tabel!P338="","",IF(Tabel!U338="","",Tabel!P338))</f>
        <v/>
      </c>
    </row>
    <row r="336" spans="1:6" x14ac:dyDescent="0.25">
      <c r="A336" s="22" t="str">
        <f>IF(Tabel!N339="","",Tabel!Q339)</f>
        <v/>
      </c>
      <c r="B336" s="11" t="str">
        <f>IF(Tabel!N339="","",IF(Tabel!Q339="","",Tabel!N339))</f>
        <v/>
      </c>
      <c r="C336" s="22" t="str">
        <f>IF(Tabel!O339="","",Tabel!S339)</f>
        <v/>
      </c>
      <c r="D336" s="11" t="str">
        <f>IF(Tabel!O339="","",IF(Tabel!S339="","",Tabel!O339))</f>
        <v/>
      </c>
      <c r="E336" s="22" t="str">
        <f>IF(Tabel!P339="","",Tabel!T339)</f>
        <v/>
      </c>
      <c r="F336" s="11" t="str">
        <f>IF(Tabel!P339="","",IF(Tabel!U339="","",Tabel!P339))</f>
        <v/>
      </c>
    </row>
    <row r="337" spans="1:6" x14ac:dyDescent="0.25">
      <c r="A337" s="22" t="str">
        <f>IF(Tabel!N340="","",Tabel!Q340)</f>
        <v/>
      </c>
      <c r="B337" s="11" t="str">
        <f>IF(Tabel!N340="","",IF(Tabel!Q340="","",Tabel!N340))</f>
        <v/>
      </c>
      <c r="C337" s="22" t="str">
        <f>IF(Tabel!O340="","",Tabel!S340)</f>
        <v/>
      </c>
      <c r="D337" s="11" t="str">
        <f>IF(Tabel!O340="","",IF(Tabel!S340="","",Tabel!O340))</f>
        <v/>
      </c>
      <c r="E337" s="22" t="str">
        <f>IF(Tabel!P340="","",Tabel!T340)</f>
        <v/>
      </c>
      <c r="F337" s="11" t="str">
        <f>IF(Tabel!P340="","",IF(Tabel!U340="","",Tabel!P340))</f>
        <v/>
      </c>
    </row>
    <row r="338" spans="1:6" x14ac:dyDescent="0.25">
      <c r="A338" s="22" t="str">
        <f>IF(Tabel!N341="","",Tabel!Q341)</f>
        <v/>
      </c>
      <c r="B338" s="11" t="str">
        <f>IF(Tabel!N341="","",IF(Tabel!Q341="","",Tabel!N341))</f>
        <v/>
      </c>
      <c r="C338" s="22" t="str">
        <f>IF(Tabel!O341="","",Tabel!S341)</f>
        <v/>
      </c>
      <c r="D338" s="11" t="str">
        <f>IF(Tabel!O341="","",IF(Tabel!S341="","",Tabel!O341))</f>
        <v/>
      </c>
      <c r="E338" s="22" t="str">
        <f>IF(Tabel!P341="","",Tabel!T341)</f>
        <v/>
      </c>
      <c r="F338" s="11" t="str">
        <f>IF(Tabel!P341="","",IF(Tabel!U341="","",Tabel!P341))</f>
        <v/>
      </c>
    </row>
    <row r="339" spans="1:6" x14ac:dyDescent="0.25">
      <c r="A339" s="22" t="str">
        <f>IF(Tabel!N342="","",Tabel!Q342)</f>
        <v/>
      </c>
      <c r="B339" s="11" t="str">
        <f>IF(Tabel!N342="","",IF(Tabel!Q342="","",Tabel!N342))</f>
        <v/>
      </c>
      <c r="C339" s="22" t="str">
        <f>IF(Tabel!O342="","",Tabel!S342)</f>
        <v/>
      </c>
      <c r="D339" s="11" t="str">
        <f>IF(Tabel!O342="","",IF(Tabel!S342="","",Tabel!O342))</f>
        <v/>
      </c>
      <c r="E339" s="22" t="str">
        <f>IF(Tabel!P342="","",Tabel!T342)</f>
        <v/>
      </c>
      <c r="F339" s="11" t="str">
        <f>IF(Tabel!P342="","",IF(Tabel!U342="","",Tabel!P342))</f>
        <v/>
      </c>
    </row>
    <row r="340" spans="1:6" x14ac:dyDescent="0.25">
      <c r="A340" s="22" t="str">
        <f>IF(Tabel!N343="","",Tabel!Q343)</f>
        <v/>
      </c>
      <c r="B340" s="11" t="str">
        <f>IF(Tabel!N343="","",IF(Tabel!Q343="","",Tabel!N343))</f>
        <v/>
      </c>
      <c r="C340" s="22" t="str">
        <f>IF(Tabel!O343="","",Tabel!S343)</f>
        <v/>
      </c>
      <c r="D340" s="11" t="str">
        <f>IF(Tabel!O343="","",IF(Tabel!S343="","",Tabel!O343))</f>
        <v/>
      </c>
      <c r="E340" s="22" t="str">
        <f>IF(Tabel!P343="","",Tabel!T343)</f>
        <v/>
      </c>
      <c r="F340" s="11" t="str">
        <f>IF(Tabel!P343="","",IF(Tabel!U343="","",Tabel!P343))</f>
        <v/>
      </c>
    </row>
    <row r="341" spans="1:6" x14ac:dyDescent="0.25">
      <c r="A341" s="22" t="str">
        <f>IF(Tabel!N344="","",Tabel!Q344)</f>
        <v/>
      </c>
      <c r="B341" s="11" t="str">
        <f>IF(Tabel!N344="","",IF(Tabel!Q344="","",Tabel!N344))</f>
        <v/>
      </c>
      <c r="C341" s="22" t="str">
        <f>IF(Tabel!O344="","",Tabel!S344)</f>
        <v/>
      </c>
      <c r="D341" s="11" t="str">
        <f>IF(Tabel!O344="","",IF(Tabel!S344="","",Tabel!O344))</f>
        <v/>
      </c>
      <c r="E341" s="22" t="str">
        <f>IF(Tabel!P344="","",Tabel!T344)</f>
        <v/>
      </c>
      <c r="F341" s="11" t="str">
        <f>IF(Tabel!P344="","",IF(Tabel!U344="","",Tabel!P344))</f>
        <v/>
      </c>
    </row>
    <row r="342" spans="1:6" x14ac:dyDescent="0.25">
      <c r="A342" s="22" t="str">
        <f>IF(Tabel!N345="","",Tabel!Q345)</f>
        <v/>
      </c>
      <c r="B342" s="11" t="str">
        <f>IF(Tabel!N345="","",IF(Tabel!Q345="","",Tabel!N345))</f>
        <v/>
      </c>
      <c r="C342" s="22" t="str">
        <f>IF(Tabel!O345="","",Tabel!S345)</f>
        <v/>
      </c>
      <c r="D342" s="11" t="str">
        <f>IF(Tabel!O345="","",IF(Tabel!S345="","",Tabel!O345))</f>
        <v/>
      </c>
      <c r="E342" s="22" t="str">
        <f>IF(Tabel!P345="","",Tabel!T345)</f>
        <v/>
      </c>
      <c r="F342" s="11" t="str">
        <f>IF(Tabel!P345="","",IF(Tabel!U345="","",Tabel!P345))</f>
        <v/>
      </c>
    </row>
    <row r="343" spans="1:6" x14ac:dyDescent="0.25">
      <c r="A343" s="22" t="str">
        <f>IF(Tabel!N346="","",Tabel!Q346)</f>
        <v/>
      </c>
      <c r="B343" s="11" t="str">
        <f>IF(Tabel!N346="","",IF(Tabel!Q346="","",Tabel!N346))</f>
        <v/>
      </c>
      <c r="C343" s="22" t="str">
        <f>IF(Tabel!O346="","",Tabel!S346)</f>
        <v/>
      </c>
      <c r="D343" s="11" t="str">
        <f>IF(Tabel!O346="","",IF(Tabel!S346="","",Tabel!O346))</f>
        <v/>
      </c>
      <c r="E343" s="22" t="str">
        <f>IF(Tabel!P346="","",Tabel!T346)</f>
        <v/>
      </c>
      <c r="F343" s="11" t="str">
        <f>IF(Tabel!P346="","",IF(Tabel!U346="","",Tabel!P346))</f>
        <v/>
      </c>
    </row>
    <row r="344" spans="1:6" x14ac:dyDescent="0.25">
      <c r="A344" s="22" t="str">
        <f>IF(Tabel!N347="","",Tabel!Q347)</f>
        <v/>
      </c>
      <c r="B344" s="11" t="str">
        <f>IF(Tabel!N347="","",IF(Tabel!Q347="","",Tabel!N347))</f>
        <v/>
      </c>
      <c r="C344" s="22" t="str">
        <f>IF(Tabel!O347="","",Tabel!S347)</f>
        <v/>
      </c>
      <c r="D344" s="11" t="str">
        <f>IF(Tabel!O347="","",IF(Tabel!S347="","",Tabel!O347))</f>
        <v/>
      </c>
      <c r="E344" s="22" t="str">
        <f>IF(Tabel!P347="","",Tabel!T347)</f>
        <v/>
      </c>
      <c r="F344" s="11" t="str">
        <f>IF(Tabel!P347="","",IF(Tabel!U347="","",Tabel!P347))</f>
        <v/>
      </c>
    </row>
    <row r="345" spans="1:6" x14ac:dyDescent="0.25">
      <c r="A345" s="22" t="str">
        <f>IF(Tabel!N348="","",Tabel!Q348)</f>
        <v/>
      </c>
      <c r="B345" s="11" t="str">
        <f>IF(Tabel!N348="","",IF(Tabel!Q348="","",Tabel!N348))</f>
        <v/>
      </c>
      <c r="C345" s="22" t="str">
        <f>IF(Tabel!O348="","",Tabel!S348)</f>
        <v/>
      </c>
      <c r="D345" s="11" t="str">
        <f>IF(Tabel!O348="","",IF(Tabel!S348="","",Tabel!O348))</f>
        <v/>
      </c>
      <c r="E345" s="22" t="str">
        <f>IF(Tabel!P348="","",Tabel!T348)</f>
        <v/>
      </c>
      <c r="F345" s="11" t="str">
        <f>IF(Tabel!P348="","",IF(Tabel!U348="","",Tabel!P348))</f>
        <v/>
      </c>
    </row>
    <row r="346" spans="1:6" x14ac:dyDescent="0.25">
      <c r="A346" s="22" t="str">
        <f>IF(Tabel!N349="","",Tabel!Q349)</f>
        <v/>
      </c>
      <c r="B346" s="11" t="str">
        <f>IF(Tabel!N349="","",IF(Tabel!Q349="","",Tabel!N349))</f>
        <v/>
      </c>
      <c r="C346" s="22" t="str">
        <f>IF(Tabel!O349="","",Tabel!S349)</f>
        <v/>
      </c>
      <c r="D346" s="11" t="str">
        <f>IF(Tabel!O349="","",IF(Tabel!S349="","",Tabel!O349))</f>
        <v/>
      </c>
      <c r="E346" s="22" t="str">
        <f>IF(Tabel!P349="","",Tabel!T349)</f>
        <v/>
      </c>
      <c r="F346" s="11" t="str">
        <f>IF(Tabel!P349="","",IF(Tabel!U349="","",Tabel!P349))</f>
        <v/>
      </c>
    </row>
    <row r="347" spans="1:6" x14ac:dyDescent="0.25">
      <c r="A347" s="22" t="str">
        <f>IF(Tabel!N350="","",Tabel!Q350)</f>
        <v/>
      </c>
      <c r="B347" s="11" t="str">
        <f>IF(Tabel!N350="","",IF(Tabel!Q350="","",Tabel!N350))</f>
        <v/>
      </c>
      <c r="C347" s="22" t="str">
        <f>IF(Tabel!O350="","",Tabel!S350)</f>
        <v/>
      </c>
      <c r="D347" s="11" t="str">
        <f>IF(Tabel!O350="","",IF(Tabel!S350="","",Tabel!O350))</f>
        <v/>
      </c>
      <c r="E347" s="22" t="str">
        <f>IF(Tabel!P350="","",Tabel!T350)</f>
        <v/>
      </c>
      <c r="F347" s="11" t="str">
        <f>IF(Tabel!P350="","",IF(Tabel!U350="","",Tabel!P350))</f>
        <v/>
      </c>
    </row>
    <row r="348" spans="1:6" x14ac:dyDescent="0.25">
      <c r="A348" s="22" t="str">
        <f>IF(Tabel!N351="","",Tabel!Q351)</f>
        <v/>
      </c>
      <c r="B348" s="11" t="str">
        <f>IF(Tabel!N351="","",IF(Tabel!Q351="","",Tabel!N351))</f>
        <v/>
      </c>
      <c r="C348" s="22" t="str">
        <f>IF(Tabel!O351="","",Tabel!S351)</f>
        <v/>
      </c>
      <c r="D348" s="11" t="str">
        <f>IF(Tabel!O351="","",IF(Tabel!S351="","",Tabel!O351))</f>
        <v/>
      </c>
      <c r="E348" s="22" t="str">
        <f>IF(Tabel!P351="","",Tabel!T351)</f>
        <v/>
      </c>
      <c r="F348" s="11" t="str">
        <f>IF(Tabel!P351="","",IF(Tabel!U351="","",Tabel!P351))</f>
        <v/>
      </c>
    </row>
    <row r="349" spans="1:6" x14ac:dyDescent="0.25">
      <c r="A349" s="22" t="str">
        <f>IF(Tabel!N352="","",Tabel!Q352)</f>
        <v/>
      </c>
      <c r="B349" s="11" t="str">
        <f>IF(Tabel!N352="","",IF(Tabel!Q352="","",Tabel!N352))</f>
        <v/>
      </c>
      <c r="C349" s="22" t="str">
        <f>IF(Tabel!O352="","",Tabel!S352)</f>
        <v/>
      </c>
      <c r="D349" s="11" t="str">
        <f>IF(Tabel!O352="","",IF(Tabel!S352="","",Tabel!O352))</f>
        <v/>
      </c>
      <c r="E349" s="22" t="str">
        <f>IF(Tabel!P352="","",Tabel!T352)</f>
        <v/>
      </c>
      <c r="F349" s="11" t="str">
        <f>IF(Tabel!P352="","",IF(Tabel!U352="","",Tabel!P352))</f>
        <v/>
      </c>
    </row>
    <row r="350" spans="1:6" x14ac:dyDescent="0.25">
      <c r="A350" s="22" t="str">
        <f>IF(Tabel!N353="","",Tabel!Q353)</f>
        <v/>
      </c>
      <c r="B350" s="11" t="str">
        <f>IF(Tabel!N353="","",IF(Tabel!Q353="","",Tabel!N353))</f>
        <v/>
      </c>
      <c r="C350" s="22" t="str">
        <f>IF(Tabel!O353="","",Tabel!S353)</f>
        <v/>
      </c>
      <c r="D350" s="11" t="str">
        <f>IF(Tabel!O353="","",IF(Tabel!S353="","",Tabel!O353))</f>
        <v/>
      </c>
      <c r="E350" s="22" t="str">
        <f>IF(Tabel!P353="","",Tabel!T353)</f>
        <v/>
      </c>
      <c r="F350" s="11" t="str">
        <f>IF(Tabel!P353="","",IF(Tabel!U353="","",Tabel!P353))</f>
        <v/>
      </c>
    </row>
    <row r="351" spans="1:6" x14ac:dyDescent="0.25">
      <c r="A351" s="22" t="str">
        <f>IF(Tabel!N354="","",Tabel!Q354)</f>
        <v/>
      </c>
      <c r="B351" s="11" t="str">
        <f>IF(Tabel!N354="","",IF(Tabel!Q354="","",Tabel!N354))</f>
        <v/>
      </c>
      <c r="C351" s="22" t="str">
        <f>IF(Tabel!O354="","",Tabel!S354)</f>
        <v/>
      </c>
      <c r="D351" s="11" t="str">
        <f>IF(Tabel!O354="","",IF(Tabel!S354="","",Tabel!O354))</f>
        <v/>
      </c>
      <c r="E351" s="22" t="str">
        <f>IF(Tabel!P354="","",Tabel!T354)</f>
        <v/>
      </c>
      <c r="F351" s="11" t="str">
        <f>IF(Tabel!P354="","",IF(Tabel!U354="","",Tabel!P354))</f>
        <v/>
      </c>
    </row>
    <row r="352" spans="1:6" x14ac:dyDescent="0.25">
      <c r="A352" s="22" t="str">
        <f>IF(Tabel!N355="","",Tabel!Q355)</f>
        <v/>
      </c>
      <c r="B352" s="11" t="str">
        <f>IF(Tabel!N355="","",IF(Tabel!Q355="","",Tabel!N355))</f>
        <v/>
      </c>
      <c r="C352" s="22" t="str">
        <f>IF(Tabel!O355="","",Tabel!S355)</f>
        <v/>
      </c>
      <c r="D352" s="11" t="str">
        <f>IF(Tabel!O355="","",IF(Tabel!S355="","",Tabel!O355))</f>
        <v/>
      </c>
      <c r="E352" s="22" t="str">
        <f>IF(Tabel!P355="","",Tabel!T355)</f>
        <v/>
      </c>
      <c r="F352" s="11" t="str">
        <f>IF(Tabel!P355="","",IF(Tabel!U355="","",Tabel!P355))</f>
        <v/>
      </c>
    </row>
    <row r="353" spans="1:6" x14ac:dyDescent="0.25">
      <c r="A353" s="22" t="str">
        <f>IF(Tabel!N356="","",Tabel!Q356)</f>
        <v/>
      </c>
      <c r="B353" s="11" t="str">
        <f>IF(Tabel!N356="","",IF(Tabel!Q356="","",Tabel!N356))</f>
        <v/>
      </c>
      <c r="C353" s="22" t="str">
        <f>IF(Tabel!O356="","",Tabel!S356)</f>
        <v/>
      </c>
      <c r="D353" s="11" t="str">
        <f>IF(Tabel!O356="","",IF(Tabel!S356="","",Tabel!O356))</f>
        <v/>
      </c>
      <c r="E353" s="22" t="str">
        <f>IF(Tabel!P356="","",Tabel!T356)</f>
        <v/>
      </c>
      <c r="F353" s="11" t="str">
        <f>IF(Tabel!P356="","",IF(Tabel!U356="","",Tabel!P356))</f>
        <v/>
      </c>
    </row>
    <row r="354" spans="1:6" x14ac:dyDescent="0.25">
      <c r="A354" s="22" t="str">
        <f>IF(Tabel!N357="","",Tabel!Q357)</f>
        <v/>
      </c>
      <c r="B354" s="11" t="str">
        <f>IF(Tabel!N357="","",IF(Tabel!Q357="","",Tabel!N357))</f>
        <v/>
      </c>
      <c r="C354" s="22" t="str">
        <f>IF(Tabel!O357="","",Tabel!S357)</f>
        <v/>
      </c>
      <c r="D354" s="11" t="str">
        <f>IF(Tabel!O357="","",IF(Tabel!S357="","",Tabel!O357))</f>
        <v/>
      </c>
      <c r="E354" s="22" t="str">
        <f>IF(Tabel!P357="","",Tabel!T357)</f>
        <v/>
      </c>
      <c r="F354" s="11" t="str">
        <f>IF(Tabel!P357="","",IF(Tabel!U357="","",Tabel!P357))</f>
        <v/>
      </c>
    </row>
    <row r="355" spans="1:6" x14ac:dyDescent="0.25">
      <c r="A355" s="22" t="str">
        <f>IF(Tabel!N358="","",Tabel!Q358)</f>
        <v/>
      </c>
      <c r="B355" s="11" t="str">
        <f>IF(Tabel!N358="","",IF(Tabel!Q358="","",Tabel!N358))</f>
        <v/>
      </c>
      <c r="C355" s="22" t="str">
        <f>IF(Tabel!O358="","",Tabel!S358)</f>
        <v/>
      </c>
      <c r="D355" s="11" t="str">
        <f>IF(Tabel!O358="","",IF(Tabel!S358="","",Tabel!O358))</f>
        <v/>
      </c>
      <c r="E355" s="22" t="str">
        <f>IF(Tabel!P358="","",Tabel!T358)</f>
        <v/>
      </c>
      <c r="F355" s="11" t="str">
        <f>IF(Tabel!P358="","",IF(Tabel!U358="","",Tabel!P358))</f>
        <v/>
      </c>
    </row>
    <row r="356" spans="1:6" x14ac:dyDescent="0.25">
      <c r="A356" s="22" t="str">
        <f>IF(Tabel!N359="","",Tabel!Q359)</f>
        <v/>
      </c>
      <c r="B356" s="11" t="str">
        <f>IF(Tabel!N359="","",IF(Tabel!Q359="","",Tabel!N359))</f>
        <v/>
      </c>
      <c r="C356" s="22" t="str">
        <f>IF(Tabel!O359="","",Tabel!S359)</f>
        <v/>
      </c>
      <c r="D356" s="11" t="str">
        <f>IF(Tabel!O359="","",IF(Tabel!S359="","",Tabel!O359))</f>
        <v/>
      </c>
      <c r="E356" s="22" t="str">
        <f>IF(Tabel!P359="","",Tabel!T359)</f>
        <v/>
      </c>
      <c r="F356" s="11" t="str">
        <f>IF(Tabel!P359="","",IF(Tabel!U359="","",Tabel!P359))</f>
        <v/>
      </c>
    </row>
    <row r="357" spans="1:6" x14ac:dyDescent="0.25">
      <c r="A357" s="22" t="str">
        <f>IF(Tabel!N360="","",Tabel!Q360)</f>
        <v/>
      </c>
      <c r="B357" s="11" t="str">
        <f>IF(Tabel!N360="","",IF(Tabel!Q360="","",Tabel!N360))</f>
        <v/>
      </c>
      <c r="C357" s="22" t="str">
        <f>IF(Tabel!O360="","",Tabel!S360)</f>
        <v/>
      </c>
      <c r="D357" s="11" t="str">
        <f>IF(Tabel!O360="","",IF(Tabel!S360="","",Tabel!O360))</f>
        <v/>
      </c>
      <c r="E357" s="22" t="str">
        <f>IF(Tabel!P360="","",Tabel!T360)</f>
        <v/>
      </c>
      <c r="F357" s="11" t="str">
        <f>IF(Tabel!P360="","",IF(Tabel!U360="","",Tabel!P360))</f>
        <v/>
      </c>
    </row>
    <row r="358" spans="1:6" x14ac:dyDescent="0.25">
      <c r="A358" s="22" t="str">
        <f>IF(Tabel!N361="","",Tabel!Q361)</f>
        <v/>
      </c>
      <c r="B358" s="11" t="str">
        <f>IF(Tabel!N361="","",IF(Tabel!Q361="","",Tabel!N361))</f>
        <v/>
      </c>
      <c r="C358" s="22" t="str">
        <f>IF(Tabel!O361="","",Tabel!S361)</f>
        <v/>
      </c>
      <c r="D358" s="11" t="str">
        <f>IF(Tabel!O361="","",IF(Tabel!S361="","",Tabel!O361))</f>
        <v/>
      </c>
      <c r="E358" s="22" t="str">
        <f>IF(Tabel!P361="","",Tabel!T361)</f>
        <v/>
      </c>
      <c r="F358" s="11" t="str">
        <f>IF(Tabel!P361="","",IF(Tabel!U361="","",Tabel!P361))</f>
        <v/>
      </c>
    </row>
    <row r="359" spans="1:6" x14ac:dyDescent="0.25">
      <c r="A359" s="22" t="str">
        <f>IF(Tabel!N362="","",Tabel!Q362)</f>
        <v/>
      </c>
      <c r="B359" s="11" t="str">
        <f>IF(Tabel!N362="","",IF(Tabel!Q362="","",Tabel!N362))</f>
        <v/>
      </c>
      <c r="C359" s="22" t="str">
        <f>IF(Tabel!O362="","",Tabel!S362)</f>
        <v/>
      </c>
      <c r="D359" s="11" t="str">
        <f>IF(Tabel!O362="","",IF(Tabel!S362="","",Tabel!O362))</f>
        <v/>
      </c>
      <c r="E359" s="22" t="str">
        <f>IF(Tabel!P362="","",Tabel!T362)</f>
        <v/>
      </c>
      <c r="F359" s="11" t="str">
        <f>IF(Tabel!P362="","",IF(Tabel!U362="","",Tabel!P362))</f>
        <v/>
      </c>
    </row>
    <row r="360" spans="1:6" x14ac:dyDescent="0.25">
      <c r="A360" s="22" t="str">
        <f>IF(Tabel!N363="","",Tabel!Q363)</f>
        <v/>
      </c>
      <c r="B360" s="11" t="str">
        <f>IF(Tabel!N363="","",IF(Tabel!Q363="","",Tabel!N363))</f>
        <v/>
      </c>
      <c r="C360" s="22" t="str">
        <f>IF(Tabel!O363="","",Tabel!S363)</f>
        <v/>
      </c>
      <c r="D360" s="11" t="str">
        <f>IF(Tabel!O363="","",IF(Tabel!S363="","",Tabel!O363))</f>
        <v/>
      </c>
      <c r="E360" s="22" t="str">
        <f>IF(Tabel!P363="","",Tabel!T363)</f>
        <v/>
      </c>
      <c r="F360" s="11" t="str">
        <f>IF(Tabel!P363="","",IF(Tabel!U363="","",Tabel!P363))</f>
        <v/>
      </c>
    </row>
    <row r="361" spans="1:6" x14ac:dyDescent="0.25">
      <c r="A361" s="22" t="str">
        <f>IF(Tabel!N364="","",Tabel!Q364)</f>
        <v/>
      </c>
      <c r="B361" s="11" t="str">
        <f>IF(Tabel!N364="","",IF(Tabel!Q364="","",Tabel!N364))</f>
        <v/>
      </c>
      <c r="C361" s="22" t="str">
        <f>IF(Tabel!O364="","",Tabel!S364)</f>
        <v/>
      </c>
      <c r="D361" s="11" t="str">
        <f>IF(Tabel!O364="","",IF(Tabel!S364="","",Tabel!O364))</f>
        <v/>
      </c>
      <c r="E361" s="22" t="str">
        <f>IF(Tabel!P364="","",Tabel!T364)</f>
        <v/>
      </c>
      <c r="F361" s="11" t="str">
        <f>IF(Tabel!P364="","",IF(Tabel!U364="","",Tabel!P364))</f>
        <v/>
      </c>
    </row>
    <row r="362" spans="1:6" x14ac:dyDescent="0.25">
      <c r="A362" s="22" t="str">
        <f>IF(Tabel!N365="","",Tabel!Q365)</f>
        <v/>
      </c>
      <c r="B362" s="11" t="str">
        <f>IF(Tabel!N365="","",IF(Tabel!Q365="","",Tabel!N365))</f>
        <v/>
      </c>
      <c r="C362" s="22" t="str">
        <f>IF(Tabel!O365="","",Tabel!S365)</f>
        <v/>
      </c>
      <c r="D362" s="11" t="str">
        <f>IF(Tabel!O365="","",IF(Tabel!S365="","",Tabel!O365))</f>
        <v/>
      </c>
      <c r="E362" s="22" t="str">
        <f>IF(Tabel!P365="","",Tabel!T365)</f>
        <v/>
      </c>
      <c r="F362" s="11" t="str">
        <f>IF(Tabel!P365="","",IF(Tabel!U365="","",Tabel!P365))</f>
        <v/>
      </c>
    </row>
    <row r="363" spans="1:6" x14ac:dyDescent="0.25">
      <c r="A363" s="22" t="str">
        <f>IF(Tabel!N366="","",Tabel!Q366)</f>
        <v/>
      </c>
      <c r="B363" s="11" t="str">
        <f>IF(Tabel!N366="","",IF(Tabel!Q366="","",Tabel!N366))</f>
        <v/>
      </c>
      <c r="C363" s="22" t="str">
        <f>IF(Tabel!O366="","",Tabel!S366)</f>
        <v/>
      </c>
      <c r="D363" s="11" t="str">
        <f>IF(Tabel!O366="","",IF(Tabel!S366="","",Tabel!O366))</f>
        <v/>
      </c>
      <c r="E363" s="22" t="str">
        <f>IF(Tabel!P366="","",Tabel!T366)</f>
        <v/>
      </c>
      <c r="F363" s="11" t="str">
        <f>IF(Tabel!P366="","",IF(Tabel!U366="","",Tabel!P366))</f>
        <v/>
      </c>
    </row>
    <row r="364" spans="1:6" x14ac:dyDescent="0.25">
      <c r="A364" s="22" t="str">
        <f>IF(Tabel!N367="","",Tabel!Q367)</f>
        <v/>
      </c>
      <c r="B364" s="11" t="str">
        <f>IF(Tabel!N367="","",IF(Tabel!Q367="","",Tabel!N367))</f>
        <v/>
      </c>
      <c r="C364" s="22" t="str">
        <f>IF(Tabel!O367="","",Tabel!S367)</f>
        <v/>
      </c>
      <c r="D364" s="11" t="str">
        <f>IF(Tabel!O367="","",IF(Tabel!S367="","",Tabel!O367))</f>
        <v/>
      </c>
      <c r="E364" s="22" t="str">
        <f>IF(Tabel!P367="","",Tabel!T367)</f>
        <v/>
      </c>
      <c r="F364" s="11" t="str">
        <f>IF(Tabel!P367="","",IF(Tabel!U367="","",Tabel!P367))</f>
        <v/>
      </c>
    </row>
    <row r="365" spans="1:6" x14ac:dyDescent="0.25">
      <c r="A365" s="22" t="str">
        <f>IF(Tabel!N368="","",Tabel!Q368)</f>
        <v/>
      </c>
      <c r="B365" s="11" t="str">
        <f>IF(Tabel!N368="","",IF(Tabel!Q368="","",Tabel!N368))</f>
        <v/>
      </c>
      <c r="C365" s="22" t="str">
        <f>IF(Tabel!O368="","",Tabel!S368)</f>
        <v/>
      </c>
      <c r="D365" s="11" t="str">
        <f>IF(Tabel!O368="","",IF(Tabel!S368="","",Tabel!O368))</f>
        <v/>
      </c>
      <c r="E365" s="22" t="str">
        <f>IF(Tabel!P368="","",Tabel!T368)</f>
        <v/>
      </c>
      <c r="F365" s="11" t="str">
        <f>IF(Tabel!P368="","",IF(Tabel!U368="","",Tabel!P368))</f>
        <v/>
      </c>
    </row>
    <row r="366" spans="1:6" x14ac:dyDescent="0.25">
      <c r="A366" s="22" t="str">
        <f>IF(Tabel!N369="","",Tabel!Q369)</f>
        <v/>
      </c>
      <c r="B366" s="11" t="str">
        <f>IF(Tabel!N369="","",IF(Tabel!Q369="","",Tabel!N369))</f>
        <v/>
      </c>
      <c r="C366" s="22" t="str">
        <f>IF(Tabel!O369="","",Tabel!S369)</f>
        <v/>
      </c>
      <c r="D366" s="11" t="str">
        <f>IF(Tabel!O369="","",IF(Tabel!S369="","",Tabel!O369))</f>
        <v/>
      </c>
      <c r="E366" s="22" t="str">
        <f>IF(Tabel!P369="","",Tabel!T369)</f>
        <v/>
      </c>
      <c r="F366" s="11" t="str">
        <f>IF(Tabel!P369="","",IF(Tabel!U369="","",Tabel!P369))</f>
        <v/>
      </c>
    </row>
    <row r="367" spans="1:6" x14ac:dyDescent="0.25">
      <c r="A367" s="22" t="str">
        <f>IF(Tabel!N370="","",Tabel!Q370)</f>
        <v/>
      </c>
      <c r="B367" s="11" t="str">
        <f>IF(Tabel!N370="","",IF(Tabel!Q370="","",Tabel!N370))</f>
        <v/>
      </c>
      <c r="C367" s="22" t="str">
        <f>IF(Tabel!O370="","",Tabel!S370)</f>
        <v/>
      </c>
      <c r="D367" s="11" t="str">
        <f>IF(Tabel!O370="","",IF(Tabel!S370="","",Tabel!O370))</f>
        <v/>
      </c>
      <c r="E367" s="22" t="str">
        <f>IF(Tabel!P370="","",Tabel!T370)</f>
        <v/>
      </c>
      <c r="F367" s="11" t="str">
        <f>IF(Tabel!P370="","",IF(Tabel!U370="","",Tabel!P370))</f>
        <v/>
      </c>
    </row>
    <row r="368" spans="1:6" x14ac:dyDescent="0.25">
      <c r="A368" s="22" t="str">
        <f>IF(Tabel!N371="","",Tabel!Q371)</f>
        <v/>
      </c>
      <c r="B368" s="11" t="str">
        <f>IF(Tabel!N371="","",IF(Tabel!Q371="","",Tabel!N371))</f>
        <v/>
      </c>
      <c r="C368" s="22" t="str">
        <f>IF(Tabel!O371="","",Tabel!S371)</f>
        <v/>
      </c>
      <c r="D368" s="11" t="str">
        <f>IF(Tabel!O371="","",IF(Tabel!S371="","",Tabel!O371))</f>
        <v/>
      </c>
      <c r="E368" s="22" t="str">
        <f>IF(Tabel!P371="","",Tabel!T371)</f>
        <v/>
      </c>
      <c r="F368" s="11" t="str">
        <f>IF(Tabel!P371="","",IF(Tabel!U371="","",Tabel!P371))</f>
        <v/>
      </c>
    </row>
    <row r="369" spans="1:6" x14ac:dyDescent="0.25">
      <c r="A369" s="22" t="str">
        <f>IF(Tabel!N372="","",Tabel!Q372)</f>
        <v/>
      </c>
      <c r="B369" s="11" t="str">
        <f>IF(Tabel!N372="","",IF(Tabel!Q372="","",Tabel!N372))</f>
        <v/>
      </c>
      <c r="C369" s="22" t="str">
        <f>IF(Tabel!O372="","",Tabel!S372)</f>
        <v/>
      </c>
      <c r="D369" s="11" t="str">
        <f>IF(Tabel!O372="","",IF(Tabel!S372="","",Tabel!O372))</f>
        <v/>
      </c>
      <c r="E369" s="22" t="str">
        <f>IF(Tabel!P372="","",Tabel!T372)</f>
        <v/>
      </c>
      <c r="F369" s="11" t="str">
        <f>IF(Tabel!P372="","",IF(Tabel!U372="","",Tabel!P372))</f>
        <v/>
      </c>
    </row>
    <row r="370" spans="1:6" x14ac:dyDescent="0.25">
      <c r="A370" s="22" t="str">
        <f>IF(Tabel!N373="","",Tabel!Q373)</f>
        <v/>
      </c>
      <c r="B370" s="11" t="str">
        <f>IF(Tabel!N373="","",IF(Tabel!Q373="","",Tabel!N373))</f>
        <v/>
      </c>
      <c r="C370" s="22" t="str">
        <f>IF(Tabel!O373="","",Tabel!S373)</f>
        <v/>
      </c>
      <c r="D370" s="11" t="str">
        <f>IF(Tabel!O373="","",IF(Tabel!S373="","",Tabel!O373))</f>
        <v/>
      </c>
      <c r="E370" s="22" t="str">
        <f>IF(Tabel!P373="","",Tabel!T373)</f>
        <v/>
      </c>
      <c r="F370" s="11" t="str">
        <f>IF(Tabel!P373="","",IF(Tabel!U373="","",Tabel!P373))</f>
        <v/>
      </c>
    </row>
    <row r="371" spans="1:6" x14ac:dyDescent="0.25">
      <c r="A371" s="22" t="str">
        <f>IF(Tabel!N374="","",Tabel!Q374)</f>
        <v/>
      </c>
      <c r="B371" s="11" t="str">
        <f>IF(Tabel!N374="","",IF(Tabel!Q374="","",Tabel!N374))</f>
        <v/>
      </c>
      <c r="C371" s="22" t="str">
        <f>IF(Tabel!O374="","",Tabel!S374)</f>
        <v/>
      </c>
      <c r="D371" s="11" t="str">
        <f>IF(Tabel!O374="","",IF(Tabel!S374="","",Tabel!O374))</f>
        <v/>
      </c>
      <c r="E371" s="22" t="str">
        <f>IF(Tabel!P374="","",Tabel!T374)</f>
        <v/>
      </c>
      <c r="F371" s="11" t="str">
        <f>IF(Tabel!P374="","",IF(Tabel!U374="","",Tabel!P374))</f>
        <v/>
      </c>
    </row>
    <row r="372" spans="1:6" x14ac:dyDescent="0.25">
      <c r="A372" s="22" t="str">
        <f>IF(Tabel!N375="","",Tabel!Q375)</f>
        <v/>
      </c>
      <c r="B372" s="11" t="str">
        <f>IF(Tabel!N375="","",IF(Tabel!Q375="","",Tabel!N375))</f>
        <v/>
      </c>
      <c r="C372" s="22" t="str">
        <f>IF(Tabel!O375="","",Tabel!S375)</f>
        <v/>
      </c>
      <c r="D372" s="11" t="str">
        <f>IF(Tabel!O375="","",IF(Tabel!S375="","",Tabel!O375))</f>
        <v/>
      </c>
      <c r="E372" s="22" t="str">
        <f>IF(Tabel!P375="","",Tabel!T375)</f>
        <v/>
      </c>
      <c r="F372" s="11" t="str">
        <f>IF(Tabel!P375="","",IF(Tabel!U375="","",Tabel!P375))</f>
        <v/>
      </c>
    </row>
    <row r="373" spans="1:6" x14ac:dyDescent="0.25">
      <c r="A373" s="22" t="str">
        <f>IF(Tabel!N376="","",Tabel!Q376)</f>
        <v/>
      </c>
      <c r="B373" s="11" t="str">
        <f>IF(Tabel!N376="","",IF(Tabel!Q376="","",Tabel!N376))</f>
        <v/>
      </c>
      <c r="C373" s="22" t="str">
        <f>IF(Tabel!O376="","",Tabel!S376)</f>
        <v/>
      </c>
      <c r="D373" s="11" t="str">
        <f>IF(Tabel!O376="","",IF(Tabel!S376="","",Tabel!O376))</f>
        <v/>
      </c>
      <c r="E373" s="22" t="str">
        <f>IF(Tabel!P376="","",Tabel!T376)</f>
        <v/>
      </c>
      <c r="F373" s="11" t="str">
        <f>IF(Tabel!P376="","",IF(Tabel!U376="","",Tabel!P376))</f>
        <v/>
      </c>
    </row>
    <row r="374" spans="1:6" x14ac:dyDescent="0.25">
      <c r="A374" s="22" t="str">
        <f>IF(Tabel!N377="","",Tabel!Q377)</f>
        <v/>
      </c>
      <c r="B374" s="11" t="str">
        <f>IF(Tabel!N377="","",IF(Tabel!Q377="","",Tabel!N377))</f>
        <v/>
      </c>
      <c r="C374" s="22" t="str">
        <f>IF(Tabel!O377="","",Tabel!S377)</f>
        <v/>
      </c>
      <c r="D374" s="11" t="str">
        <f>IF(Tabel!O377="","",IF(Tabel!S377="","",Tabel!O377))</f>
        <v/>
      </c>
      <c r="E374" s="22" t="str">
        <f>IF(Tabel!P377="","",Tabel!T377)</f>
        <v/>
      </c>
      <c r="F374" s="11" t="str">
        <f>IF(Tabel!P377="","",IF(Tabel!U377="","",Tabel!P377))</f>
        <v/>
      </c>
    </row>
    <row r="375" spans="1:6" x14ac:dyDescent="0.25">
      <c r="A375" s="22" t="str">
        <f>IF(Tabel!N378="","",Tabel!Q378)</f>
        <v/>
      </c>
      <c r="B375" s="11" t="str">
        <f>IF(Tabel!N378="","",IF(Tabel!Q378="","",Tabel!N378))</f>
        <v/>
      </c>
      <c r="C375" s="22" t="str">
        <f>IF(Tabel!O378="","",Tabel!S378)</f>
        <v/>
      </c>
      <c r="D375" s="11" t="str">
        <f>IF(Tabel!O378="","",IF(Tabel!S378="","",Tabel!O378))</f>
        <v/>
      </c>
      <c r="E375" s="22" t="str">
        <f>IF(Tabel!P378="","",Tabel!T378)</f>
        <v/>
      </c>
      <c r="F375" s="11" t="str">
        <f>IF(Tabel!P378="","",IF(Tabel!U378="","",Tabel!P378))</f>
        <v/>
      </c>
    </row>
    <row r="376" spans="1:6" x14ac:dyDescent="0.25">
      <c r="A376" s="22" t="str">
        <f>IF(Tabel!N379="","",Tabel!Q379)</f>
        <v/>
      </c>
      <c r="B376" s="11" t="str">
        <f>IF(Tabel!N379="","",IF(Tabel!Q379="","",Tabel!N379))</f>
        <v/>
      </c>
      <c r="C376" s="22" t="str">
        <f>IF(Tabel!O379="","",Tabel!S379)</f>
        <v/>
      </c>
      <c r="D376" s="11" t="str">
        <f>IF(Tabel!O379="","",IF(Tabel!S379="","",Tabel!O379))</f>
        <v/>
      </c>
      <c r="E376" s="22" t="str">
        <f>IF(Tabel!P379="","",Tabel!T379)</f>
        <v/>
      </c>
      <c r="F376" s="11" t="str">
        <f>IF(Tabel!P379="","",IF(Tabel!U379="","",Tabel!P379))</f>
        <v/>
      </c>
    </row>
    <row r="377" spans="1:6" x14ac:dyDescent="0.25">
      <c r="A377" s="22" t="str">
        <f>IF(Tabel!N380="","",Tabel!Q380)</f>
        <v/>
      </c>
      <c r="B377" s="11" t="str">
        <f>IF(Tabel!N380="","",IF(Tabel!Q380="","",Tabel!N380))</f>
        <v/>
      </c>
      <c r="C377" s="22" t="str">
        <f>IF(Tabel!O380="","",Tabel!S380)</f>
        <v/>
      </c>
      <c r="D377" s="11" t="str">
        <f>IF(Tabel!O380="","",IF(Tabel!S380="","",Tabel!O380))</f>
        <v/>
      </c>
      <c r="E377" s="22" t="str">
        <f>IF(Tabel!P380="","",Tabel!T380)</f>
        <v/>
      </c>
      <c r="F377" s="11" t="str">
        <f>IF(Tabel!P380="","",IF(Tabel!U380="","",Tabel!P380))</f>
        <v/>
      </c>
    </row>
    <row r="378" spans="1:6" x14ac:dyDescent="0.25">
      <c r="A378" s="22" t="str">
        <f>IF(Tabel!N381="","",Tabel!Q381)</f>
        <v/>
      </c>
      <c r="B378" s="11" t="str">
        <f>IF(Tabel!N381="","",IF(Tabel!Q381="","",Tabel!N381))</f>
        <v/>
      </c>
      <c r="C378" s="22" t="str">
        <f>IF(Tabel!O381="","",Tabel!S381)</f>
        <v/>
      </c>
      <c r="D378" s="11" t="str">
        <f>IF(Tabel!O381="","",IF(Tabel!S381="","",Tabel!O381))</f>
        <v/>
      </c>
      <c r="E378" s="22" t="str">
        <f>IF(Tabel!P381="","",Tabel!T381)</f>
        <v/>
      </c>
      <c r="F378" s="11" t="str">
        <f>IF(Tabel!P381="","",IF(Tabel!U381="","",Tabel!P381))</f>
        <v/>
      </c>
    </row>
    <row r="379" spans="1:6" x14ac:dyDescent="0.25">
      <c r="A379" s="22" t="str">
        <f>IF(Tabel!N382="","",Tabel!Q382)</f>
        <v/>
      </c>
      <c r="B379" s="11" t="str">
        <f>IF(Tabel!N382="","",IF(Tabel!Q382="","",Tabel!N382))</f>
        <v/>
      </c>
      <c r="C379" s="22" t="str">
        <f>IF(Tabel!O382="","",Tabel!S382)</f>
        <v/>
      </c>
      <c r="D379" s="11" t="str">
        <f>IF(Tabel!O382="","",IF(Tabel!S382="","",Tabel!O382))</f>
        <v/>
      </c>
      <c r="E379" s="22" t="str">
        <f>IF(Tabel!P382="","",Tabel!T382)</f>
        <v/>
      </c>
      <c r="F379" s="11" t="str">
        <f>IF(Tabel!P382="","",IF(Tabel!U382="","",Tabel!P382))</f>
        <v/>
      </c>
    </row>
    <row r="380" spans="1:6" x14ac:dyDescent="0.25">
      <c r="A380" s="22" t="str">
        <f>IF(Tabel!N383="","",Tabel!Q383)</f>
        <v/>
      </c>
      <c r="B380" s="11" t="str">
        <f>IF(Tabel!N383="","",IF(Tabel!Q383="","",Tabel!N383))</f>
        <v/>
      </c>
      <c r="C380" s="22" t="str">
        <f>IF(Tabel!O383="","",Tabel!S383)</f>
        <v/>
      </c>
      <c r="D380" s="11" t="str">
        <f>IF(Tabel!O383="","",IF(Tabel!S383="","",Tabel!O383))</f>
        <v/>
      </c>
      <c r="E380" s="22" t="str">
        <f>IF(Tabel!P383="","",Tabel!T383)</f>
        <v/>
      </c>
      <c r="F380" s="11" t="str">
        <f>IF(Tabel!P383="","",IF(Tabel!U383="","",Tabel!P383))</f>
        <v/>
      </c>
    </row>
    <row r="381" spans="1:6" x14ac:dyDescent="0.25">
      <c r="A381" s="22" t="str">
        <f>IF(Tabel!N384="","",Tabel!Q384)</f>
        <v/>
      </c>
      <c r="B381" s="11" t="str">
        <f>IF(Tabel!N384="","",IF(Tabel!Q384="","",Tabel!N384))</f>
        <v/>
      </c>
      <c r="C381" s="22" t="str">
        <f>IF(Tabel!O384="","",Tabel!S384)</f>
        <v/>
      </c>
      <c r="D381" s="11" t="str">
        <f>IF(Tabel!O384="","",IF(Tabel!S384="","",Tabel!O384))</f>
        <v/>
      </c>
      <c r="E381" s="22" t="str">
        <f>IF(Tabel!P384="","",Tabel!T384)</f>
        <v/>
      </c>
      <c r="F381" s="11" t="str">
        <f>IF(Tabel!P384="","",IF(Tabel!U384="","",Tabel!P384))</f>
        <v/>
      </c>
    </row>
    <row r="382" spans="1:6" x14ac:dyDescent="0.25">
      <c r="A382" s="22" t="str">
        <f>IF(Tabel!N385="","",Tabel!Q385)</f>
        <v/>
      </c>
      <c r="B382" s="11" t="str">
        <f>IF(Tabel!N385="","",IF(Tabel!Q385="","",Tabel!N385))</f>
        <v/>
      </c>
      <c r="C382" s="22" t="str">
        <f>IF(Tabel!O385="","",Tabel!S385)</f>
        <v/>
      </c>
      <c r="D382" s="11" t="str">
        <f>IF(Tabel!O385="","",IF(Tabel!S385="","",Tabel!O385))</f>
        <v/>
      </c>
      <c r="E382" s="22" t="str">
        <f>IF(Tabel!P385="","",Tabel!T385)</f>
        <v/>
      </c>
      <c r="F382" s="11" t="str">
        <f>IF(Tabel!P385="","",IF(Tabel!U385="","",Tabel!P385))</f>
        <v/>
      </c>
    </row>
    <row r="383" spans="1:6" x14ac:dyDescent="0.25">
      <c r="A383" s="22" t="str">
        <f>IF(Tabel!N386="","",Tabel!Q386)</f>
        <v/>
      </c>
      <c r="B383" s="11" t="str">
        <f>IF(Tabel!N386="","",IF(Tabel!Q386="","",Tabel!N386))</f>
        <v/>
      </c>
      <c r="C383" s="22" t="str">
        <f>IF(Tabel!O386="","",Tabel!S386)</f>
        <v/>
      </c>
      <c r="D383" s="11" t="str">
        <f>IF(Tabel!O386="","",IF(Tabel!S386="","",Tabel!O386))</f>
        <v/>
      </c>
      <c r="E383" s="22" t="str">
        <f>IF(Tabel!P386="","",Tabel!T386)</f>
        <v/>
      </c>
      <c r="F383" s="11" t="str">
        <f>IF(Tabel!P386="","",IF(Tabel!U386="","",Tabel!P386))</f>
        <v/>
      </c>
    </row>
    <row r="384" spans="1:6" x14ac:dyDescent="0.25">
      <c r="A384" s="22" t="str">
        <f>IF(Tabel!N387="","",Tabel!Q387)</f>
        <v/>
      </c>
      <c r="B384" s="11" t="str">
        <f>IF(Tabel!N387="","",IF(Tabel!Q387="","",Tabel!N387))</f>
        <v/>
      </c>
      <c r="C384" s="22" t="str">
        <f>IF(Tabel!O387="","",Tabel!S387)</f>
        <v/>
      </c>
      <c r="D384" s="11" t="str">
        <f>IF(Tabel!O387="","",IF(Tabel!S387="","",Tabel!O387))</f>
        <v/>
      </c>
      <c r="E384" s="22" t="str">
        <f>IF(Tabel!P387="","",Tabel!T387)</f>
        <v/>
      </c>
      <c r="F384" s="11" t="str">
        <f>IF(Tabel!P387="","",IF(Tabel!U387="","",Tabel!P387))</f>
        <v/>
      </c>
    </row>
    <row r="385" spans="1:6" x14ac:dyDescent="0.25">
      <c r="A385" s="22" t="str">
        <f>IF(Tabel!N388="","",Tabel!Q388)</f>
        <v/>
      </c>
      <c r="B385" s="11" t="str">
        <f>IF(Tabel!N388="","",IF(Tabel!Q388="","",Tabel!N388))</f>
        <v/>
      </c>
      <c r="C385" s="22" t="str">
        <f>IF(Tabel!O388="","",Tabel!S388)</f>
        <v/>
      </c>
      <c r="D385" s="11" t="str">
        <f>IF(Tabel!O388="","",IF(Tabel!S388="","",Tabel!O388))</f>
        <v/>
      </c>
      <c r="E385" s="22" t="str">
        <f>IF(Tabel!P388="","",Tabel!T388)</f>
        <v/>
      </c>
      <c r="F385" s="11" t="str">
        <f>IF(Tabel!P388="","",IF(Tabel!U388="","",Tabel!P388))</f>
        <v/>
      </c>
    </row>
    <row r="386" spans="1:6" x14ac:dyDescent="0.25">
      <c r="A386" s="22" t="str">
        <f>IF(Tabel!N389="","",Tabel!Q389)</f>
        <v/>
      </c>
      <c r="B386" s="11" t="str">
        <f>IF(Tabel!N389="","",IF(Tabel!Q389="","",Tabel!N389))</f>
        <v/>
      </c>
      <c r="C386" s="22" t="str">
        <f>IF(Tabel!O389="","",Tabel!S389)</f>
        <v/>
      </c>
      <c r="D386" s="11" t="str">
        <f>IF(Tabel!O389="","",IF(Tabel!S389="","",Tabel!O389))</f>
        <v/>
      </c>
      <c r="E386" s="22" t="str">
        <f>IF(Tabel!P389="","",Tabel!T389)</f>
        <v/>
      </c>
      <c r="F386" s="11" t="str">
        <f>IF(Tabel!P389="","",IF(Tabel!U389="","",Tabel!P389))</f>
        <v/>
      </c>
    </row>
    <row r="387" spans="1:6" x14ac:dyDescent="0.25">
      <c r="A387" s="22" t="str">
        <f>IF(Tabel!N390="","",Tabel!Q390)</f>
        <v/>
      </c>
      <c r="B387" s="11" t="str">
        <f>IF(Tabel!N390="","",IF(Tabel!Q390="","",Tabel!N390))</f>
        <v/>
      </c>
      <c r="C387" s="22" t="str">
        <f>IF(Tabel!O390="","",Tabel!S390)</f>
        <v/>
      </c>
      <c r="D387" s="11" t="str">
        <f>IF(Tabel!O390="","",IF(Tabel!S390="","",Tabel!O390))</f>
        <v/>
      </c>
      <c r="E387" s="22" t="str">
        <f>IF(Tabel!P390="","",Tabel!T390)</f>
        <v/>
      </c>
      <c r="F387" s="11" t="str">
        <f>IF(Tabel!P390="","",IF(Tabel!U390="","",Tabel!P390))</f>
        <v/>
      </c>
    </row>
    <row r="388" spans="1:6" x14ac:dyDescent="0.25">
      <c r="A388" s="22" t="str">
        <f>IF(Tabel!N391="","",Tabel!Q391)</f>
        <v/>
      </c>
      <c r="B388" s="11" t="str">
        <f>IF(Tabel!N391="","",IF(Tabel!Q391="","",Tabel!N391))</f>
        <v/>
      </c>
      <c r="C388" s="22" t="str">
        <f>IF(Tabel!O391="","",Tabel!S391)</f>
        <v/>
      </c>
      <c r="D388" s="11" t="str">
        <f>IF(Tabel!O391="","",IF(Tabel!S391="","",Tabel!O391))</f>
        <v/>
      </c>
      <c r="E388" s="22" t="str">
        <f>IF(Tabel!P391="","",Tabel!T391)</f>
        <v/>
      </c>
      <c r="F388" s="11" t="str">
        <f>IF(Tabel!P391="","",IF(Tabel!U391="","",Tabel!P391))</f>
        <v/>
      </c>
    </row>
    <row r="389" spans="1:6" x14ac:dyDescent="0.25">
      <c r="A389" s="22" t="str">
        <f>IF(Tabel!N392="","",Tabel!Q392)</f>
        <v/>
      </c>
      <c r="B389" s="11" t="str">
        <f>IF(Tabel!N392="","",IF(Tabel!Q392="","",Tabel!N392))</f>
        <v/>
      </c>
      <c r="C389" s="22" t="str">
        <f>IF(Tabel!O392="","",Tabel!S392)</f>
        <v/>
      </c>
      <c r="D389" s="11" t="str">
        <f>IF(Tabel!O392="","",IF(Tabel!S392="","",Tabel!O392))</f>
        <v/>
      </c>
      <c r="E389" s="22" t="str">
        <f>IF(Tabel!P392="","",Tabel!T392)</f>
        <v/>
      </c>
      <c r="F389" s="11" t="str">
        <f>IF(Tabel!P392="","",IF(Tabel!U392="","",Tabel!P392))</f>
        <v/>
      </c>
    </row>
    <row r="390" spans="1:6" x14ac:dyDescent="0.25">
      <c r="A390" s="22" t="str">
        <f>IF(Tabel!N393="","",Tabel!Q393)</f>
        <v/>
      </c>
      <c r="B390" s="11" t="str">
        <f>IF(Tabel!N393="","",IF(Tabel!Q393="","",Tabel!N393))</f>
        <v/>
      </c>
      <c r="C390" s="22" t="str">
        <f>IF(Tabel!O393="","",Tabel!S393)</f>
        <v/>
      </c>
      <c r="D390" s="11" t="str">
        <f>IF(Tabel!O393="","",IF(Tabel!S393="","",Tabel!O393))</f>
        <v/>
      </c>
      <c r="E390" s="22" t="str">
        <f>IF(Tabel!P393="","",Tabel!T393)</f>
        <v/>
      </c>
      <c r="F390" s="11" t="str">
        <f>IF(Tabel!P393="","",IF(Tabel!U393="","",Tabel!P393))</f>
        <v/>
      </c>
    </row>
    <row r="391" spans="1:6" x14ac:dyDescent="0.25">
      <c r="A391" s="22" t="str">
        <f>IF(Tabel!N394="","",Tabel!Q394)</f>
        <v/>
      </c>
      <c r="B391" s="11" t="str">
        <f>IF(Tabel!N394="","",IF(Tabel!Q394="","",Tabel!N394))</f>
        <v/>
      </c>
      <c r="C391" s="22" t="str">
        <f>IF(Tabel!O394="","",Tabel!S394)</f>
        <v/>
      </c>
      <c r="D391" s="11" t="str">
        <f>IF(Tabel!O394="","",IF(Tabel!S394="","",Tabel!O394))</f>
        <v/>
      </c>
      <c r="E391" s="22" t="str">
        <f>IF(Tabel!P394="","",Tabel!T394)</f>
        <v/>
      </c>
      <c r="F391" s="11" t="str">
        <f>IF(Tabel!P394="","",IF(Tabel!U394="","",Tabel!P394))</f>
        <v/>
      </c>
    </row>
    <row r="392" spans="1:6" x14ac:dyDescent="0.25">
      <c r="A392" s="22" t="str">
        <f>IF(Tabel!N395="","",Tabel!Q395)</f>
        <v/>
      </c>
      <c r="B392" s="11" t="str">
        <f>IF(Tabel!N395="","",IF(Tabel!Q395="","",Tabel!N395))</f>
        <v/>
      </c>
      <c r="C392" s="22" t="str">
        <f>IF(Tabel!O395="","",Tabel!S395)</f>
        <v/>
      </c>
      <c r="D392" s="11" t="str">
        <f>IF(Tabel!O395="","",IF(Tabel!S395="","",Tabel!O395))</f>
        <v/>
      </c>
      <c r="E392" s="22" t="str">
        <f>IF(Tabel!P395="","",Tabel!T395)</f>
        <v/>
      </c>
      <c r="F392" s="11" t="str">
        <f>IF(Tabel!P395="","",IF(Tabel!U395="","",Tabel!P395))</f>
        <v/>
      </c>
    </row>
    <row r="393" spans="1:6" x14ac:dyDescent="0.25">
      <c r="A393" s="22" t="str">
        <f>IF(Tabel!N396="","",Tabel!Q396)</f>
        <v/>
      </c>
      <c r="B393" s="11" t="str">
        <f>IF(Tabel!N396="","",IF(Tabel!Q396="","",Tabel!N396))</f>
        <v/>
      </c>
      <c r="C393" s="22" t="str">
        <f>IF(Tabel!O396="","",Tabel!S396)</f>
        <v/>
      </c>
      <c r="D393" s="11" t="str">
        <f>IF(Tabel!O396="","",IF(Tabel!S396="","",Tabel!O396))</f>
        <v/>
      </c>
      <c r="E393" s="22" t="str">
        <f>IF(Tabel!P396="","",Tabel!T396)</f>
        <v/>
      </c>
      <c r="F393" s="11" t="str">
        <f>IF(Tabel!P396="","",IF(Tabel!U396="","",Tabel!P396))</f>
        <v/>
      </c>
    </row>
    <row r="394" spans="1:6" x14ac:dyDescent="0.25">
      <c r="A394" s="22" t="str">
        <f>IF(Tabel!N397="","",Tabel!Q397)</f>
        <v/>
      </c>
      <c r="B394" s="11" t="str">
        <f>IF(Tabel!N397="","",IF(Tabel!Q397="","",Tabel!N397))</f>
        <v/>
      </c>
      <c r="C394" s="22" t="str">
        <f>IF(Tabel!O397="","",Tabel!S397)</f>
        <v/>
      </c>
      <c r="D394" s="11" t="str">
        <f>IF(Tabel!O397="","",IF(Tabel!S397="","",Tabel!O397))</f>
        <v/>
      </c>
      <c r="E394" s="22" t="str">
        <f>IF(Tabel!P397="","",Tabel!T397)</f>
        <v/>
      </c>
      <c r="F394" s="11" t="str">
        <f>IF(Tabel!P397="","",IF(Tabel!U397="","",Tabel!P397))</f>
        <v/>
      </c>
    </row>
    <row r="395" spans="1:6" x14ac:dyDescent="0.25">
      <c r="A395" s="22" t="str">
        <f>IF(Tabel!N398="","",Tabel!Q398)</f>
        <v/>
      </c>
      <c r="B395" s="11" t="str">
        <f>IF(Tabel!N398="","",IF(Tabel!Q398="","",Tabel!N398))</f>
        <v/>
      </c>
      <c r="C395" s="22" t="str">
        <f>IF(Tabel!O398="","",Tabel!S398)</f>
        <v/>
      </c>
      <c r="D395" s="11" t="str">
        <f>IF(Tabel!O398="","",IF(Tabel!S398="","",Tabel!O398))</f>
        <v/>
      </c>
      <c r="E395" s="22" t="str">
        <f>IF(Tabel!P398="","",Tabel!T398)</f>
        <v/>
      </c>
      <c r="F395" s="11" t="str">
        <f>IF(Tabel!P398="","",IF(Tabel!U398="","",Tabel!P398))</f>
        <v/>
      </c>
    </row>
    <row r="396" spans="1:6" x14ac:dyDescent="0.25">
      <c r="A396" s="22" t="str">
        <f>IF(Tabel!N399="","",Tabel!Q399)</f>
        <v/>
      </c>
      <c r="B396" s="11" t="str">
        <f>IF(Tabel!N399="","",IF(Tabel!Q399="","",Tabel!N399))</f>
        <v/>
      </c>
      <c r="C396" s="22" t="str">
        <f>IF(Tabel!O399="","",Tabel!S399)</f>
        <v/>
      </c>
      <c r="D396" s="11" t="str">
        <f>IF(Tabel!O399="","",IF(Tabel!S399="","",Tabel!O399))</f>
        <v/>
      </c>
      <c r="E396" s="22" t="str">
        <f>IF(Tabel!P399="","",Tabel!T399)</f>
        <v/>
      </c>
      <c r="F396" s="11" t="str">
        <f>IF(Tabel!P399="","",IF(Tabel!U399="","",Tabel!P399))</f>
        <v/>
      </c>
    </row>
    <row r="397" spans="1:6" x14ac:dyDescent="0.25">
      <c r="A397" s="22" t="str">
        <f>IF(Tabel!N400="","",Tabel!Q400)</f>
        <v/>
      </c>
      <c r="B397" s="11" t="str">
        <f>IF(Tabel!N400="","",IF(Tabel!Q400="","",Tabel!N400))</f>
        <v/>
      </c>
      <c r="C397" s="22" t="str">
        <f>IF(Tabel!O400="","",Tabel!S400)</f>
        <v/>
      </c>
      <c r="D397" s="11" t="str">
        <f>IF(Tabel!O400="","",IF(Tabel!S400="","",Tabel!O400))</f>
        <v/>
      </c>
      <c r="E397" s="22" t="str">
        <f>IF(Tabel!P400="","",Tabel!T400)</f>
        <v/>
      </c>
      <c r="F397" s="11" t="str">
        <f>IF(Tabel!P400="","",IF(Tabel!U400="","",Tabel!P400))</f>
        <v/>
      </c>
    </row>
    <row r="398" spans="1:6" x14ac:dyDescent="0.25">
      <c r="A398" s="22" t="str">
        <f>IF(Tabel!N401="","",Tabel!Q401)</f>
        <v/>
      </c>
      <c r="B398" s="11" t="str">
        <f>IF(Tabel!N401="","",IF(Tabel!Q401="","",Tabel!N401))</f>
        <v/>
      </c>
      <c r="C398" s="22" t="str">
        <f>IF(Tabel!O401="","",Tabel!S401)</f>
        <v/>
      </c>
      <c r="D398" s="11" t="str">
        <f>IF(Tabel!O401="","",IF(Tabel!S401="","",Tabel!O401))</f>
        <v/>
      </c>
      <c r="E398" s="22" t="str">
        <f>IF(Tabel!P401="","",Tabel!T401)</f>
        <v/>
      </c>
      <c r="F398" s="11" t="str">
        <f>IF(Tabel!P401="","",IF(Tabel!U401="","",Tabel!P401))</f>
        <v/>
      </c>
    </row>
    <row r="399" spans="1:6" x14ac:dyDescent="0.25">
      <c r="A399" s="22" t="str">
        <f>IF(Tabel!N402="","",Tabel!Q402)</f>
        <v/>
      </c>
      <c r="B399" s="11" t="str">
        <f>IF(Tabel!N402="","",IF(Tabel!Q402="","",Tabel!N402))</f>
        <v/>
      </c>
      <c r="C399" s="22" t="str">
        <f>IF(Tabel!O402="","",Tabel!S402)</f>
        <v/>
      </c>
      <c r="D399" s="11" t="str">
        <f>IF(Tabel!O402="","",IF(Tabel!S402="","",Tabel!O402))</f>
        <v/>
      </c>
      <c r="E399" s="22" t="str">
        <f>IF(Tabel!P402="","",Tabel!T402)</f>
        <v/>
      </c>
      <c r="F399" s="11" t="str">
        <f>IF(Tabel!P402="","",IF(Tabel!U402="","",Tabel!P402))</f>
        <v/>
      </c>
    </row>
    <row r="400" spans="1:6" x14ac:dyDescent="0.25">
      <c r="A400" s="22" t="str">
        <f>IF(Tabel!N403="","",Tabel!Q403)</f>
        <v/>
      </c>
      <c r="B400" s="11" t="str">
        <f>IF(Tabel!N403="","",IF(Tabel!Q403="","",Tabel!N403))</f>
        <v/>
      </c>
      <c r="C400" s="22" t="str">
        <f>IF(Tabel!O403="","",Tabel!S403)</f>
        <v/>
      </c>
      <c r="D400" s="11" t="str">
        <f>IF(Tabel!O403="","",IF(Tabel!S403="","",Tabel!O403))</f>
        <v/>
      </c>
      <c r="E400" s="22" t="str">
        <f>IF(Tabel!P403="","",Tabel!T403)</f>
        <v/>
      </c>
      <c r="F400" s="11" t="str">
        <f>IF(Tabel!P403="","",IF(Tabel!U403="","",Tabel!P403))</f>
        <v/>
      </c>
    </row>
    <row r="401" spans="1:6" x14ac:dyDescent="0.25">
      <c r="A401" s="22" t="str">
        <f>IF(Tabel!N404="","",Tabel!Q404)</f>
        <v/>
      </c>
      <c r="B401" s="11" t="str">
        <f>IF(Tabel!N404="","",IF(Tabel!Q404="","",Tabel!N404))</f>
        <v/>
      </c>
      <c r="C401" s="22" t="str">
        <f>IF(Tabel!O404="","",Tabel!S404)</f>
        <v/>
      </c>
      <c r="D401" s="11" t="str">
        <f>IF(Tabel!O404="","",IF(Tabel!S404="","",Tabel!O404))</f>
        <v/>
      </c>
      <c r="E401" s="22" t="str">
        <f>IF(Tabel!P404="","",Tabel!T404)</f>
        <v/>
      </c>
      <c r="F401" s="11" t="str">
        <f>IF(Tabel!P404="","",IF(Tabel!U404="","",Tabel!P404))</f>
        <v/>
      </c>
    </row>
    <row r="402" spans="1:6" x14ac:dyDescent="0.25">
      <c r="A402" s="22" t="str">
        <f>IF(Tabel!N405="","",Tabel!Q405)</f>
        <v/>
      </c>
      <c r="B402" s="11" t="str">
        <f>IF(Tabel!N405="","",IF(Tabel!Q405="","",Tabel!N405))</f>
        <v/>
      </c>
      <c r="C402" s="22" t="str">
        <f>IF(Tabel!O405="","",Tabel!S405)</f>
        <v/>
      </c>
      <c r="D402" s="11" t="str">
        <f>IF(Tabel!O405="","",IF(Tabel!S405="","",Tabel!O405))</f>
        <v/>
      </c>
      <c r="E402" s="22" t="str">
        <f>IF(Tabel!P405="","",Tabel!T405)</f>
        <v/>
      </c>
      <c r="F402" s="11" t="str">
        <f>IF(Tabel!P405="","",IF(Tabel!U405="","",Tabel!P405))</f>
        <v/>
      </c>
    </row>
    <row r="403" spans="1:6" x14ac:dyDescent="0.25">
      <c r="A403" s="22" t="str">
        <f>IF(Tabel!N406="","",Tabel!Q406)</f>
        <v/>
      </c>
      <c r="B403" s="11" t="str">
        <f>IF(Tabel!N406="","",IF(Tabel!Q406="","",Tabel!N406))</f>
        <v/>
      </c>
      <c r="C403" s="22" t="str">
        <f>IF(Tabel!O406="","",Tabel!S406)</f>
        <v/>
      </c>
      <c r="D403" s="11" t="str">
        <f>IF(Tabel!O406="","",IF(Tabel!S406="","",Tabel!O406))</f>
        <v/>
      </c>
      <c r="E403" s="22" t="str">
        <f>IF(Tabel!P406="","",Tabel!T406)</f>
        <v/>
      </c>
      <c r="F403" s="11" t="str">
        <f>IF(Tabel!P406="","",IF(Tabel!U406="","",Tabel!P406))</f>
        <v/>
      </c>
    </row>
    <row r="404" spans="1:6" x14ac:dyDescent="0.25">
      <c r="A404" s="22" t="str">
        <f>IF(Tabel!N407="","",Tabel!Q407)</f>
        <v/>
      </c>
      <c r="B404" s="11" t="str">
        <f>IF(Tabel!N407="","",IF(Tabel!Q407="","",Tabel!N407))</f>
        <v/>
      </c>
      <c r="C404" s="22" t="str">
        <f>IF(Tabel!O407="","",Tabel!S407)</f>
        <v/>
      </c>
      <c r="D404" s="11" t="str">
        <f>IF(Tabel!O407="","",IF(Tabel!S407="","",Tabel!O407))</f>
        <v/>
      </c>
      <c r="E404" s="22" t="str">
        <f>IF(Tabel!P407="","",Tabel!T407)</f>
        <v/>
      </c>
      <c r="F404" s="11" t="str">
        <f>IF(Tabel!P407="","",IF(Tabel!U407="","",Tabel!P407))</f>
        <v/>
      </c>
    </row>
    <row r="405" spans="1:6" x14ac:dyDescent="0.25">
      <c r="A405" s="22" t="str">
        <f>IF(Tabel!N408="","",Tabel!Q408)</f>
        <v/>
      </c>
      <c r="B405" s="11" t="str">
        <f>IF(Tabel!N408="","",IF(Tabel!Q408="","",Tabel!N408))</f>
        <v/>
      </c>
      <c r="C405" s="22" t="str">
        <f>IF(Tabel!O408="","",Tabel!S408)</f>
        <v/>
      </c>
      <c r="D405" s="11" t="str">
        <f>IF(Tabel!O408="","",IF(Tabel!S408="","",Tabel!O408))</f>
        <v/>
      </c>
      <c r="E405" s="22" t="str">
        <f>IF(Tabel!P408="","",Tabel!T408)</f>
        <v/>
      </c>
      <c r="F405" s="11" t="str">
        <f>IF(Tabel!P408="","",IF(Tabel!U408="","",Tabel!P408))</f>
        <v/>
      </c>
    </row>
    <row r="406" spans="1:6" x14ac:dyDescent="0.25">
      <c r="A406" s="22" t="str">
        <f>IF(Tabel!N409="","",Tabel!Q409)</f>
        <v/>
      </c>
      <c r="B406" s="11" t="str">
        <f>IF(Tabel!N409="","",IF(Tabel!Q409="","",Tabel!N409))</f>
        <v/>
      </c>
      <c r="C406" s="22" t="str">
        <f>IF(Tabel!O409="","",Tabel!S409)</f>
        <v/>
      </c>
      <c r="D406" s="11" t="str">
        <f>IF(Tabel!O409="","",IF(Tabel!S409="","",Tabel!O409))</f>
        <v/>
      </c>
      <c r="E406" s="22" t="str">
        <f>IF(Tabel!P409="","",Tabel!T409)</f>
        <v/>
      </c>
      <c r="F406" s="11" t="str">
        <f>IF(Tabel!P409="","",IF(Tabel!U409="","",Tabel!P409))</f>
        <v/>
      </c>
    </row>
    <row r="407" spans="1:6" x14ac:dyDescent="0.25">
      <c r="A407" s="22" t="str">
        <f>IF(Tabel!N410="","",Tabel!Q410)</f>
        <v/>
      </c>
      <c r="B407" s="11" t="str">
        <f>IF(Tabel!N410="","",IF(Tabel!Q410="","",Tabel!N410))</f>
        <v/>
      </c>
      <c r="C407" s="22" t="str">
        <f>IF(Tabel!O410="","",Tabel!S410)</f>
        <v/>
      </c>
      <c r="D407" s="11" t="str">
        <f>IF(Tabel!O410="","",IF(Tabel!S410="","",Tabel!O410))</f>
        <v/>
      </c>
      <c r="E407" s="22" t="str">
        <f>IF(Tabel!P410="","",Tabel!T410)</f>
        <v/>
      </c>
      <c r="F407" s="11" t="str">
        <f>IF(Tabel!P410="","",IF(Tabel!U410="","",Tabel!P410))</f>
        <v/>
      </c>
    </row>
    <row r="408" spans="1:6" x14ac:dyDescent="0.25">
      <c r="A408" s="22" t="str">
        <f>IF(Tabel!N411="","",Tabel!Q411)</f>
        <v/>
      </c>
      <c r="B408" s="11" t="str">
        <f>IF(Tabel!N411="","",IF(Tabel!Q411="","",Tabel!N411))</f>
        <v/>
      </c>
      <c r="C408" s="22" t="str">
        <f>IF(Tabel!O411="","",Tabel!S411)</f>
        <v/>
      </c>
      <c r="D408" s="11" t="str">
        <f>IF(Tabel!O411="","",IF(Tabel!S411="","",Tabel!O411))</f>
        <v/>
      </c>
      <c r="E408" s="22" t="str">
        <f>IF(Tabel!P411="","",Tabel!T411)</f>
        <v/>
      </c>
      <c r="F408" s="11" t="str">
        <f>IF(Tabel!P411="","",IF(Tabel!U411="","",Tabel!P411))</f>
        <v/>
      </c>
    </row>
    <row r="409" spans="1:6" x14ac:dyDescent="0.25">
      <c r="A409" s="22" t="str">
        <f>IF(Tabel!N412="","",Tabel!Q412)</f>
        <v/>
      </c>
      <c r="B409" s="11" t="str">
        <f>IF(Tabel!N412="","",IF(Tabel!Q412="","",Tabel!N412))</f>
        <v/>
      </c>
      <c r="C409" s="22" t="str">
        <f>IF(Tabel!O412="","",Tabel!S412)</f>
        <v/>
      </c>
      <c r="D409" s="11" t="str">
        <f>IF(Tabel!O412="","",IF(Tabel!S412="","",Tabel!O412))</f>
        <v/>
      </c>
      <c r="E409" s="22" t="str">
        <f>IF(Tabel!P412="","",Tabel!T412)</f>
        <v/>
      </c>
      <c r="F409" s="11" t="str">
        <f>IF(Tabel!P412="","",IF(Tabel!U412="","",Tabel!P412))</f>
        <v/>
      </c>
    </row>
    <row r="410" spans="1:6" x14ac:dyDescent="0.25">
      <c r="A410" s="22" t="str">
        <f>IF(Tabel!N413="","",Tabel!Q413)</f>
        <v/>
      </c>
      <c r="B410" s="11" t="str">
        <f>IF(Tabel!N413="","",IF(Tabel!Q413="","",Tabel!N413))</f>
        <v/>
      </c>
      <c r="C410" s="22" t="str">
        <f>IF(Tabel!O413="","",Tabel!S413)</f>
        <v/>
      </c>
      <c r="D410" s="11" t="str">
        <f>IF(Tabel!O413="","",IF(Tabel!S413="","",Tabel!O413))</f>
        <v/>
      </c>
      <c r="E410" s="22" t="str">
        <f>IF(Tabel!P413="","",Tabel!T413)</f>
        <v/>
      </c>
      <c r="F410" s="11" t="str">
        <f>IF(Tabel!P413="","",IF(Tabel!U413="","",Tabel!P413))</f>
        <v/>
      </c>
    </row>
    <row r="411" spans="1:6" x14ac:dyDescent="0.25">
      <c r="A411" s="22" t="str">
        <f>IF(Tabel!N414="","",Tabel!Q414)</f>
        <v/>
      </c>
      <c r="B411" s="11" t="str">
        <f>IF(Tabel!N414="","",IF(Tabel!Q414="","",Tabel!N414))</f>
        <v/>
      </c>
      <c r="C411" s="22" t="str">
        <f>IF(Tabel!O414="","",Tabel!S414)</f>
        <v/>
      </c>
      <c r="D411" s="11" t="str">
        <f>IF(Tabel!O414="","",IF(Tabel!S414="","",Tabel!O414))</f>
        <v/>
      </c>
      <c r="E411" s="22" t="str">
        <f>IF(Tabel!P414="","",Tabel!T414)</f>
        <v/>
      </c>
      <c r="F411" s="11" t="str">
        <f>IF(Tabel!P414="","",IF(Tabel!U414="","",Tabel!P414))</f>
        <v/>
      </c>
    </row>
    <row r="412" spans="1:6" x14ac:dyDescent="0.25">
      <c r="A412" s="22" t="str">
        <f>IF(Tabel!N415="","",Tabel!Q415)</f>
        <v/>
      </c>
      <c r="B412" s="11" t="str">
        <f>IF(Tabel!N415="","",IF(Tabel!Q415="","",Tabel!N415))</f>
        <v/>
      </c>
      <c r="C412" s="22" t="str">
        <f>IF(Tabel!O415="","",Tabel!S415)</f>
        <v/>
      </c>
      <c r="D412" s="11" t="str">
        <f>IF(Tabel!O415="","",IF(Tabel!S415="","",Tabel!O415))</f>
        <v/>
      </c>
      <c r="E412" s="22" t="str">
        <f>IF(Tabel!P415="","",Tabel!T415)</f>
        <v/>
      </c>
      <c r="F412" s="11" t="str">
        <f>IF(Tabel!P415="","",IF(Tabel!U415="","",Tabel!P415))</f>
        <v/>
      </c>
    </row>
    <row r="413" spans="1:6" x14ac:dyDescent="0.25">
      <c r="A413" s="22" t="str">
        <f>IF(Tabel!N416="","",Tabel!Q416)</f>
        <v/>
      </c>
      <c r="B413" s="11" t="str">
        <f>IF(Tabel!N416="","",IF(Tabel!Q416="","",Tabel!N416))</f>
        <v/>
      </c>
      <c r="C413" s="22" t="str">
        <f>IF(Tabel!O416="","",Tabel!S416)</f>
        <v/>
      </c>
      <c r="D413" s="11" t="str">
        <f>IF(Tabel!O416="","",IF(Tabel!S416="","",Tabel!O416))</f>
        <v/>
      </c>
      <c r="E413" s="22" t="str">
        <f>IF(Tabel!P416="","",Tabel!T416)</f>
        <v/>
      </c>
      <c r="F413" s="11" t="str">
        <f>IF(Tabel!P416="","",IF(Tabel!U416="","",Tabel!P416))</f>
        <v/>
      </c>
    </row>
    <row r="414" spans="1:6" x14ac:dyDescent="0.25">
      <c r="A414" s="22" t="str">
        <f>IF(Tabel!N417="","",Tabel!Q417)</f>
        <v/>
      </c>
      <c r="B414" s="11" t="str">
        <f>IF(Tabel!N417="","",IF(Tabel!Q417="","",Tabel!N417))</f>
        <v/>
      </c>
      <c r="C414" s="22" t="str">
        <f>IF(Tabel!O417="","",Tabel!S417)</f>
        <v/>
      </c>
      <c r="D414" s="11" t="str">
        <f>IF(Tabel!O417="","",IF(Tabel!S417="","",Tabel!O417))</f>
        <v/>
      </c>
      <c r="E414" s="22" t="str">
        <f>IF(Tabel!P417="","",Tabel!T417)</f>
        <v/>
      </c>
      <c r="F414" s="11" t="str">
        <f>IF(Tabel!P417="","",IF(Tabel!U417="","",Tabel!P417))</f>
        <v/>
      </c>
    </row>
    <row r="415" spans="1:6" x14ac:dyDescent="0.25">
      <c r="A415" s="22" t="str">
        <f>IF(Tabel!N418="","",Tabel!Q418)</f>
        <v/>
      </c>
      <c r="B415" s="11" t="str">
        <f>IF(Tabel!N418="","",IF(Tabel!Q418="","",Tabel!N418))</f>
        <v/>
      </c>
      <c r="C415" s="22" t="str">
        <f>IF(Tabel!O418="","",Tabel!S418)</f>
        <v/>
      </c>
      <c r="D415" s="11" t="str">
        <f>IF(Tabel!O418="","",IF(Tabel!S418="","",Tabel!O418))</f>
        <v/>
      </c>
      <c r="E415" s="22" t="str">
        <f>IF(Tabel!P418="","",Tabel!T418)</f>
        <v/>
      </c>
      <c r="F415" s="11" t="str">
        <f>IF(Tabel!P418="","",IF(Tabel!U418="","",Tabel!P418))</f>
        <v/>
      </c>
    </row>
    <row r="416" spans="1:6" x14ac:dyDescent="0.25">
      <c r="A416" s="22" t="str">
        <f>IF(Tabel!N419="","",Tabel!Q419)</f>
        <v/>
      </c>
      <c r="B416" s="11" t="str">
        <f>IF(Tabel!N419="","",IF(Tabel!Q419="","",Tabel!N419))</f>
        <v/>
      </c>
      <c r="C416" s="22" t="str">
        <f>IF(Tabel!O419="","",Tabel!S419)</f>
        <v/>
      </c>
      <c r="D416" s="11" t="str">
        <f>IF(Tabel!O419="","",IF(Tabel!S419="","",Tabel!O419))</f>
        <v/>
      </c>
      <c r="E416" s="22" t="str">
        <f>IF(Tabel!P419="","",Tabel!T419)</f>
        <v/>
      </c>
      <c r="F416" s="11" t="str">
        <f>IF(Tabel!P419="","",IF(Tabel!U419="","",Tabel!P419))</f>
        <v/>
      </c>
    </row>
    <row r="417" spans="1:6" x14ac:dyDescent="0.25">
      <c r="A417" s="22" t="str">
        <f>IF(Tabel!N420="","",Tabel!Q420)</f>
        <v/>
      </c>
      <c r="B417" s="11" t="str">
        <f>IF(Tabel!N420="","",IF(Tabel!Q420="","",Tabel!N420))</f>
        <v/>
      </c>
      <c r="C417" s="22" t="str">
        <f>IF(Tabel!O420="","",Tabel!S420)</f>
        <v/>
      </c>
      <c r="D417" s="11" t="str">
        <f>IF(Tabel!O420="","",IF(Tabel!S420="","",Tabel!O420))</f>
        <v/>
      </c>
      <c r="E417" s="22" t="str">
        <f>IF(Tabel!P420="","",Tabel!T420)</f>
        <v/>
      </c>
      <c r="F417" s="11" t="str">
        <f>IF(Tabel!P420="","",IF(Tabel!U420="","",Tabel!P420))</f>
        <v/>
      </c>
    </row>
    <row r="418" spans="1:6" x14ac:dyDescent="0.25">
      <c r="A418" s="22" t="str">
        <f>IF(Tabel!N421="","",Tabel!Q421)</f>
        <v/>
      </c>
      <c r="B418" s="11" t="str">
        <f>IF(Tabel!N421="","",IF(Tabel!Q421="","",Tabel!N421))</f>
        <v/>
      </c>
      <c r="C418" s="22" t="str">
        <f>IF(Tabel!O421="","",Tabel!S421)</f>
        <v/>
      </c>
      <c r="D418" s="11" t="str">
        <f>IF(Tabel!O421="","",IF(Tabel!S421="","",Tabel!O421))</f>
        <v/>
      </c>
      <c r="E418" s="22" t="str">
        <f>IF(Tabel!P421="","",Tabel!T421)</f>
        <v/>
      </c>
      <c r="F418" s="11" t="str">
        <f>IF(Tabel!P421="","",IF(Tabel!U421="","",Tabel!P421))</f>
        <v/>
      </c>
    </row>
    <row r="419" spans="1:6" x14ac:dyDescent="0.25">
      <c r="A419" s="22" t="str">
        <f>IF(Tabel!N422="","",Tabel!Q422)</f>
        <v/>
      </c>
      <c r="B419" s="11" t="str">
        <f>IF(Tabel!N422="","",IF(Tabel!Q422="","",Tabel!N422))</f>
        <v/>
      </c>
      <c r="C419" s="22" t="str">
        <f>IF(Tabel!O422="","",Tabel!S422)</f>
        <v/>
      </c>
      <c r="D419" s="11" t="str">
        <f>IF(Tabel!O422="","",IF(Tabel!S422="","",Tabel!O422))</f>
        <v/>
      </c>
      <c r="E419" s="22" t="str">
        <f>IF(Tabel!P422="","",Tabel!T422)</f>
        <v/>
      </c>
      <c r="F419" s="11" t="str">
        <f>IF(Tabel!P422="","",IF(Tabel!U422="","",Tabel!P422))</f>
        <v/>
      </c>
    </row>
    <row r="420" spans="1:6" x14ac:dyDescent="0.25">
      <c r="A420" s="22" t="str">
        <f>IF(Tabel!N423="","",Tabel!Q423)</f>
        <v/>
      </c>
      <c r="B420" s="11" t="str">
        <f>IF(Tabel!N423="","",IF(Tabel!Q423="","",Tabel!N423))</f>
        <v/>
      </c>
      <c r="C420" s="22" t="str">
        <f>IF(Tabel!O423="","",Tabel!S423)</f>
        <v/>
      </c>
      <c r="D420" s="11" t="str">
        <f>IF(Tabel!O423="","",IF(Tabel!S423="","",Tabel!O423))</f>
        <v/>
      </c>
      <c r="E420" s="22" t="str">
        <f>IF(Tabel!P423="","",Tabel!T423)</f>
        <v/>
      </c>
      <c r="F420" s="11" t="str">
        <f>IF(Tabel!P423="","",IF(Tabel!U423="","",Tabel!P423))</f>
        <v/>
      </c>
    </row>
    <row r="421" spans="1:6" x14ac:dyDescent="0.25">
      <c r="A421" s="22" t="str">
        <f>IF(Tabel!N424="","",Tabel!Q424)</f>
        <v/>
      </c>
      <c r="B421" s="11" t="str">
        <f>IF(Tabel!N424="","",IF(Tabel!Q424="","",Tabel!N424))</f>
        <v/>
      </c>
      <c r="C421" s="22" t="str">
        <f>IF(Tabel!O424="","",Tabel!S424)</f>
        <v/>
      </c>
      <c r="D421" s="11" t="str">
        <f>IF(Tabel!O424="","",IF(Tabel!S424="","",Tabel!O424))</f>
        <v/>
      </c>
      <c r="E421" s="22" t="str">
        <f>IF(Tabel!P424="","",Tabel!T424)</f>
        <v/>
      </c>
      <c r="F421" s="11" t="str">
        <f>IF(Tabel!P424="","",IF(Tabel!U424="","",Tabel!P424))</f>
        <v/>
      </c>
    </row>
    <row r="422" spans="1:6" x14ac:dyDescent="0.25">
      <c r="A422" s="22" t="str">
        <f>IF(Tabel!N425="","",Tabel!Q425)</f>
        <v/>
      </c>
      <c r="B422" s="11" t="str">
        <f>IF(Tabel!N425="","",IF(Tabel!Q425="","",Tabel!N425))</f>
        <v/>
      </c>
      <c r="C422" s="22" t="str">
        <f>IF(Tabel!O425="","",Tabel!S425)</f>
        <v/>
      </c>
      <c r="D422" s="11" t="str">
        <f>IF(Tabel!O425="","",IF(Tabel!S425="","",Tabel!O425))</f>
        <v/>
      </c>
      <c r="E422" s="22" t="str">
        <f>IF(Tabel!P425="","",Tabel!T425)</f>
        <v/>
      </c>
      <c r="F422" s="11" t="str">
        <f>IF(Tabel!P425="","",IF(Tabel!U425="","",Tabel!P425))</f>
        <v/>
      </c>
    </row>
    <row r="423" spans="1:6" x14ac:dyDescent="0.25">
      <c r="A423" s="22" t="str">
        <f>IF(Tabel!N426="","",Tabel!Q426)</f>
        <v/>
      </c>
      <c r="B423" s="11" t="str">
        <f>IF(Tabel!N426="","",IF(Tabel!Q426="","",Tabel!N426))</f>
        <v/>
      </c>
      <c r="C423" s="22" t="str">
        <f>IF(Tabel!O426="","",Tabel!S426)</f>
        <v/>
      </c>
      <c r="D423" s="11" t="str">
        <f>IF(Tabel!O426="","",IF(Tabel!S426="","",Tabel!O426))</f>
        <v/>
      </c>
      <c r="E423" s="22" t="str">
        <f>IF(Tabel!P426="","",Tabel!T426)</f>
        <v/>
      </c>
      <c r="F423" s="11" t="str">
        <f>IF(Tabel!P426="","",IF(Tabel!U426="","",Tabel!P426))</f>
        <v/>
      </c>
    </row>
    <row r="424" spans="1:6" x14ac:dyDescent="0.25">
      <c r="A424" s="22" t="str">
        <f>IF(Tabel!N427="","",Tabel!Q427)</f>
        <v/>
      </c>
      <c r="B424" s="11" t="str">
        <f>IF(Tabel!N427="","",IF(Tabel!Q427="","",Tabel!N427))</f>
        <v/>
      </c>
      <c r="C424" s="22" t="str">
        <f>IF(Tabel!O427="","",Tabel!S427)</f>
        <v/>
      </c>
      <c r="D424" s="11" t="str">
        <f>IF(Tabel!O427="","",IF(Tabel!S427="","",Tabel!O427))</f>
        <v/>
      </c>
      <c r="E424" s="22" t="str">
        <f>IF(Tabel!P427="","",Tabel!T427)</f>
        <v/>
      </c>
      <c r="F424" s="11" t="str">
        <f>IF(Tabel!P427="","",IF(Tabel!U427="","",Tabel!P427))</f>
        <v/>
      </c>
    </row>
    <row r="425" spans="1:6" x14ac:dyDescent="0.25">
      <c r="A425" s="22" t="str">
        <f>IF(Tabel!N428="","",Tabel!Q428)</f>
        <v/>
      </c>
      <c r="B425" s="11" t="str">
        <f>IF(Tabel!N428="","",IF(Tabel!Q428="","",Tabel!N428))</f>
        <v/>
      </c>
      <c r="C425" s="22" t="str">
        <f>IF(Tabel!O428="","",Tabel!S428)</f>
        <v/>
      </c>
      <c r="D425" s="11" t="str">
        <f>IF(Tabel!O428="","",IF(Tabel!S428="","",Tabel!O428))</f>
        <v/>
      </c>
      <c r="E425" s="22" t="str">
        <f>IF(Tabel!P428="","",Tabel!T428)</f>
        <v/>
      </c>
      <c r="F425" s="11" t="str">
        <f>IF(Tabel!P428="","",IF(Tabel!U428="","",Tabel!P428))</f>
        <v/>
      </c>
    </row>
    <row r="426" spans="1:6" x14ac:dyDescent="0.25">
      <c r="A426" s="22" t="str">
        <f>IF(Tabel!N429="","",Tabel!Q429)</f>
        <v/>
      </c>
      <c r="B426" s="11" t="str">
        <f>IF(Tabel!N429="","",IF(Tabel!Q429="","",Tabel!N429))</f>
        <v/>
      </c>
      <c r="C426" s="22" t="str">
        <f>IF(Tabel!O429="","",Tabel!S429)</f>
        <v/>
      </c>
      <c r="D426" s="11" t="str">
        <f>IF(Tabel!O429="","",IF(Tabel!S429="","",Tabel!O429))</f>
        <v/>
      </c>
      <c r="E426" s="22" t="str">
        <f>IF(Tabel!P429="","",Tabel!T429)</f>
        <v/>
      </c>
      <c r="F426" s="11" t="str">
        <f>IF(Tabel!P429="","",IF(Tabel!U429="","",Tabel!P429))</f>
        <v/>
      </c>
    </row>
    <row r="427" spans="1:6" x14ac:dyDescent="0.25">
      <c r="A427" s="22" t="str">
        <f>IF(Tabel!N430="","",Tabel!Q430)</f>
        <v/>
      </c>
      <c r="B427" s="11" t="str">
        <f>IF(Tabel!N430="","",IF(Tabel!Q430="","",Tabel!N430))</f>
        <v/>
      </c>
      <c r="C427" s="22" t="str">
        <f>IF(Tabel!O430="","",Tabel!S430)</f>
        <v/>
      </c>
      <c r="D427" s="11" t="str">
        <f>IF(Tabel!O430="","",IF(Tabel!S430="","",Tabel!O430))</f>
        <v/>
      </c>
      <c r="E427" s="22" t="str">
        <f>IF(Tabel!P430="","",Tabel!T430)</f>
        <v/>
      </c>
      <c r="F427" s="11" t="str">
        <f>IF(Tabel!P430="","",IF(Tabel!U430="","",Tabel!P430))</f>
        <v/>
      </c>
    </row>
    <row r="428" spans="1:6" x14ac:dyDescent="0.25">
      <c r="A428" s="22" t="str">
        <f>IF(Tabel!N431="","",Tabel!Q431)</f>
        <v/>
      </c>
      <c r="B428" s="11" t="str">
        <f>IF(Tabel!N431="","",IF(Tabel!Q431="","",Tabel!N431))</f>
        <v/>
      </c>
      <c r="C428" s="22" t="str">
        <f>IF(Tabel!O431="","",Tabel!S431)</f>
        <v/>
      </c>
      <c r="D428" s="11" t="str">
        <f>IF(Tabel!O431="","",IF(Tabel!S431="","",Tabel!O431))</f>
        <v/>
      </c>
      <c r="E428" s="22" t="str">
        <f>IF(Tabel!P431="","",Tabel!T431)</f>
        <v/>
      </c>
      <c r="F428" s="11" t="str">
        <f>IF(Tabel!P431="","",IF(Tabel!U431="","",Tabel!P431))</f>
        <v/>
      </c>
    </row>
    <row r="429" spans="1:6" x14ac:dyDescent="0.25">
      <c r="A429" s="22" t="str">
        <f>IF(Tabel!N432="","",Tabel!Q432)</f>
        <v/>
      </c>
      <c r="B429" s="11" t="str">
        <f>IF(Tabel!N432="","",IF(Tabel!Q432="","",Tabel!N432))</f>
        <v/>
      </c>
      <c r="C429" s="22" t="str">
        <f>IF(Tabel!O432="","",Tabel!S432)</f>
        <v/>
      </c>
      <c r="D429" s="11" t="str">
        <f>IF(Tabel!O432="","",IF(Tabel!S432="","",Tabel!O432))</f>
        <v/>
      </c>
      <c r="E429" s="22" t="str">
        <f>IF(Tabel!P432="","",Tabel!T432)</f>
        <v/>
      </c>
      <c r="F429" s="11" t="str">
        <f>IF(Tabel!P432="","",IF(Tabel!U432="","",Tabel!P432))</f>
        <v/>
      </c>
    </row>
    <row r="430" spans="1:6" x14ac:dyDescent="0.25">
      <c r="A430" s="22" t="str">
        <f>IF(Tabel!N433="","",Tabel!Q433)</f>
        <v/>
      </c>
      <c r="B430" s="11" t="str">
        <f>IF(Tabel!N433="","",IF(Tabel!Q433="","",Tabel!N433))</f>
        <v/>
      </c>
      <c r="C430" s="22" t="str">
        <f>IF(Tabel!O433="","",Tabel!S433)</f>
        <v/>
      </c>
      <c r="D430" s="11" t="str">
        <f>IF(Tabel!O433="","",IF(Tabel!S433="","",Tabel!O433))</f>
        <v/>
      </c>
      <c r="E430" s="22" t="str">
        <f>IF(Tabel!P433="","",Tabel!T433)</f>
        <v/>
      </c>
      <c r="F430" s="11" t="str">
        <f>IF(Tabel!P433="","",IF(Tabel!U433="","",Tabel!P433))</f>
        <v/>
      </c>
    </row>
    <row r="431" spans="1:6" x14ac:dyDescent="0.25">
      <c r="A431" s="22" t="str">
        <f>IF(Tabel!N434="","",Tabel!Q434)</f>
        <v/>
      </c>
      <c r="B431" s="11" t="str">
        <f>IF(Tabel!N434="","",IF(Tabel!Q434="","",Tabel!N434))</f>
        <v/>
      </c>
      <c r="C431" s="22" t="str">
        <f>IF(Tabel!O434="","",Tabel!S434)</f>
        <v/>
      </c>
      <c r="D431" s="11" t="str">
        <f>IF(Tabel!O434="","",IF(Tabel!S434="","",Tabel!O434))</f>
        <v/>
      </c>
      <c r="E431" s="22" t="str">
        <f>IF(Tabel!P434="","",Tabel!T434)</f>
        <v/>
      </c>
      <c r="F431" s="11" t="str">
        <f>IF(Tabel!P434="","",IF(Tabel!U434="","",Tabel!P434))</f>
        <v/>
      </c>
    </row>
    <row r="432" spans="1:6" x14ac:dyDescent="0.25">
      <c r="A432" s="22" t="str">
        <f>IF(Tabel!N435="","",Tabel!Q435)</f>
        <v/>
      </c>
      <c r="B432" s="11" t="str">
        <f>IF(Tabel!N435="","",IF(Tabel!Q435="","",Tabel!N435))</f>
        <v/>
      </c>
      <c r="C432" s="22" t="str">
        <f>IF(Tabel!O435="","",Tabel!S435)</f>
        <v/>
      </c>
      <c r="D432" s="11" t="str">
        <f>IF(Tabel!O435="","",IF(Tabel!S435="","",Tabel!O435))</f>
        <v/>
      </c>
      <c r="E432" s="22" t="str">
        <f>IF(Tabel!P435="","",Tabel!T435)</f>
        <v/>
      </c>
      <c r="F432" s="11" t="str">
        <f>IF(Tabel!P435="","",IF(Tabel!U435="","",Tabel!P435))</f>
        <v/>
      </c>
    </row>
    <row r="433" spans="1:6" x14ac:dyDescent="0.25">
      <c r="A433" s="22" t="str">
        <f>IF(Tabel!N436="","",Tabel!Q436)</f>
        <v/>
      </c>
      <c r="B433" s="11" t="str">
        <f>IF(Tabel!N436="","",IF(Tabel!Q436="","",Tabel!N436))</f>
        <v/>
      </c>
      <c r="C433" s="22" t="str">
        <f>IF(Tabel!O436="","",Tabel!S436)</f>
        <v/>
      </c>
      <c r="D433" s="11" t="str">
        <f>IF(Tabel!O436="","",IF(Tabel!S436="","",Tabel!O436))</f>
        <v/>
      </c>
      <c r="E433" s="22" t="str">
        <f>IF(Tabel!P436="","",Tabel!T436)</f>
        <v/>
      </c>
      <c r="F433" s="11" t="str">
        <f>IF(Tabel!P436="","",IF(Tabel!U436="","",Tabel!P436))</f>
        <v/>
      </c>
    </row>
    <row r="434" spans="1:6" x14ac:dyDescent="0.25">
      <c r="A434" s="22" t="str">
        <f>IF(Tabel!N437="","",Tabel!Q437)</f>
        <v/>
      </c>
      <c r="B434" s="11" t="str">
        <f>IF(Tabel!N437="","",IF(Tabel!Q437="","",Tabel!N437))</f>
        <v/>
      </c>
      <c r="C434" s="22" t="str">
        <f>IF(Tabel!O437="","",Tabel!S437)</f>
        <v/>
      </c>
      <c r="D434" s="11" t="str">
        <f>IF(Tabel!O437="","",IF(Tabel!S437="","",Tabel!O437))</f>
        <v/>
      </c>
      <c r="E434" s="22" t="str">
        <f>IF(Tabel!P437="","",Tabel!T437)</f>
        <v/>
      </c>
      <c r="F434" s="11" t="str">
        <f>IF(Tabel!P437="","",IF(Tabel!U437="","",Tabel!P437))</f>
        <v/>
      </c>
    </row>
    <row r="435" spans="1:6" x14ac:dyDescent="0.25">
      <c r="A435" s="22" t="str">
        <f>IF(Tabel!N438="","",Tabel!Q438)</f>
        <v/>
      </c>
      <c r="B435" s="11" t="str">
        <f>IF(Tabel!N438="","",IF(Tabel!Q438="","",Tabel!N438))</f>
        <v/>
      </c>
      <c r="C435" s="22" t="str">
        <f>IF(Tabel!O438="","",Tabel!S438)</f>
        <v/>
      </c>
      <c r="D435" s="11" t="str">
        <f>IF(Tabel!O438="","",IF(Tabel!S438="","",Tabel!O438))</f>
        <v/>
      </c>
      <c r="E435" s="22" t="str">
        <f>IF(Tabel!P438="","",Tabel!T438)</f>
        <v/>
      </c>
      <c r="F435" s="11" t="str">
        <f>IF(Tabel!P438="","",IF(Tabel!U438="","",Tabel!P438))</f>
        <v/>
      </c>
    </row>
    <row r="436" spans="1:6" x14ac:dyDescent="0.25">
      <c r="A436" s="22" t="str">
        <f>IF(Tabel!N439="","",Tabel!Q439)</f>
        <v/>
      </c>
      <c r="B436" s="11" t="str">
        <f>IF(Tabel!N439="","",IF(Tabel!Q439="","",Tabel!N439))</f>
        <v/>
      </c>
      <c r="C436" s="22" t="str">
        <f>IF(Tabel!O439="","",Tabel!S439)</f>
        <v/>
      </c>
      <c r="D436" s="11" t="str">
        <f>IF(Tabel!O439="","",IF(Tabel!S439="","",Tabel!O439))</f>
        <v/>
      </c>
      <c r="E436" s="22" t="str">
        <f>IF(Tabel!P439="","",Tabel!T439)</f>
        <v/>
      </c>
      <c r="F436" s="11" t="str">
        <f>IF(Tabel!P439="","",IF(Tabel!U439="","",Tabel!P439))</f>
        <v/>
      </c>
    </row>
    <row r="437" spans="1:6" x14ac:dyDescent="0.25">
      <c r="A437" s="22" t="str">
        <f>IF(Tabel!N440="","",Tabel!Q440)</f>
        <v/>
      </c>
      <c r="B437" s="11" t="str">
        <f>IF(Tabel!N440="","",IF(Tabel!Q440="","",Tabel!N440))</f>
        <v/>
      </c>
      <c r="C437" s="22" t="str">
        <f>IF(Tabel!O440="","",Tabel!S440)</f>
        <v/>
      </c>
      <c r="D437" s="11" t="str">
        <f>IF(Tabel!O440="","",IF(Tabel!S440="","",Tabel!O440))</f>
        <v/>
      </c>
      <c r="E437" s="22" t="str">
        <f>IF(Tabel!P440="","",Tabel!T440)</f>
        <v/>
      </c>
      <c r="F437" s="11" t="str">
        <f>IF(Tabel!P440="","",IF(Tabel!U440="","",Tabel!P440))</f>
        <v/>
      </c>
    </row>
    <row r="438" spans="1:6" x14ac:dyDescent="0.25">
      <c r="A438" s="22" t="str">
        <f>IF(Tabel!N441="","",Tabel!Q441)</f>
        <v/>
      </c>
      <c r="B438" s="11" t="str">
        <f>IF(Tabel!N441="","",IF(Tabel!Q441="","",Tabel!N441))</f>
        <v/>
      </c>
      <c r="C438" s="22" t="str">
        <f>IF(Tabel!O441="","",Tabel!S441)</f>
        <v/>
      </c>
      <c r="D438" s="11" t="str">
        <f>IF(Tabel!O441="","",IF(Tabel!S441="","",Tabel!O441))</f>
        <v/>
      </c>
      <c r="E438" s="22" t="str">
        <f>IF(Tabel!P441="","",Tabel!T441)</f>
        <v/>
      </c>
      <c r="F438" s="11" t="str">
        <f>IF(Tabel!P441="","",IF(Tabel!U441="","",Tabel!P441))</f>
        <v/>
      </c>
    </row>
    <row r="439" spans="1:6" x14ac:dyDescent="0.25">
      <c r="A439" s="22" t="str">
        <f>IF(Tabel!N442="","",Tabel!Q442)</f>
        <v/>
      </c>
      <c r="B439" s="11" t="str">
        <f>IF(Tabel!N442="","",IF(Tabel!Q442="","",Tabel!N442))</f>
        <v/>
      </c>
      <c r="C439" s="22" t="str">
        <f>IF(Tabel!O442="","",Tabel!S442)</f>
        <v/>
      </c>
      <c r="D439" s="11" t="str">
        <f>IF(Tabel!O442="","",IF(Tabel!S442="","",Tabel!O442))</f>
        <v/>
      </c>
      <c r="E439" s="22" t="str">
        <f>IF(Tabel!P442="","",Tabel!T442)</f>
        <v/>
      </c>
      <c r="F439" s="11" t="str">
        <f>IF(Tabel!P442="","",IF(Tabel!U442="","",Tabel!P442))</f>
        <v/>
      </c>
    </row>
    <row r="440" spans="1:6" x14ac:dyDescent="0.25">
      <c r="A440" s="22" t="str">
        <f>IF(Tabel!N443="","",Tabel!Q443)</f>
        <v/>
      </c>
      <c r="B440" s="11" t="str">
        <f>IF(Tabel!N443="","",IF(Tabel!Q443="","",Tabel!N443))</f>
        <v/>
      </c>
      <c r="C440" s="22" t="str">
        <f>IF(Tabel!O443="","",Tabel!S443)</f>
        <v/>
      </c>
      <c r="D440" s="11" t="str">
        <f>IF(Tabel!O443="","",IF(Tabel!S443="","",Tabel!O443))</f>
        <v/>
      </c>
      <c r="E440" s="22" t="str">
        <f>IF(Tabel!P443="","",Tabel!T443)</f>
        <v/>
      </c>
      <c r="F440" s="11" t="str">
        <f>IF(Tabel!P443="","",IF(Tabel!U443="","",Tabel!P443))</f>
        <v/>
      </c>
    </row>
    <row r="441" spans="1:6" x14ac:dyDescent="0.25">
      <c r="A441" s="22" t="str">
        <f>IF(Tabel!N444="","",Tabel!Q444)</f>
        <v/>
      </c>
      <c r="B441" s="11" t="str">
        <f>IF(Tabel!N444="","",IF(Tabel!Q444="","",Tabel!N444))</f>
        <v/>
      </c>
      <c r="C441" s="22" t="str">
        <f>IF(Tabel!O444="","",Tabel!S444)</f>
        <v/>
      </c>
      <c r="D441" s="11" t="str">
        <f>IF(Tabel!O444="","",IF(Tabel!S444="","",Tabel!O444))</f>
        <v/>
      </c>
      <c r="E441" s="22" t="str">
        <f>IF(Tabel!P444="","",Tabel!T444)</f>
        <v/>
      </c>
      <c r="F441" s="11" t="str">
        <f>IF(Tabel!P444="","",IF(Tabel!U444="","",Tabel!P444))</f>
        <v/>
      </c>
    </row>
    <row r="442" spans="1:6" x14ac:dyDescent="0.25">
      <c r="A442" s="22" t="str">
        <f>IF(Tabel!N445="","",Tabel!Q445)</f>
        <v/>
      </c>
      <c r="B442" s="11" t="str">
        <f>IF(Tabel!N445="","",IF(Tabel!Q445="","",Tabel!N445))</f>
        <v/>
      </c>
      <c r="C442" s="22" t="str">
        <f>IF(Tabel!O445="","",Tabel!S445)</f>
        <v/>
      </c>
      <c r="D442" s="11" t="str">
        <f>IF(Tabel!O445="","",IF(Tabel!S445="","",Tabel!O445))</f>
        <v/>
      </c>
      <c r="E442" s="22" t="str">
        <f>IF(Tabel!P445="","",Tabel!T445)</f>
        <v/>
      </c>
      <c r="F442" s="11" t="str">
        <f>IF(Tabel!P445="","",IF(Tabel!U445="","",Tabel!P445))</f>
        <v/>
      </c>
    </row>
    <row r="443" spans="1:6" x14ac:dyDescent="0.25">
      <c r="A443" s="22" t="str">
        <f>IF(Tabel!N446="","",Tabel!Q446)</f>
        <v/>
      </c>
      <c r="B443" s="11" t="str">
        <f>IF(Tabel!N446="","",IF(Tabel!Q446="","",Tabel!N446))</f>
        <v/>
      </c>
      <c r="C443" s="22" t="str">
        <f>IF(Tabel!O446="","",Tabel!S446)</f>
        <v/>
      </c>
      <c r="D443" s="11" t="str">
        <f>IF(Tabel!O446="","",IF(Tabel!S446="","",Tabel!O446))</f>
        <v/>
      </c>
      <c r="E443" s="22" t="str">
        <f>IF(Tabel!P446="","",Tabel!T446)</f>
        <v/>
      </c>
      <c r="F443" s="11" t="str">
        <f>IF(Tabel!P446="","",IF(Tabel!U446="","",Tabel!P446))</f>
        <v/>
      </c>
    </row>
    <row r="444" spans="1:6" x14ac:dyDescent="0.25">
      <c r="A444" s="22" t="str">
        <f>IF(Tabel!N447="","",Tabel!Q447)</f>
        <v/>
      </c>
      <c r="B444" s="11" t="str">
        <f>IF(Tabel!N447="","",IF(Tabel!Q447="","",Tabel!N447))</f>
        <v/>
      </c>
      <c r="C444" s="22" t="str">
        <f>IF(Tabel!O447="","",Tabel!S447)</f>
        <v/>
      </c>
      <c r="D444" s="11" t="str">
        <f>IF(Tabel!O447="","",IF(Tabel!S447="","",Tabel!O447))</f>
        <v/>
      </c>
      <c r="E444" s="22" t="str">
        <f>IF(Tabel!P447="","",Tabel!T447)</f>
        <v/>
      </c>
      <c r="F444" s="11" t="str">
        <f>IF(Tabel!P447="","",IF(Tabel!U447="","",Tabel!P447))</f>
        <v/>
      </c>
    </row>
    <row r="445" spans="1:6" x14ac:dyDescent="0.25">
      <c r="A445" s="22" t="str">
        <f>IF(Tabel!N448="","",Tabel!Q448)</f>
        <v/>
      </c>
      <c r="B445" s="11" t="str">
        <f>IF(Tabel!N448="","",IF(Tabel!Q448="","",Tabel!N448))</f>
        <v/>
      </c>
      <c r="C445" s="22" t="str">
        <f>IF(Tabel!O448="","",Tabel!S448)</f>
        <v/>
      </c>
      <c r="D445" s="11" t="str">
        <f>IF(Tabel!O448="","",IF(Tabel!S448="","",Tabel!O448))</f>
        <v/>
      </c>
      <c r="E445" s="22" t="str">
        <f>IF(Tabel!P448="","",Tabel!T448)</f>
        <v/>
      </c>
      <c r="F445" s="11" t="str">
        <f>IF(Tabel!P448="","",IF(Tabel!U448="","",Tabel!P448))</f>
        <v/>
      </c>
    </row>
    <row r="446" spans="1:6" x14ac:dyDescent="0.25">
      <c r="A446" s="22" t="str">
        <f>IF(Tabel!N449="","",Tabel!Q449)</f>
        <v/>
      </c>
      <c r="B446" s="11" t="str">
        <f>IF(Tabel!N449="","",IF(Tabel!Q449="","",Tabel!N449))</f>
        <v/>
      </c>
      <c r="C446" s="22" t="str">
        <f>IF(Tabel!O449="","",Tabel!S449)</f>
        <v/>
      </c>
      <c r="D446" s="11" t="str">
        <f>IF(Tabel!O449="","",IF(Tabel!S449="","",Tabel!O449))</f>
        <v/>
      </c>
      <c r="E446" s="22" t="str">
        <f>IF(Tabel!P449="","",Tabel!T449)</f>
        <v/>
      </c>
      <c r="F446" s="11" t="str">
        <f>IF(Tabel!P449="","",IF(Tabel!U449="","",Tabel!P449))</f>
        <v/>
      </c>
    </row>
    <row r="447" spans="1:6" x14ac:dyDescent="0.25">
      <c r="A447" s="22" t="str">
        <f>IF(Tabel!N450="","",Tabel!Q450)</f>
        <v/>
      </c>
      <c r="B447" s="11" t="str">
        <f>IF(Tabel!N450="","",IF(Tabel!Q450="","",Tabel!N450))</f>
        <v/>
      </c>
      <c r="C447" s="22" t="str">
        <f>IF(Tabel!O450="","",Tabel!S450)</f>
        <v/>
      </c>
      <c r="D447" s="11" t="str">
        <f>IF(Tabel!O450="","",IF(Tabel!S450="","",Tabel!O450))</f>
        <v/>
      </c>
      <c r="E447" s="22" t="str">
        <f>IF(Tabel!P450="","",Tabel!T450)</f>
        <v/>
      </c>
      <c r="F447" s="11" t="str">
        <f>IF(Tabel!P450="","",IF(Tabel!U450="","",Tabel!P450))</f>
        <v/>
      </c>
    </row>
    <row r="448" spans="1:6" x14ac:dyDescent="0.25">
      <c r="A448" s="22" t="str">
        <f>IF(Tabel!N451="","",Tabel!Q451)</f>
        <v/>
      </c>
      <c r="B448" s="11" t="str">
        <f>IF(Tabel!N451="","",IF(Tabel!Q451="","",Tabel!N451))</f>
        <v/>
      </c>
      <c r="C448" s="22" t="str">
        <f>IF(Tabel!O451="","",Tabel!S451)</f>
        <v/>
      </c>
      <c r="D448" s="11" t="str">
        <f>IF(Tabel!O451="","",IF(Tabel!S451="","",Tabel!O451))</f>
        <v/>
      </c>
      <c r="E448" s="22" t="str">
        <f>IF(Tabel!P451="","",Tabel!T451)</f>
        <v/>
      </c>
      <c r="F448" s="11" t="str">
        <f>IF(Tabel!P451="","",IF(Tabel!U451="","",Tabel!P451))</f>
        <v/>
      </c>
    </row>
    <row r="449" spans="1:6" x14ac:dyDescent="0.25">
      <c r="A449" s="22" t="str">
        <f>IF(Tabel!N452="","",Tabel!Q452)</f>
        <v/>
      </c>
      <c r="B449" s="11" t="str">
        <f>IF(Tabel!N452="","",IF(Tabel!Q452="","",Tabel!N452))</f>
        <v/>
      </c>
      <c r="C449" s="22" t="str">
        <f>IF(Tabel!O452="","",Tabel!S452)</f>
        <v/>
      </c>
      <c r="D449" s="11" t="str">
        <f>IF(Tabel!O452="","",IF(Tabel!S452="","",Tabel!O452))</f>
        <v/>
      </c>
      <c r="E449" s="22" t="str">
        <f>IF(Tabel!P452="","",Tabel!T452)</f>
        <v/>
      </c>
      <c r="F449" s="11" t="str">
        <f>IF(Tabel!P452="","",IF(Tabel!U452="","",Tabel!P452))</f>
        <v/>
      </c>
    </row>
    <row r="450" spans="1:6" x14ac:dyDescent="0.25">
      <c r="A450" s="22" t="str">
        <f>IF(Tabel!N453="","",Tabel!Q453)</f>
        <v/>
      </c>
      <c r="B450" s="11" t="str">
        <f>IF(Tabel!N453="","",IF(Tabel!Q453="","",Tabel!N453))</f>
        <v/>
      </c>
      <c r="C450" s="22" t="str">
        <f>IF(Tabel!O453="","",Tabel!S453)</f>
        <v/>
      </c>
      <c r="D450" s="11" t="str">
        <f>IF(Tabel!O453="","",IF(Tabel!S453="","",Tabel!O453))</f>
        <v/>
      </c>
      <c r="E450" s="22" t="str">
        <f>IF(Tabel!P453="","",Tabel!T453)</f>
        <v/>
      </c>
      <c r="F450" s="11" t="str">
        <f>IF(Tabel!P453="","",IF(Tabel!U453="","",Tabel!P453))</f>
        <v/>
      </c>
    </row>
    <row r="451" spans="1:6" x14ac:dyDescent="0.25">
      <c r="A451" s="22" t="str">
        <f>IF(Tabel!N454="","",Tabel!Q454)</f>
        <v/>
      </c>
      <c r="B451" s="11" t="str">
        <f>IF(Tabel!N454="","",IF(Tabel!Q454="","",Tabel!N454))</f>
        <v/>
      </c>
      <c r="C451" s="22" t="str">
        <f>IF(Tabel!O454="","",Tabel!S454)</f>
        <v/>
      </c>
      <c r="D451" s="11" t="str">
        <f>IF(Tabel!O454="","",IF(Tabel!S454="","",Tabel!O454))</f>
        <v/>
      </c>
      <c r="E451" s="22" t="str">
        <f>IF(Tabel!P454="","",Tabel!T454)</f>
        <v/>
      </c>
      <c r="F451" s="11" t="str">
        <f>IF(Tabel!P454="","",IF(Tabel!U454="","",Tabel!P454))</f>
        <v/>
      </c>
    </row>
    <row r="452" spans="1:6" x14ac:dyDescent="0.25">
      <c r="A452" s="22" t="str">
        <f>IF(Tabel!N455="","",Tabel!Q455)</f>
        <v/>
      </c>
      <c r="B452" s="11" t="str">
        <f>IF(Tabel!N455="","",IF(Tabel!Q455="","",Tabel!N455))</f>
        <v/>
      </c>
      <c r="C452" s="22" t="str">
        <f>IF(Tabel!O455="","",Tabel!S455)</f>
        <v/>
      </c>
      <c r="D452" s="11" t="str">
        <f>IF(Tabel!O455="","",IF(Tabel!S455="","",Tabel!O455))</f>
        <v/>
      </c>
      <c r="E452" s="22" t="str">
        <f>IF(Tabel!P455="","",Tabel!T455)</f>
        <v/>
      </c>
      <c r="F452" s="11" t="str">
        <f>IF(Tabel!P455="","",IF(Tabel!U455="","",Tabel!P455))</f>
        <v/>
      </c>
    </row>
    <row r="453" spans="1:6" x14ac:dyDescent="0.25">
      <c r="A453" s="22" t="str">
        <f>IF(Tabel!N456="","",Tabel!Q456)</f>
        <v/>
      </c>
      <c r="B453" s="11" t="str">
        <f>IF(Tabel!N456="","",IF(Tabel!Q456="","",Tabel!N456))</f>
        <v/>
      </c>
      <c r="C453" s="22" t="str">
        <f>IF(Tabel!O456="","",Tabel!S456)</f>
        <v/>
      </c>
      <c r="D453" s="11" t="str">
        <f>IF(Tabel!O456="","",IF(Tabel!S456="","",Tabel!O456))</f>
        <v/>
      </c>
      <c r="E453" s="22" t="str">
        <f>IF(Tabel!P456="","",Tabel!T456)</f>
        <v/>
      </c>
      <c r="F453" s="11" t="str">
        <f>IF(Tabel!P456="","",IF(Tabel!U456="","",Tabel!P456))</f>
        <v/>
      </c>
    </row>
    <row r="454" spans="1:6" x14ac:dyDescent="0.25">
      <c r="A454" s="22" t="str">
        <f>IF(Tabel!N457="","",Tabel!Q457)</f>
        <v/>
      </c>
      <c r="B454" s="11" t="str">
        <f>IF(Tabel!N457="","",IF(Tabel!Q457="","",Tabel!N457))</f>
        <v/>
      </c>
      <c r="C454" s="22" t="str">
        <f>IF(Tabel!O457="","",Tabel!S457)</f>
        <v/>
      </c>
      <c r="D454" s="11" t="str">
        <f>IF(Tabel!O457="","",IF(Tabel!S457="","",Tabel!O457))</f>
        <v/>
      </c>
      <c r="E454" s="22" t="str">
        <f>IF(Tabel!P457="","",Tabel!T457)</f>
        <v/>
      </c>
      <c r="F454" s="11" t="str">
        <f>IF(Tabel!P457="","",IF(Tabel!U457="","",Tabel!P457))</f>
        <v/>
      </c>
    </row>
    <row r="455" spans="1:6" x14ac:dyDescent="0.25">
      <c r="A455" s="22" t="str">
        <f>IF(Tabel!N458="","",Tabel!Q458)</f>
        <v/>
      </c>
      <c r="B455" s="11" t="str">
        <f>IF(Tabel!N458="","",IF(Tabel!Q458="","",Tabel!N458))</f>
        <v/>
      </c>
      <c r="C455" s="22" t="str">
        <f>IF(Tabel!O458="","",Tabel!S458)</f>
        <v/>
      </c>
      <c r="D455" s="11" t="str">
        <f>IF(Tabel!O458="","",IF(Tabel!S458="","",Tabel!O458))</f>
        <v/>
      </c>
      <c r="E455" s="22" t="str">
        <f>IF(Tabel!P458="","",Tabel!T458)</f>
        <v/>
      </c>
      <c r="F455" s="11" t="str">
        <f>IF(Tabel!P458="","",IF(Tabel!U458="","",Tabel!P458))</f>
        <v/>
      </c>
    </row>
    <row r="456" spans="1:6" x14ac:dyDescent="0.25">
      <c r="A456" s="22" t="str">
        <f>IF(Tabel!N459="","",Tabel!Q459)</f>
        <v/>
      </c>
      <c r="B456" s="11" t="str">
        <f>IF(Tabel!N459="","",IF(Tabel!Q459="","",Tabel!N459))</f>
        <v/>
      </c>
      <c r="C456" s="22" t="str">
        <f>IF(Tabel!O459="","",Tabel!S459)</f>
        <v/>
      </c>
      <c r="D456" s="11" t="str">
        <f>IF(Tabel!O459="","",IF(Tabel!S459="","",Tabel!O459))</f>
        <v/>
      </c>
      <c r="E456" s="22" t="str">
        <f>IF(Tabel!P459="","",Tabel!T459)</f>
        <v/>
      </c>
      <c r="F456" s="11" t="str">
        <f>IF(Tabel!P459="","",IF(Tabel!U459="","",Tabel!P459))</f>
        <v/>
      </c>
    </row>
    <row r="457" spans="1:6" x14ac:dyDescent="0.25">
      <c r="A457" s="22" t="str">
        <f>IF(Tabel!N460="","",Tabel!Q460)</f>
        <v/>
      </c>
      <c r="B457" s="11" t="str">
        <f>IF(Tabel!N460="","",IF(Tabel!Q460="","",Tabel!N460))</f>
        <v/>
      </c>
      <c r="C457" s="22" t="str">
        <f>IF(Tabel!O460="","",Tabel!S460)</f>
        <v/>
      </c>
      <c r="D457" s="11" t="str">
        <f>IF(Tabel!O460="","",IF(Tabel!S460="","",Tabel!O460))</f>
        <v/>
      </c>
      <c r="E457" s="22" t="str">
        <f>IF(Tabel!P460="","",Tabel!T460)</f>
        <v/>
      </c>
      <c r="F457" s="11" t="str">
        <f>IF(Tabel!P460="","",IF(Tabel!U460="","",Tabel!P460))</f>
        <v/>
      </c>
    </row>
    <row r="458" spans="1:6" x14ac:dyDescent="0.25">
      <c r="A458" s="22" t="str">
        <f>IF(Tabel!N461="","",Tabel!Q461)</f>
        <v/>
      </c>
      <c r="B458" s="11" t="str">
        <f>IF(Tabel!N461="","",IF(Tabel!Q461="","",Tabel!N461))</f>
        <v/>
      </c>
      <c r="C458" s="22" t="str">
        <f>IF(Tabel!O461="","",Tabel!S461)</f>
        <v/>
      </c>
      <c r="D458" s="11" t="str">
        <f>IF(Tabel!O461="","",IF(Tabel!S461="","",Tabel!O461))</f>
        <v/>
      </c>
      <c r="E458" s="22" t="str">
        <f>IF(Tabel!P461="","",Tabel!T461)</f>
        <v/>
      </c>
      <c r="F458" s="11" t="str">
        <f>IF(Tabel!P461="","",IF(Tabel!U461="","",Tabel!P461))</f>
        <v/>
      </c>
    </row>
    <row r="459" spans="1:6" x14ac:dyDescent="0.25">
      <c r="A459" s="22" t="str">
        <f>IF(Tabel!N462="","",Tabel!Q462)</f>
        <v/>
      </c>
      <c r="B459" s="11" t="str">
        <f>IF(Tabel!N462="","",IF(Tabel!Q462="","",Tabel!N462))</f>
        <v/>
      </c>
      <c r="C459" s="22" t="str">
        <f>IF(Tabel!O462="","",Tabel!S462)</f>
        <v/>
      </c>
      <c r="D459" s="11" t="str">
        <f>IF(Tabel!O462="","",IF(Tabel!S462="","",Tabel!O462))</f>
        <v/>
      </c>
      <c r="E459" s="22" t="str">
        <f>IF(Tabel!P462="","",Tabel!T462)</f>
        <v/>
      </c>
      <c r="F459" s="11" t="str">
        <f>IF(Tabel!P462="","",IF(Tabel!U462="","",Tabel!P462))</f>
        <v/>
      </c>
    </row>
    <row r="460" spans="1:6" x14ac:dyDescent="0.25">
      <c r="A460" s="22" t="str">
        <f>IF(Tabel!N463="","",Tabel!Q463)</f>
        <v/>
      </c>
      <c r="B460" s="11" t="str">
        <f>IF(Tabel!N463="","",IF(Tabel!Q463="","",Tabel!N463))</f>
        <v/>
      </c>
      <c r="C460" s="22" t="str">
        <f>IF(Tabel!O463="","",Tabel!S463)</f>
        <v/>
      </c>
      <c r="D460" s="11" t="str">
        <f>IF(Tabel!O463="","",IF(Tabel!S463="","",Tabel!O463))</f>
        <v/>
      </c>
      <c r="E460" s="22" t="str">
        <f>IF(Tabel!P463="","",Tabel!T463)</f>
        <v/>
      </c>
      <c r="F460" s="11" t="str">
        <f>IF(Tabel!P463="","",IF(Tabel!U463="","",Tabel!P463))</f>
        <v/>
      </c>
    </row>
    <row r="461" spans="1:6" x14ac:dyDescent="0.25">
      <c r="A461" s="22" t="str">
        <f>IF(Tabel!N464="","",Tabel!Q464)</f>
        <v/>
      </c>
      <c r="B461" s="11" t="str">
        <f>IF(Tabel!N464="","",IF(Tabel!Q464="","",Tabel!N464))</f>
        <v/>
      </c>
      <c r="C461" s="22" t="str">
        <f>IF(Tabel!O464="","",Tabel!S464)</f>
        <v/>
      </c>
      <c r="D461" s="11" t="str">
        <f>IF(Tabel!O464="","",IF(Tabel!S464="","",Tabel!O464))</f>
        <v/>
      </c>
      <c r="E461" s="22" t="str">
        <f>IF(Tabel!P464="","",Tabel!T464)</f>
        <v/>
      </c>
      <c r="F461" s="11" t="str">
        <f>IF(Tabel!P464="","",IF(Tabel!U464="","",Tabel!P464))</f>
        <v/>
      </c>
    </row>
    <row r="462" spans="1:6" x14ac:dyDescent="0.25">
      <c r="A462" s="22" t="str">
        <f>IF(Tabel!N465="","",Tabel!Q465)</f>
        <v/>
      </c>
      <c r="B462" s="11" t="str">
        <f>IF(Tabel!N465="","",IF(Tabel!Q465="","",Tabel!N465))</f>
        <v/>
      </c>
      <c r="C462" s="22" t="str">
        <f>IF(Tabel!O465="","",Tabel!S465)</f>
        <v/>
      </c>
      <c r="D462" s="11" t="str">
        <f>IF(Tabel!O465="","",IF(Tabel!S465="","",Tabel!O465))</f>
        <v/>
      </c>
      <c r="E462" s="22" t="str">
        <f>IF(Tabel!P465="","",Tabel!T465)</f>
        <v/>
      </c>
      <c r="F462" s="11" t="str">
        <f>IF(Tabel!P465="","",IF(Tabel!U465="","",Tabel!P465))</f>
        <v/>
      </c>
    </row>
    <row r="463" spans="1:6" x14ac:dyDescent="0.25">
      <c r="A463" s="22" t="str">
        <f>IF(Tabel!N466="","",Tabel!Q466)</f>
        <v/>
      </c>
      <c r="B463" s="11" t="str">
        <f>IF(Tabel!N466="","",IF(Tabel!Q466="","",Tabel!N466))</f>
        <v/>
      </c>
      <c r="C463" s="22" t="str">
        <f>IF(Tabel!O466="","",Tabel!S466)</f>
        <v/>
      </c>
      <c r="D463" s="11" t="str">
        <f>IF(Tabel!O466="","",IF(Tabel!S466="","",Tabel!O466))</f>
        <v/>
      </c>
      <c r="E463" s="22" t="str">
        <f>IF(Tabel!P466="","",Tabel!T466)</f>
        <v/>
      </c>
      <c r="F463" s="11" t="str">
        <f>IF(Tabel!P466="","",IF(Tabel!U466="","",Tabel!P466))</f>
        <v/>
      </c>
    </row>
    <row r="464" spans="1:6" x14ac:dyDescent="0.25">
      <c r="A464" s="22" t="str">
        <f>IF(Tabel!N467="","",Tabel!Q467)</f>
        <v/>
      </c>
      <c r="B464" s="11" t="str">
        <f>IF(Tabel!N467="","",IF(Tabel!Q467="","",Tabel!N467))</f>
        <v/>
      </c>
      <c r="C464" s="22" t="str">
        <f>IF(Tabel!O467="","",Tabel!S467)</f>
        <v/>
      </c>
      <c r="D464" s="11" t="str">
        <f>IF(Tabel!O467="","",IF(Tabel!S467="","",Tabel!O467))</f>
        <v/>
      </c>
      <c r="E464" s="22" t="str">
        <f>IF(Tabel!P467="","",Tabel!T467)</f>
        <v/>
      </c>
      <c r="F464" s="11" t="str">
        <f>IF(Tabel!P467="","",IF(Tabel!U467="","",Tabel!P467))</f>
        <v/>
      </c>
    </row>
    <row r="465" spans="1:6" x14ac:dyDescent="0.25">
      <c r="A465" s="22" t="str">
        <f>IF(Tabel!N468="","",Tabel!Q468)</f>
        <v/>
      </c>
      <c r="B465" s="11" t="str">
        <f>IF(Tabel!N468="","",IF(Tabel!Q468="","",Tabel!N468))</f>
        <v/>
      </c>
      <c r="C465" s="22" t="str">
        <f>IF(Tabel!O468="","",Tabel!S468)</f>
        <v/>
      </c>
      <c r="D465" s="11" t="str">
        <f>IF(Tabel!O468="","",IF(Tabel!S468="","",Tabel!O468))</f>
        <v/>
      </c>
      <c r="E465" s="22" t="str">
        <f>IF(Tabel!P468="","",Tabel!T468)</f>
        <v/>
      </c>
      <c r="F465" s="11" t="str">
        <f>IF(Tabel!P468="","",IF(Tabel!U468="","",Tabel!P468))</f>
        <v/>
      </c>
    </row>
    <row r="466" spans="1:6" x14ac:dyDescent="0.25">
      <c r="A466" s="22" t="str">
        <f>IF(Tabel!N469="","",Tabel!Q469)</f>
        <v/>
      </c>
      <c r="B466" s="11" t="str">
        <f>IF(Tabel!N469="","",IF(Tabel!Q469="","",Tabel!N469))</f>
        <v/>
      </c>
      <c r="C466" s="22" t="str">
        <f>IF(Tabel!O469="","",Tabel!S469)</f>
        <v/>
      </c>
      <c r="D466" s="11" t="str">
        <f>IF(Tabel!O469="","",IF(Tabel!S469="","",Tabel!O469))</f>
        <v/>
      </c>
      <c r="E466" s="22" t="str">
        <f>IF(Tabel!P469="","",Tabel!T469)</f>
        <v/>
      </c>
      <c r="F466" s="11" t="str">
        <f>IF(Tabel!P469="","",IF(Tabel!U469="","",Tabel!P469))</f>
        <v/>
      </c>
    </row>
    <row r="467" spans="1:6" x14ac:dyDescent="0.25">
      <c r="A467" s="22" t="str">
        <f>IF(Tabel!N470="","",Tabel!Q470)</f>
        <v/>
      </c>
      <c r="B467" s="11" t="str">
        <f>IF(Tabel!N470="","",IF(Tabel!Q470="","",Tabel!N470))</f>
        <v/>
      </c>
      <c r="C467" s="22" t="str">
        <f>IF(Tabel!O470="","",Tabel!S470)</f>
        <v/>
      </c>
      <c r="D467" s="11" t="str">
        <f>IF(Tabel!O470="","",IF(Tabel!S470="","",Tabel!O470))</f>
        <v/>
      </c>
      <c r="E467" s="22" t="str">
        <f>IF(Tabel!P470="","",Tabel!T470)</f>
        <v/>
      </c>
      <c r="F467" s="11" t="str">
        <f>IF(Tabel!P470="","",IF(Tabel!U470="","",Tabel!P470))</f>
        <v/>
      </c>
    </row>
    <row r="468" spans="1:6" x14ac:dyDescent="0.25">
      <c r="A468" s="22" t="str">
        <f>IF(Tabel!N471="","",Tabel!Q471)</f>
        <v/>
      </c>
      <c r="B468" s="11" t="str">
        <f>IF(Tabel!N471="","",IF(Tabel!Q471="","",Tabel!N471))</f>
        <v/>
      </c>
      <c r="C468" s="22" t="str">
        <f>IF(Tabel!O471="","",Tabel!S471)</f>
        <v/>
      </c>
      <c r="D468" s="11" t="str">
        <f>IF(Tabel!O471="","",IF(Tabel!S471="","",Tabel!O471))</f>
        <v/>
      </c>
      <c r="E468" s="22" t="str">
        <f>IF(Tabel!P471="","",Tabel!T471)</f>
        <v/>
      </c>
      <c r="F468" s="11" t="str">
        <f>IF(Tabel!P471="","",IF(Tabel!U471="","",Tabel!P471))</f>
        <v/>
      </c>
    </row>
    <row r="469" spans="1:6" x14ac:dyDescent="0.25">
      <c r="A469" s="22" t="str">
        <f>IF(Tabel!N472="","",Tabel!Q472)</f>
        <v/>
      </c>
      <c r="B469" s="11" t="str">
        <f>IF(Tabel!N472="","",IF(Tabel!Q472="","",Tabel!N472))</f>
        <v/>
      </c>
      <c r="C469" s="22" t="str">
        <f>IF(Tabel!O472="","",Tabel!S472)</f>
        <v/>
      </c>
      <c r="D469" s="11" t="str">
        <f>IF(Tabel!O472="","",IF(Tabel!S472="","",Tabel!O472))</f>
        <v/>
      </c>
      <c r="E469" s="22" t="str">
        <f>IF(Tabel!P472="","",Tabel!T472)</f>
        <v/>
      </c>
      <c r="F469" s="11" t="str">
        <f>IF(Tabel!P472="","",IF(Tabel!U472="","",Tabel!P472))</f>
        <v/>
      </c>
    </row>
    <row r="470" spans="1:6" x14ac:dyDescent="0.25">
      <c r="A470" s="22" t="str">
        <f>IF(Tabel!N473="","",Tabel!Q473)</f>
        <v/>
      </c>
      <c r="B470" s="11" t="str">
        <f>IF(Tabel!N473="","",IF(Tabel!Q473="","",Tabel!N473))</f>
        <v/>
      </c>
      <c r="C470" s="22" t="str">
        <f>IF(Tabel!O473="","",Tabel!S473)</f>
        <v/>
      </c>
      <c r="D470" s="11" t="str">
        <f>IF(Tabel!O473="","",IF(Tabel!S473="","",Tabel!O473))</f>
        <v/>
      </c>
      <c r="E470" s="22" t="str">
        <f>IF(Tabel!P473="","",Tabel!T473)</f>
        <v/>
      </c>
      <c r="F470" s="11" t="str">
        <f>IF(Tabel!P473="","",IF(Tabel!U473="","",Tabel!P473))</f>
        <v/>
      </c>
    </row>
    <row r="471" spans="1:6" x14ac:dyDescent="0.25">
      <c r="A471" s="22" t="str">
        <f>IF(Tabel!N474="","",Tabel!Q474)</f>
        <v/>
      </c>
      <c r="B471" s="11" t="str">
        <f>IF(Tabel!N474="","",IF(Tabel!Q474="","",Tabel!N474))</f>
        <v/>
      </c>
      <c r="C471" s="22" t="str">
        <f>IF(Tabel!O474="","",Tabel!S474)</f>
        <v/>
      </c>
      <c r="D471" s="11" t="str">
        <f>IF(Tabel!O474="","",IF(Tabel!S474="","",Tabel!O474))</f>
        <v/>
      </c>
      <c r="E471" s="22" t="str">
        <f>IF(Tabel!P474="","",Tabel!T474)</f>
        <v/>
      </c>
      <c r="F471" s="11" t="str">
        <f>IF(Tabel!P474="","",IF(Tabel!U474="","",Tabel!P474))</f>
        <v/>
      </c>
    </row>
    <row r="472" spans="1:6" x14ac:dyDescent="0.25">
      <c r="A472" s="22" t="str">
        <f>IF(Tabel!N475="","",Tabel!Q475)</f>
        <v/>
      </c>
      <c r="B472" s="11" t="str">
        <f>IF(Tabel!N475="","",IF(Tabel!Q475="","",Tabel!N475))</f>
        <v/>
      </c>
      <c r="C472" s="22" t="str">
        <f>IF(Tabel!O475="","",Tabel!S475)</f>
        <v/>
      </c>
      <c r="D472" s="11" t="str">
        <f>IF(Tabel!O475="","",IF(Tabel!S475="","",Tabel!O475))</f>
        <v/>
      </c>
      <c r="E472" s="22" t="str">
        <f>IF(Tabel!P475="","",Tabel!T475)</f>
        <v/>
      </c>
      <c r="F472" s="11" t="str">
        <f>IF(Tabel!P475="","",IF(Tabel!U475="","",Tabel!P475))</f>
        <v/>
      </c>
    </row>
    <row r="473" spans="1:6" x14ac:dyDescent="0.25">
      <c r="A473" s="22" t="str">
        <f>IF(Tabel!N476="","",Tabel!Q476)</f>
        <v/>
      </c>
      <c r="B473" s="11" t="str">
        <f>IF(Tabel!N476="","",IF(Tabel!Q476="","",Tabel!N476))</f>
        <v/>
      </c>
      <c r="C473" s="22" t="str">
        <f>IF(Tabel!O476="","",Tabel!S476)</f>
        <v/>
      </c>
      <c r="D473" s="11" t="str">
        <f>IF(Tabel!O476="","",IF(Tabel!S476="","",Tabel!O476))</f>
        <v/>
      </c>
      <c r="E473" s="22" t="str">
        <f>IF(Tabel!P476="","",Tabel!T476)</f>
        <v/>
      </c>
      <c r="F473" s="11" t="str">
        <f>IF(Tabel!P476="","",IF(Tabel!U476="","",Tabel!P476))</f>
        <v/>
      </c>
    </row>
    <row r="474" spans="1:6" x14ac:dyDescent="0.25">
      <c r="A474" s="22" t="str">
        <f>IF(Tabel!N477="","",Tabel!Q477)</f>
        <v/>
      </c>
      <c r="B474" s="11" t="str">
        <f>IF(Tabel!N477="","",IF(Tabel!Q477="","",Tabel!N477))</f>
        <v/>
      </c>
      <c r="C474" s="22" t="str">
        <f>IF(Tabel!O477="","",Tabel!S477)</f>
        <v/>
      </c>
      <c r="D474" s="11" t="str">
        <f>IF(Tabel!O477="","",IF(Tabel!S477="","",Tabel!O477))</f>
        <v/>
      </c>
      <c r="E474" s="22" t="str">
        <f>IF(Tabel!P477="","",Tabel!T477)</f>
        <v/>
      </c>
      <c r="F474" s="11" t="str">
        <f>IF(Tabel!P477="","",IF(Tabel!U477="","",Tabel!P477))</f>
        <v/>
      </c>
    </row>
    <row r="475" spans="1:6" x14ac:dyDescent="0.25">
      <c r="A475" s="22" t="str">
        <f>IF(Tabel!N478="","",Tabel!Q478)</f>
        <v/>
      </c>
      <c r="B475" s="11" t="str">
        <f>IF(Tabel!N478="","",IF(Tabel!Q478="","",Tabel!N478))</f>
        <v/>
      </c>
      <c r="C475" s="22" t="str">
        <f>IF(Tabel!O478="","",Tabel!S478)</f>
        <v/>
      </c>
      <c r="D475" s="11" t="str">
        <f>IF(Tabel!O478="","",IF(Tabel!S478="","",Tabel!O478))</f>
        <v/>
      </c>
      <c r="E475" s="22" t="str">
        <f>IF(Tabel!P478="","",Tabel!T478)</f>
        <v/>
      </c>
      <c r="F475" s="11" t="str">
        <f>IF(Tabel!P478="","",IF(Tabel!U478="","",Tabel!P478))</f>
        <v/>
      </c>
    </row>
    <row r="476" spans="1:6" x14ac:dyDescent="0.25">
      <c r="A476" s="22" t="str">
        <f>IF(Tabel!N479="","",Tabel!Q479)</f>
        <v/>
      </c>
      <c r="B476" s="11" t="str">
        <f>IF(Tabel!N479="","",IF(Tabel!Q479="","",Tabel!N479))</f>
        <v/>
      </c>
      <c r="C476" s="22" t="str">
        <f>IF(Tabel!O479="","",Tabel!S479)</f>
        <v/>
      </c>
      <c r="D476" s="11" t="str">
        <f>IF(Tabel!O479="","",IF(Tabel!S479="","",Tabel!O479))</f>
        <v/>
      </c>
      <c r="E476" s="22" t="str">
        <f>IF(Tabel!P479="","",Tabel!T479)</f>
        <v/>
      </c>
      <c r="F476" s="11" t="str">
        <f>IF(Tabel!P479="","",IF(Tabel!U479="","",Tabel!P479))</f>
        <v/>
      </c>
    </row>
    <row r="477" spans="1:6" x14ac:dyDescent="0.25">
      <c r="A477" s="22" t="str">
        <f>IF(Tabel!N480="","",Tabel!Q480)</f>
        <v/>
      </c>
      <c r="B477" s="11" t="str">
        <f>IF(Tabel!N480="","",IF(Tabel!Q480="","",Tabel!N480))</f>
        <v/>
      </c>
      <c r="C477" s="22" t="str">
        <f>IF(Tabel!O480="","",Tabel!S480)</f>
        <v/>
      </c>
      <c r="D477" s="11" t="str">
        <f>IF(Tabel!O480="","",IF(Tabel!S480="","",Tabel!O480))</f>
        <v/>
      </c>
      <c r="E477" s="22" t="str">
        <f>IF(Tabel!P480="","",Tabel!T480)</f>
        <v/>
      </c>
      <c r="F477" s="11" t="str">
        <f>IF(Tabel!P480="","",IF(Tabel!U480="","",Tabel!P480))</f>
        <v/>
      </c>
    </row>
    <row r="478" spans="1:6" x14ac:dyDescent="0.25">
      <c r="A478" s="22" t="str">
        <f>IF(Tabel!N481="","",Tabel!Q481)</f>
        <v/>
      </c>
      <c r="B478" s="11" t="str">
        <f>IF(Tabel!N481="","",IF(Tabel!Q481="","",Tabel!N481))</f>
        <v/>
      </c>
      <c r="C478" s="22" t="str">
        <f>IF(Tabel!O481="","",Tabel!S481)</f>
        <v/>
      </c>
      <c r="D478" s="11" t="str">
        <f>IF(Tabel!O481="","",IF(Tabel!S481="","",Tabel!O481))</f>
        <v/>
      </c>
      <c r="E478" s="22" t="str">
        <f>IF(Tabel!P481="","",Tabel!T481)</f>
        <v/>
      </c>
      <c r="F478" s="11" t="str">
        <f>IF(Tabel!P481="","",IF(Tabel!U481="","",Tabel!P481))</f>
        <v/>
      </c>
    </row>
    <row r="479" spans="1:6" x14ac:dyDescent="0.25">
      <c r="A479" s="22" t="str">
        <f>IF(Tabel!N482="","",Tabel!Q482)</f>
        <v/>
      </c>
      <c r="B479" s="11" t="str">
        <f>IF(Tabel!N482="","",IF(Tabel!Q482="","",Tabel!N482))</f>
        <v/>
      </c>
      <c r="C479" s="22" t="str">
        <f>IF(Tabel!O482="","",Tabel!S482)</f>
        <v/>
      </c>
      <c r="D479" s="11" t="str">
        <f>IF(Tabel!O482="","",IF(Tabel!S482="","",Tabel!O482))</f>
        <v/>
      </c>
      <c r="E479" s="22" t="str">
        <f>IF(Tabel!P482="","",Tabel!T482)</f>
        <v/>
      </c>
      <c r="F479" s="11" t="str">
        <f>IF(Tabel!P482="","",IF(Tabel!U482="","",Tabel!P482))</f>
        <v/>
      </c>
    </row>
    <row r="480" spans="1:6" x14ac:dyDescent="0.25">
      <c r="A480" s="22" t="str">
        <f>IF(Tabel!N483="","",Tabel!Q483)</f>
        <v/>
      </c>
      <c r="B480" s="11" t="str">
        <f>IF(Tabel!N483="","",IF(Tabel!Q483="","",Tabel!N483))</f>
        <v/>
      </c>
      <c r="C480" s="22" t="str">
        <f>IF(Tabel!O483="","",Tabel!S483)</f>
        <v/>
      </c>
      <c r="D480" s="11" t="str">
        <f>IF(Tabel!O483="","",IF(Tabel!S483="","",Tabel!O483))</f>
        <v/>
      </c>
      <c r="E480" s="22" t="str">
        <f>IF(Tabel!P483="","",Tabel!T483)</f>
        <v/>
      </c>
      <c r="F480" s="11" t="str">
        <f>IF(Tabel!P483="","",IF(Tabel!U483="","",Tabel!P483))</f>
        <v/>
      </c>
    </row>
    <row r="481" spans="1:6" x14ac:dyDescent="0.25">
      <c r="A481" s="22" t="str">
        <f>IF(Tabel!N484="","",Tabel!Q484)</f>
        <v/>
      </c>
      <c r="B481" s="11" t="str">
        <f>IF(Tabel!N484="","",IF(Tabel!Q484="","",Tabel!N484))</f>
        <v/>
      </c>
      <c r="C481" s="22" t="str">
        <f>IF(Tabel!O484="","",Tabel!S484)</f>
        <v/>
      </c>
      <c r="D481" s="11" t="str">
        <f>IF(Tabel!O484="","",IF(Tabel!S484="","",Tabel!O484))</f>
        <v/>
      </c>
      <c r="E481" s="22" t="str">
        <f>IF(Tabel!P484="","",Tabel!T484)</f>
        <v/>
      </c>
      <c r="F481" s="11" t="str">
        <f>IF(Tabel!P484="","",IF(Tabel!U484="","",Tabel!P484))</f>
        <v/>
      </c>
    </row>
    <row r="482" spans="1:6" x14ac:dyDescent="0.25">
      <c r="A482" s="22" t="str">
        <f>IF(Tabel!N485="","",Tabel!Q485)</f>
        <v/>
      </c>
      <c r="B482" s="11" t="str">
        <f>IF(Tabel!N485="","",IF(Tabel!Q485="","",Tabel!N485))</f>
        <v/>
      </c>
      <c r="C482" s="22" t="str">
        <f>IF(Tabel!O485="","",Tabel!S485)</f>
        <v/>
      </c>
      <c r="D482" s="11" t="str">
        <f>IF(Tabel!O485="","",IF(Tabel!S485="","",Tabel!O485))</f>
        <v/>
      </c>
      <c r="E482" s="22" t="str">
        <f>IF(Tabel!P485="","",Tabel!T485)</f>
        <v/>
      </c>
      <c r="F482" s="11" t="str">
        <f>IF(Tabel!P485="","",IF(Tabel!U485="","",Tabel!P485))</f>
        <v/>
      </c>
    </row>
    <row r="483" spans="1:6" x14ac:dyDescent="0.25">
      <c r="A483" s="22" t="str">
        <f>IF(Tabel!N486="","",Tabel!Q486)</f>
        <v/>
      </c>
      <c r="B483" s="11" t="str">
        <f>IF(Tabel!N486="","",IF(Tabel!Q486="","",Tabel!N486))</f>
        <v/>
      </c>
      <c r="C483" s="22" t="str">
        <f>IF(Tabel!O486="","",Tabel!S486)</f>
        <v/>
      </c>
      <c r="D483" s="11" t="str">
        <f>IF(Tabel!O486="","",IF(Tabel!S486="","",Tabel!O486))</f>
        <v/>
      </c>
      <c r="E483" s="22" t="str">
        <f>IF(Tabel!P486="","",Tabel!T486)</f>
        <v/>
      </c>
      <c r="F483" s="11" t="str">
        <f>IF(Tabel!P486="","",IF(Tabel!U486="","",Tabel!P486))</f>
        <v/>
      </c>
    </row>
    <row r="484" spans="1:6" x14ac:dyDescent="0.25">
      <c r="A484" s="22" t="str">
        <f>IF(Tabel!N487="","",Tabel!Q487)</f>
        <v/>
      </c>
      <c r="B484" s="11" t="str">
        <f>IF(Tabel!N487="","",IF(Tabel!Q487="","",Tabel!N487))</f>
        <v/>
      </c>
      <c r="C484" s="22" t="str">
        <f>IF(Tabel!O487="","",Tabel!S487)</f>
        <v/>
      </c>
      <c r="D484" s="11" t="str">
        <f>IF(Tabel!O487="","",IF(Tabel!S487="","",Tabel!O487))</f>
        <v/>
      </c>
      <c r="E484" s="22" t="str">
        <f>IF(Tabel!P487="","",Tabel!T487)</f>
        <v/>
      </c>
      <c r="F484" s="11" t="str">
        <f>IF(Tabel!P487="","",IF(Tabel!U487="","",Tabel!P487))</f>
        <v/>
      </c>
    </row>
    <row r="485" spans="1:6" x14ac:dyDescent="0.25">
      <c r="A485" s="22" t="str">
        <f>IF(Tabel!N488="","",Tabel!Q488)</f>
        <v/>
      </c>
      <c r="B485" s="11" t="str">
        <f>IF(Tabel!N488="","",IF(Tabel!Q488="","",Tabel!N488))</f>
        <v/>
      </c>
      <c r="C485" s="22" t="str">
        <f>IF(Tabel!O488="","",Tabel!S488)</f>
        <v/>
      </c>
      <c r="D485" s="11" t="str">
        <f>IF(Tabel!O488="","",IF(Tabel!S488="","",Tabel!O488))</f>
        <v/>
      </c>
      <c r="E485" s="22" t="str">
        <f>IF(Tabel!P488="","",Tabel!T488)</f>
        <v/>
      </c>
      <c r="F485" s="11" t="str">
        <f>IF(Tabel!P488="","",IF(Tabel!U488="","",Tabel!P488))</f>
        <v/>
      </c>
    </row>
    <row r="486" spans="1:6" x14ac:dyDescent="0.25">
      <c r="A486" s="22" t="str">
        <f>IF(Tabel!N489="","",Tabel!Q489)</f>
        <v/>
      </c>
      <c r="B486" s="11" t="str">
        <f>IF(Tabel!N489="","",IF(Tabel!Q489="","",Tabel!N489))</f>
        <v/>
      </c>
      <c r="C486" s="22" t="str">
        <f>IF(Tabel!O489="","",Tabel!S489)</f>
        <v/>
      </c>
      <c r="D486" s="11" t="str">
        <f>IF(Tabel!O489="","",IF(Tabel!S489="","",Tabel!O489))</f>
        <v/>
      </c>
      <c r="E486" s="22" t="str">
        <f>IF(Tabel!P489="","",Tabel!T489)</f>
        <v/>
      </c>
      <c r="F486" s="11" t="str">
        <f>IF(Tabel!P489="","",IF(Tabel!U489="","",Tabel!P489))</f>
        <v/>
      </c>
    </row>
    <row r="487" spans="1:6" x14ac:dyDescent="0.25">
      <c r="A487" s="22" t="str">
        <f>IF(Tabel!N490="","",Tabel!Q490)</f>
        <v/>
      </c>
      <c r="B487" s="11" t="str">
        <f>IF(Tabel!N490="","",IF(Tabel!Q490="","",Tabel!N490))</f>
        <v/>
      </c>
      <c r="C487" s="22" t="str">
        <f>IF(Tabel!O490="","",Tabel!S490)</f>
        <v/>
      </c>
      <c r="D487" s="11" t="str">
        <f>IF(Tabel!O490="","",IF(Tabel!S490="","",Tabel!O490))</f>
        <v/>
      </c>
      <c r="E487" s="22" t="str">
        <f>IF(Tabel!P490="","",Tabel!T490)</f>
        <v/>
      </c>
      <c r="F487" s="11" t="str">
        <f>IF(Tabel!P490="","",IF(Tabel!U490="","",Tabel!P490))</f>
        <v/>
      </c>
    </row>
    <row r="488" spans="1:6" x14ac:dyDescent="0.25">
      <c r="A488" s="22" t="str">
        <f>IF(Tabel!N491="","",Tabel!Q491)</f>
        <v/>
      </c>
      <c r="B488" s="11" t="str">
        <f>IF(Tabel!N491="","",IF(Tabel!Q491="","",Tabel!N491))</f>
        <v/>
      </c>
      <c r="C488" s="22" t="str">
        <f>IF(Tabel!O491="","",Tabel!S491)</f>
        <v/>
      </c>
      <c r="D488" s="11" t="str">
        <f>IF(Tabel!O491="","",IF(Tabel!S491="","",Tabel!O491))</f>
        <v/>
      </c>
      <c r="E488" s="22" t="str">
        <f>IF(Tabel!P491="","",Tabel!T491)</f>
        <v/>
      </c>
      <c r="F488" s="11" t="str">
        <f>IF(Tabel!P491="","",IF(Tabel!U491="","",Tabel!P491))</f>
        <v/>
      </c>
    </row>
    <row r="489" spans="1:6" x14ac:dyDescent="0.25">
      <c r="A489" s="22" t="str">
        <f>IF(Tabel!N492="","",Tabel!Q492)</f>
        <v/>
      </c>
      <c r="B489" s="11" t="str">
        <f>IF(Tabel!N492="","",IF(Tabel!Q492="","",Tabel!N492))</f>
        <v/>
      </c>
      <c r="C489" s="22" t="str">
        <f>IF(Tabel!O492="","",Tabel!S492)</f>
        <v/>
      </c>
      <c r="D489" s="11" t="str">
        <f>IF(Tabel!O492="","",IF(Tabel!S492="","",Tabel!O492))</f>
        <v/>
      </c>
      <c r="E489" s="22" t="str">
        <f>IF(Tabel!P492="","",Tabel!T492)</f>
        <v/>
      </c>
      <c r="F489" s="11" t="str">
        <f>IF(Tabel!P492="","",IF(Tabel!U492="","",Tabel!P492))</f>
        <v/>
      </c>
    </row>
    <row r="490" spans="1:6" x14ac:dyDescent="0.25">
      <c r="A490" s="22" t="str">
        <f>IF(Tabel!N493="","",Tabel!Q493)</f>
        <v/>
      </c>
      <c r="B490" s="11" t="str">
        <f>IF(Tabel!N493="","",IF(Tabel!Q493="","",Tabel!N493))</f>
        <v/>
      </c>
      <c r="C490" s="22" t="str">
        <f>IF(Tabel!O493="","",Tabel!S493)</f>
        <v/>
      </c>
      <c r="D490" s="11" t="str">
        <f>IF(Tabel!O493="","",IF(Tabel!S493="","",Tabel!O493))</f>
        <v/>
      </c>
      <c r="E490" s="22" t="str">
        <f>IF(Tabel!P493="","",Tabel!T493)</f>
        <v/>
      </c>
      <c r="F490" s="11" t="str">
        <f>IF(Tabel!P493="","",IF(Tabel!U493="","",Tabel!P493))</f>
        <v/>
      </c>
    </row>
    <row r="491" spans="1:6" x14ac:dyDescent="0.25">
      <c r="A491" s="22" t="str">
        <f>IF(Tabel!N494="","",Tabel!Q494)</f>
        <v/>
      </c>
      <c r="B491" s="11" t="str">
        <f>IF(Tabel!N494="","",IF(Tabel!Q494="","",Tabel!N494))</f>
        <v/>
      </c>
      <c r="C491" s="22" t="str">
        <f>IF(Tabel!O494="","",Tabel!S494)</f>
        <v/>
      </c>
      <c r="D491" s="11" t="str">
        <f>IF(Tabel!O494="","",IF(Tabel!S494="","",Tabel!O494))</f>
        <v/>
      </c>
      <c r="E491" s="22" t="str">
        <f>IF(Tabel!P494="","",Tabel!T494)</f>
        <v/>
      </c>
      <c r="F491" s="11" t="str">
        <f>IF(Tabel!P494="","",IF(Tabel!U494="","",Tabel!P494))</f>
        <v/>
      </c>
    </row>
    <row r="492" spans="1:6" x14ac:dyDescent="0.25">
      <c r="A492" s="22" t="str">
        <f>IF(Tabel!N495="","",Tabel!Q495)</f>
        <v/>
      </c>
      <c r="B492" s="11" t="str">
        <f>IF(Tabel!N495="","",IF(Tabel!Q495="","",Tabel!N495))</f>
        <v/>
      </c>
      <c r="C492" s="22" t="str">
        <f>IF(Tabel!O495="","",Tabel!S495)</f>
        <v/>
      </c>
      <c r="D492" s="11" t="str">
        <f>IF(Tabel!O495="","",IF(Tabel!S495="","",Tabel!O495))</f>
        <v/>
      </c>
      <c r="E492" s="22" t="str">
        <f>IF(Tabel!P495="","",Tabel!T495)</f>
        <v/>
      </c>
      <c r="F492" s="11" t="str">
        <f>IF(Tabel!P495="","",IF(Tabel!U495="","",Tabel!P495))</f>
        <v/>
      </c>
    </row>
    <row r="493" spans="1:6" x14ac:dyDescent="0.25">
      <c r="A493" s="22" t="str">
        <f>IF(Tabel!N496="","",Tabel!Q496)</f>
        <v/>
      </c>
      <c r="B493" s="11" t="str">
        <f>IF(Tabel!N496="","",IF(Tabel!Q496="","",Tabel!N496))</f>
        <v/>
      </c>
      <c r="C493" s="22" t="str">
        <f>IF(Tabel!O496="","",Tabel!S496)</f>
        <v/>
      </c>
      <c r="D493" s="11" t="str">
        <f>IF(Tabel!O496="","",IF(Tabel!S496="","",Tabel!O496))</f>
        <v/>
      </c>
      <c r="E493" s="22" t="str">
        <f>IF(Tabel!P496="","",Tabel!T496)</f>
        <v/>
      </c>
      <c r="F493" s="11" t="str">
        <f>IF(Tabel!P496="","",IF(Tabel!U496="","",Tabel!P496))</f>
        <v/>
      </c>
    </row>
    <row r="494" spans="1:6" x14ac:dyDescent="0.25">
      <c r="A494" s="22" t="str">
        <f>IF(Tabel!N497="","",Tabel!Q497)</f>
        <v/>
      </c>
      <c r="B494" s="11" t="str">
        <f>IF(Tabel!N497="","",IF(Tabel!Q497="","",Tabel!N497))</f>
        <v/>
      </c>
      <c r="C494" s="22" t="str">
        <f>IF(Tabel!O497="","",Tabel!S497)</f>
        <v/>
      </c>
      <c r="D494" s="11" t="str">
        <f>IF(Tabel!O497="","",IF(Tabel!S497="","",Tabel!O497))</f>
        <v/>
      </c>
      <c r="E494" s="22" t="str">
        <f>IF(Tabel!P497="","",Tabel!T497)</f>
        <v/>
      </c>
      <c r="F494" s="11" t="str">
        <f>IF(Tabel!P497="","",IF(Tabel!U497="","",Tabel!P497))</f>
        <v/>
      </c>
    </row>
    <row r="495" spans="1:6" x14ac:dyDescent="0.25">
      <c r="A495" s="22" t="str">
        <f>IF(Tabel!N498="","",Tabel!Q498)</f>
        <v/>
      </c>
      <c r="B495" s="11" t="str">
        <f>IF(Tabel!N498="","",IF(Tabel!Q498="","",Tabel!N498))</f>
        <v/>
      </c>
      <c r="C495" s="22" t="str">
        <f>IF(Tabel!O498="","",Tabel!S498)</f>
        <v/>
      </c>
      <c r="D495" s="11" t="str">
        <f>IF(Tabel!O498="","",IF(Tabel!S498="","",Tabel!O498))</f>
        <v/>
      </c>
      <c r="E495" s="22" t="str">
        <f>IF(Tabel!P498="","",Tabel!T498)</f>
        <v/>
      </c>
      <c r="F495" s="11" t="str">
        <f>IF(Tabel!P498="","",IF(Tabel!U498="","",Tabel!P498))</f>
        <v/>
      </c>
    </row>
    <row r="496" spans="1:6" x14ac:dyDescent="0.25">
      <c r="A496" s="22" t="str">
        <f>IF(Tabel!N499="","",Tabel!Q499)</f>
        <v/>
      </c>
      <c r="B496" s="11" t="str">
        <f>IF(Tabel!N499="","",IF(Tabel!Q499="","",Tabel!N499))</f>
        <v/>
      </c>
      <c r="C496" s="22" t="str">
        <f>IF(Tabel!O499="","",Tabel!S499)</f>
        <v/>
      </c>
      <c r="D496" s="11" t="str">
        <f>IF(Tabel!O499="","",IF(Tabel!S499="","",Tabel!O499))</f>
        <v/>
      </c>
      <c r="E496" s="22" t="str">
        <f>IF(Tabel!P499="","",Tabel!T499)</f>
        <v/>
      </c>
      <c r="F496" s="11" t="str">
        <f>IF(Tabel!P499="","",IF(Tabel!U499="","",Tabel!P499))</f>
        <v/>
      </c>
    </row>
    <row r="497" spans="1:6" x14ac:dyDescent="0.25">
      <c r="A497" s="22" t="str">
        <f>IF(Tabel!N500="","",Tabel!Q500)</f>
        <v/>
      </c>
      <c r="B497" s="11" t="str">
        <f>IF(Tabel!N500="","",IF(Tabel!Q500="","",Tabel!N500))</f>
        <v/>
      </c>
      <c r="C497" s="22" t="str">
        <f>IF(Tabel!O500="","",Tabel!S500)</f>
        <v/>
      </c>
      <c r="D497" s="11" t="str">
        <f>IF(Tabel!O500="","",IF(Tabel!S500="","",Tabel!O500))</f>
        <v/>
      </c>
      <c r="E497" s="22" t="str">
        <f>IF(Tabel!P500="","",Tabel!T500)</f>
        <v/>
      </c>
      <c r="F497" s="11" t="str">
        <f>IF(Tabel!P500="","",IF(Tabel!U500="","",Tabel!P500))</f>
        <v/>
      </c>
    </row>
    <row r="498" spans="1:6" x14ac:dyDescent="0.25">
      <c r="A498" s="22" t="str">
        <f>IF(Tabel!N501="","",Tabel!Q501)</f>
        <v/>
      </c>
      <c r="B498" s="11" t="str">
        <f>IF(Tabel!N501="","",IF(Tabel!Q501="","",Tabel!N501))</f>
        <v/>
      </c>
      <c r="C498" s="22" t="str">
        <f>IF(Tabel!O501="","",Tabel!S501)</f>
        <v/>
      </c>
      <c r="D498" s="11" t="str">
        <f>IF(Tabel!O501="","",IF(Tabel!S501="","",Tabel!O501))</f>
        <v/>
      </c>
      <c r="E498" s="22" t="str">
        <f>IF(Tabel!P501="","",Tabel!T501)</f>
        <v/>
      </c>
      <c r="F498" s="11" t="str">
        <f>IF(Tabel!P501="","",IF(Tabel!U501="","",Tabel!P501))</f>
        <v/>
      </c>
    </row>
    <row r="499" spans="1:6" x14ac:dyDescent="0.25">
      <c r="A499" s="22" t="str">
        <f>IF(Tabel!N502="","",Tabel!Q502)</f>
        <v/>
      </c>
      <c r="B499" s="11" t="str">
        <f>IF(Tabel!N502="","",IF(Tabel!Q502="","",Tabel!N502))</f>
        <v/>
      </c>
      <c r="C499" s="22" t="str">
        <f>IF(Tabel!O502="","",Tabel!S502)</f>
        <v/>
      </c>
      <c r="D499" s="11" t="str">
        <f>IF(Tabel!O502="","",IF(Tabel!S502="","",Tabel!O502))</f>
        <v/>
      </c>
      <c r="E499" s="22" t="str">
        <f>IF(Tabel!P502="","",Tabel!T502)</f>
        <v/>
      </c>
      <c r="F499" s="11" t="str">
        <f>IF(Tabel!P502="","",IF(Tabel!U502="","",Tabel!P502))</f>
        <v/>
      </c>
    </row>
    <row r="500" spans="1:6" x14ac:dyDescent="0.25">
      <c r="A500" s="22" t="str">
        <f>IF(Tabel!N503="","",Tabel!Q503)</f>
        <v/>
      </c>
      <c r="B500" s="11" t="str">
        <f>IF(Tabel!N503="","",IF(Tabel!Q503="","",Tabel!N503))</f>
        <v/>
      </c>
      <c r="C500" s="22" t="str">
        <f>IF(Tabel!O503="","",Tabel!S503)</f>
        <v/>
      </c>
      <c r="D500" s="11" t="str">
        <f>IF(Tabel!O503="","",IF(Tabel!S503="","",Tabel!O503))</f>
        <v/>
      </c>
      <c r="E500" s="22" t="str">
        <f>IF(Tabel!P503="","",Tabel!T503)</f>
        <v/>
      </c>
      <c r="F500" s="11" t="str">
        <f>IF(Tabel!P503="","",IF(Tabel!U503="","",Tabel!P503))</f>
        <v/>
      </c>
    </row>
    <row r="501" spans="1:6" x14ac:dyDescent="0.25">
      <c r="A501" s="22" t="str">
        <f>IF(Tabel!N504="","",Tabel!Q504)</f>
        <v/>
      </c>
      <c r="B501" s="11" t="str">
        <f>IF(Tabel!N504="","",IF(Tabel!Q504="","",Tabel!N504))</f>
        <v/>
      </c>
      <c r="C501" s="22" t="str">
        <f>IF(Tabel!O504="","",Tabel!S504)</f>
        <v/>
      </c>
      <c r="D501" s="11" t="str">
        <f>IF(Tabel!O504="","",IF(Tabel!S504="","",Tabel!O504))</f>
        <v/>
      </c>
      <c r="E501" s="22" t="str">
        <f>IF(Tabel!P504="","",Tabel!T504)</f>
        <v/>
      </c>
      <c r="F501" s="11" t="str">
        <f>IF(Tabel!P504="","",IF(Tabel!U504="","",Tabel!P504))</f>
        <v/>
      </c>
    </row>
    <row r="502" spans="1:6" x14ac:dyDescent="0.25">
      <c r="A502" s="22" t="str">
        <f>IF(Tabel!N505="","",Tabel!Q505)</f>
        <v/>
      </c>
      <c r="B502" s="11" t="str">
        <f>IF(Tabel!N505="","",IF(Tabel!Q505="","",Tabel!N505))</f>
        <v/>
      </c>
      <c r="C502" s="22" t="str">
        <f>IF(Tabel!O505="","",Tabel!S505)</f>
        <v/>
      </c>
      <c r="D502" s="11" t="str">
        <f>IF(Tabel!O505="","",IF(Tabel!S505="","",Tabel!O505))</f>
        <v/>
      </c>
      <c r="E502" s="22" t="str">
        <f>IF(Tabel!P505="","",Tabel!T505)</f>
        <v/>
      </c>
      <c r="F502" s="11" t="str">
        <f>IF(Tabel!P505="","",IF(Tabel!U505="","",Tabel!P505))</f>
        <v/>
      </c>
    </row>
    <row r="503" spans="1:6" x14ac:dyDescent="0.25">
      <c r="A503" s="22" t="str">
        <f>IF(Tabel!N506="","",Tabel!Q506)</f>
        <v/>
      </c>
      <c r="B503" s="11" t="str">
        <f>IF(Tabel!N506="","",IF(Tabel!Q506="","",Tabel!N506))</f>
        <v/>
      </c>
      <c r="C503" s="22" t="str">
        <f>IF(Tabel!O506="","",Tabel!S506)</f>
        <v/>
      </c>
      <c r="D503" s="11" t="str">
        <f>IF(Tabel!O506="","",IF(Tabel!S506="","",Tabel!O506))</f>
        <v/>
      </c>
      <c r="E503" s="22" t="str">
        <f>IF(Tabel!P506="","",Tabel!T506)</f>
        <v/>
      </c>
      <c r="F503" s="11" t="str">
        <f>IF(Tabel!P506="","",IF(Tabel!U506="","",Tabel!P506))</f>
        <v/>
      </c>
    </row>
    <row r="504" spans="1:6" x14ac:dyDescent="0.25">
      <c r="A504" s="22" t="str">
        <f>IF(Tabel!N507="","",Tabel!Q507)</f>
        <v/>
      </c>
      <c r="B504" s="11" t="str">
        <f>IF(Tabel!N507="","",IF(Tabel!Q507="","",Tabel!N507))</f>
        <v/>
      </c>
      <c r="C504" s="22" t="str">
        <f>IF(Tabel!O507="","",Tabel!S507)</f>
        <v/>
      </c>
      <c r="D504" s="11" t="str">
        <f>IF(Tabel!O507="","",IF(Tabel!S507="","",Tabel!O507))</f>
        <v/>
      </c>
      <c r="E504" s="22" t="str">
        <f>IF(Tabel!P507="","",Tabel!T507)</f>
        <v/>
      </c>
      <c r="F504" s="11" t="str">
        <f>IF(Tabel!P507="","",IF(Tabel!U507="","",Tabel!P507))</f>
        <v/>
      </c>
    </row>
    <row r="505" spans="1:6" x14ac:dyDescent="0.25">
      <c r="A505" s="22" t="str">
        <f>IF(Tabel!N508="","",Tabel!Q508)</f>
        <v/>
      </c>
      <c r="B505" s="11" t="str">
        <f>IF(Tabel!N508="","",IF(Tabel!Q508="","",Tabel!N508))</f>
        <v/>
      </c>
      <c r="C505" s="22" t="str">
        <f>IF(Tabel!O508="","",Tabel!S508)</f>
        <v/>
      </c>
      <c r="D505" s="11" t="str">
        <f>IF(Tabel!O508="","",IF(Tabel!S508="","",Tabel!O508))</f>
        <v/>
      </c>
      <c r="E505" s="22" t="str">
        <f>IF(Tabel!P508="","",Tabel!T508)</f>
        <v/>
      </c>
      <c r="F505" s="11" t="str">
        <f>IF(Tabel!P508="","",IF(Tabel!U508="","",Tabel!P508))</f>
        <v/>
      </c>
    </row>
    <row r="506" spans="1:6" x14ac:dyDescent="0.25">
      <c r="A506" s="22" t="str">
        <f>IF(Tabel!N509="","",Tabel!Q509)</f>
        <v/>
      </c>
      <c r="B506" s="11" t="str">
        <f>IF(Tabel!N509="","",IF(Tabel!Q509="","",Tabel!N509))</f>
        <v/>
      </c>
      <c r="C506" s="22" t="str">
        <f>IF(Tabel!O509="","",Tabel!S509)</f>
        <v/>
      </c>
      <c r="D506" s="11" t="str">
        <f>IF(Tabel!O509="","",IF(Tabel!S509="","",Tabel!O509))</f>
        <v/>
      </c>
      <c r="E506" s="22" t="str">
        <f>IF(Tabel!P509="","",Tabel!T509)</f>
        <v/>
      </c>
      <c r="F506" s="11" t="str">
        <f>IF(Tabel!P509="","",IF(Tabel!U509="","",Tabel!P509))</f>
        <v/>
      </c>
    </row>
    <row r="507" spans="1:6" x14ac:dyDescent="0.25">
      <c r="A507" s="22" t="str">
        <f>IF(Tabel!N510="","",Tabel!Q510)</f>
        <v/>
      </c>
      <c r="B507" s="11" t="str">
        <f>IF(Tabel!N510="","",IF(Tabel!Q510="","",Tabel!N510))</f>
        <v/>
      </c>
      <c r="C507" s="22" t="str">
        <f>IF(Tabel!O510="","",Tabel!S510)</f>
        <v/>
      </c>
      <c r="D507" s="11" t="str">
        <f>IF(Tabel!O510="","",IF(Tabel!S510="","",Tabel!O510))</f>
        <v/>
      </c>
      <c r="E507" s="22" t="str">
        <f>IF(Tabel!P510="","",Tabel!T510)</f>
        <v/>
      </c>
      <c r="F507" s="11" t="str">
        <f>IF(Tabel!P510="","",IF(Tabel!U510="","",Tabel!P510))</f>
        <v/>
      </c>
    </row>
    <row r="508" spans="1:6" x14ac:dyDescent="0.25">
      <c r="A508" s="22" t="str">
        <f>IF(Tabel!N511="","",Tabel!Q511)</f>
        <v/>
      </c>
      <c r="B508" s="11" t="str">
        <f>IF(Tabel!N511="","",IF(Tabel!Q511="","",Tabel!N511))</f>
        <v/>
      </c>
      <c r="C508" s="22" t="str">
        <f>IF(Tabel!O511="","",Tabel!S511)</f>
        <v/>
      </c>
      <c r="D508" s="11" t="str">
        <f>IF(Tabel!O511="","",IF(Tabel!S511="","",Tabel!O511))</f>
        <v/>
      </c>
      <c r="E508" s="22" t="str">
        <f>IF(Tabel!P511="","",Tabel!T511)</f>
        <v/>
      </c>
      <c r="F508" s="11" t="str">
        <f>IF(Tabel!P511="","",IF(Tabel!U511="","",Tabel!P511))</f>
        <v/>
      </c>
    </row>
    <row r="509" spans="1:6" x14ac:dyDescent="0.25">
      <c r="A509" s="22" t="str">
        <f>IF(Tabel!N512="","",Tabel!Q512)</f>
        <v/>
      </c>
      <c r="B509" s="11" t="str">
        <f>IF(Tabel!N512="","",IF(Tabel!Q512="","",Tabel!N512))</f>
        <v/>
      </c>
      <c r="C509" s="22" t="str">
        <f>IF(Tabel!O512="","",Tabel!S512)</f>
        <v/>
      </c>
      <c r="D509" s="11" t="str">
        <f>IF(Tabel!O512="","",IF(Tabel!S512="","",Tabel!O512))</f>
        <v/>
      </c>
      <c r="E509" s="22" t="str">
        <f>IF(Tabel!P512="","",Tabel!T512)</f>
        <v/>
      </c>
      <c r="F509" s="11" t="str">
        <f>IF(Tabel!P512="","",IF(Tabel!U512="","",Tabel!P512))</f>
        <v/>
      </c>
    </row>
    <row r="510" spans="1:6" x14ac:dyDescent="0.25">
      <c r="A510" s="22" t="str">
        <f>IF(Tabel!N513="","",Tabel!Q513)</f>
        <v/>
      </c>
      <c r="B510" s="11" t="str">
        <f>IF(Tabel!N513="","",IF(Tabel!Q513="","",Tabel!N513))</f>
        <v/>
      </c>
      <c r="C510" s="22" t="str">
        <f>IF(Tabel!O513="","",Tabel!S513)</f>
        <v/>
      </c>
      <c r="D510" s="11" t="str">
        <f>IF(Tabel!O513="","",IF(Tabel!S513="","",Tabel!O513))</f>
        <v/>
      </c>
      <c r="E510" s="22" t="str">
        <f>IF(Tabel!P513="","",Tabel!T513)</f>
        <v/>
      </c>
      <c r="F510" s="11" t="str">
        <f>IF(Tabel!P513="","",IF(Tabel!U513="","",Tabel!P513))</f>
        <v/>
      </c>
    </row>
    <row r="511" spans="1:6" x14ac:dyDescent="0.25">
      <c r="A511" s="22" t="str">
        <f>IF(Tabel!N514="","",Tabel!Q514)</f>
        <v/>
      </c>
      <c r="B511" s="11" t="str">
        <f>IF(Tabel!N514="","",IF(Tabel!Q514="","",Tabel!N514))</f>
        <v/>
      </c>
      <c r="C511" s="22" t="str">
        <f>IF(Tabel!O514="","",Tabel!S514)</f>
        <v/>
      </c>
      <c r="D511" s="11" t="str">
        <f>IF(Tabel!O514="","",IF(Tabel!S514="","",Tabel!O514))</f>
        <v/>
      </c>
      <c r="E511" s="22" t="str">
        <f>IF(Tabel!P514="","",Tabel!T514)</f>
        <v/>
      </c>
      <c r="F511" s="11" t="str">
        <f>IF(Tabel!P514="","",IF(Tabel!U514="","",Tabel!P514))</f>
        <v/>
      </c>
    </row>
    <row r="512" spans="1:6" x14ac:dyDescent="0.25">
      <c r="A512" s="22" t="str">
        <f>IF(Tabel!N515="","",Tabel!Q515)</f>
        <v/>
      </c>
      <c r="B512" s="11" t="str">
        <f>IF(Tabel!N515="","",IF(Tabel!Q515="","",Tabel!N515))</f>
        <v/>
      </c>
      <c r="C512" s="22" t="str">
        <f>IF(Tabel!O515="","",Tabel!S515)</f>
        <v/>
      </c>
      <c r="D512" s="11" t="str">
        <f>IF(Tabel!O515="","",IF(Tabel!S515="","",Tabel!O515))</f>
        <v/>
      </c>
      <c r="E512" s="22" t="str">
        <f>IF(Tabel!P515="","",Tabel!T515)</f>
        <v/>
      </c>
      <c r="F512" s="11" t="str">
        <f>IF(Tabel!P515="","",IF(Tabel!U515="","",Tabel!P515))</f>
        <v/>
      </c>
    </row>
    <row r="513" spans="1:6" x14ac:dyDescent="0.25">
      <c r="A513" s="22" t="str">
        <f>IF(Tabel!N516="","",Tabel!Q516)</f>
        <v/>
      </c>
      <c r="B513" s="11" t="str">
        <f>IF(Tabel!N516="","",IF(Tabel!Q516="","",Tabel!N516))</f>
        <v/>
      </c>
      <c r="C513" s="22" t="str">
        <f>IF(Tabel!O516="","",Tabel!S516)</f>
        <v/>
      </c>
      <c r="D513" s="11" t="str">
        <f>IF(Tabel!O516="","",IF(Tabel!S516="","",Tabel!O516))</f>
        <v/>
      </c>
      <c r="E513" s="22" t="str">
        <f>IF(Tabel!P516="","",Tabel!T516)</f>
        <v/>
      </c>
      <c r="F513" s="11" t="str">
        <f>IF(Tabel!P516="","",IF(Tabel!U516="","",Tabel!P516))</f>
        <v/>
      </c>
    </row>
    <row r="514" spans="1:6" x14ac:dyDescent="0.25">
      <c r="A514" s="22" t="str">
        <f>IF(Tabel!N517="","",Tabel!Q517)</f>
        <v/>
      </c>
      <c r="B514" s="11" t="str">
        <f>IF(Tabel!N517="","",IF(Tabel!Q517="","",Tabel!N517))</f>
        <v/>
      </c>
      <c r="C514" s="22" t="str">
        <f>IF(Tabel!O517="","",Tabel!S517)</f>
        <v/>
      </c>
      <c r="D514" s="11" t="str">
        <f>IF(Tabel!O517="","",IF(Tabel!S517="","",Tabel!O517))</f>
        <v/>
      </c>
      <c r="E514" s="22" t="str">
        <f>IF(Tabel!P517="","",Tabel!T517)</f>
        <v/>
      </c>
      <c r="F514" s="11" t="str">
        <f>IF(Tabel!P517="","",IF(Tabel!U517="","",Tabel!P517))</f>
        <v/>
      </c>
    </row>
    <row r="515" spans="1:6" x14ac:dyDescent="0.25">
      <c r="A515" s="22" t="str">
        <f>IF(Tabel!N518="","",Tabel!Q518)</f>
        <v/>
      </c>
      <c r="B515" s="11" t="str">
        <f>IF(Tabel!N518="","",IF(Tabel!Q518="","",Tabel!N518))</f>
        <v/>
      </c>
      <c r="C515" s="22" t="str">
        <f>IF(Tabel!O518="","",Tabel!S518)</f>
        <v/>
      </c>
      <c r="D515" s="11" t="str">
        <f>IF(Tabel!O518="","",IF(Tabel!S518="","",Tabel!O518))</f>
        <v/>
      </c>
      <c r="E515" s="22" t="str">
        <f>IF(Tabel!P518="","",Tabel!T518)</f>
        <v/>
      </c>
      <c r="F515" s="11" t="str">
        <f>IF(Tabel!P518="","",IF(Tabel!U518="","",Tabel!P518))</f>
        <v/>
      </c>
    </row>
    <row r="516" spans="1:6" x14ac:dyDescent="0.25">
      <c r="A516" s="22" t="str">
        <f>IF(Tabel!N519="","",Tabel!Q519)</f>
        <v/>
      </c>
      <c r="B516" s="11" t="str">
        <f>IF(Tabel!N519="","",IF(Tabel!Q519="","",Tabel!N519))</f>
        <v/>
      </c>
      <c r="C516" s="22" t="str">
        <f>IF(Tabel!O519="","",Tabel!S519)</f>
        <v/>
      </c>
      <c r="D516" s="11" t="str">
        <f>IF(Tabel!O519="","",IF(Tabel!S519="","",Tabel!O519))</f>
        <v/>
      </c>
      <c r="E516" s="22" t="str">
        <f>IF(Tabel!P519="","",Tabel!T519)</f>
        <v/>
      </c>
      <c r="F516" s="11" t="str">
        <f>IF(Tabel!P519="","",IF(Tabel!U519="","",Tabel!P519))</f>
        <v/>
      </c>
    </row>
    <row r="517" spans="1:6" x14ac:dyDescent="0.25">
      <c r="A517" s="22" t="str">
        <f>IF(Tabel!N520="","",Tabel!Q520)</f>
        <v/>
      </c>
      <c r="B517" s="11" t="str">
        <f>IF(Tabel!N520="","",IF(Tabel!Q520="","",Tabel!N520))</f>
        <v/>
      </c>
      <c r="C517" s="22" t="str">
        <f>IF(Tabel!O520="","",Tabel!S520)</f>
        <v/>
      </c>
      <c r="D517" s="11" t="str">
        <f>IF(Tabel!O520="","",IF(Tabel!S520="","",Tabel!O520))</f>
        <v/>
      </c>
      <c r="E517" s="22" t="str">
        <f>IF(Tabel!P520="","",Tabel!T520)</f>
        <v/>
      </c>
      <c r="F517" s="11" t="str">
        <f>IF(Tabel!P520="","",IF(Tabel!U520="","",Tabel!P520))</f>
        <v/>
      </c>
    </row>
    <row r="518" spans="1:6" x14ac:dyDescent="0.25">
      <c r="A518" s="22" t="str">
        <f>IF(Tabel!N521="","",Tabel!Q521)</f>
        <v/>
      </c>
      <c r="B518" s="11" t="str">
        <f>IF(Tabel!N521="","",IF(Tabel!Q521="","",Tabel!N521))</f>
        <v/>
      </c>
      <c r="C518" s="22" t="str">
        <f>IF(Tabel!O521="","",Tabel!S521)</f>
        <v/>
      </c>
      <c r="D518" s="11" t="str">
        <f>IF(Tabel!O521="","",IF(Tabel!S521="","",Tabel!O521))</f>
        <v/>
      </c>
      <c r="E518" s="22" t="str">
        <f>IF(Tabel!P521="","",Tabel!T521)</f>
        <v/>
      </c>
      <c r="F518" s="11" t="str">
        <f>IF(Tabel!P521="","",IF(Tabel!U521="","",Tabel!P521))</f>
        <v/>
      </c>
    </row>
    <row r="519" spans="1:6" x14ac:dyDescent="0.25">
      <c r="A519" s="22" t="str">
        <f>IF(Tabel!N522="","",Tabel!Q522)</f>
        <v/>
      </c>
      <c r="B519" s="11" t="str">
        <f>IF(Tabel!N522="","",IF(Tabel!Q522="","",Tabel!N522))</f>
        <v/>
      </c>
      <c r="C519" s="22" t="str">
        <f>IF(Tabel!O522="","",Tabel!S522)</f>
        <v/>
      </c>
      <c r="D519" s="11" t="str">
        <f>IF(Tabel!O522="","",IF(Tabel!S522="","",Tabel!O522))</f>
        <v/>
      </c>
      <c r="E519" s="22" t="str">
        <f>IF(Tabel!P522="","",Tabel!T522)</f>
        <v/>
      </c>
      <c r="F519" s="11" t="str">
        <f>IF(Tabel!P522="","",IF(Tabel!U522="","",Tabel!P522))</f>
        <v/>
      </c>
    </row>
    <row r="520" spans="1:6" x14ac:dyDescent="0.25">
      <c r="A520" s="22" t="str">
        <f>IF(Tabel!N523="","",Tabel!Q523)</f>
        <v/>
      </c>
      <c r="B520" s="11" t="str">
        <f>IF(Tabel!N523="","",IF(Tabel!Q523="","",Tabel!N523))</f>
        <v/>
      </c>
      <c r="C520" s="22" t="str">
        <f>IF(Tabel!O523="","",Tabel!S523)</f>
        <v/>
      </c>
      <c r="D520" s="11" t="str">
        <f>IF(Tabel!O523="","",IF(Tabel!S523="","",Tabel!O523))</f>
        <v/>
      </c>
      <c r="E520" s="22" t="str">
        <f>IF(Tabel!P523="","",Tabel!T523)</f>
        <v/>
      </c>
      <c r="F520" s="11" t="str">
        <f>IF(Tabel!P523="","",IF(Tabel!U523="","",Tabel!P523))</f>
        <v/>
      </c>
    </row>
    <row r="521" spans="1:6" x14ac:dyDescent="0.25">
      <c r="A521" s="22" t="str">
        <f>IF(Tabel!N524="","",Tabel!Q524)</f>
        <v/>
      </c>
      <c r="B521" s="11" t="str">
        <f>IF(Tabel!N524="","",IF(Tabel!Q524="","",Tabel!N524))</f>
        <v/>
      </c>
      <c r="C521" s="22" t="str">
        <f>IF(Tabel!O524="","",Tabel!S524)</f>
        <v/>
      </c>
      <c r="D521" s="11" t="str">
        <f>IF(Tabel!O524="","",IF(Tabel!S524="","",Tabel!O524))</f>
        <v/>
      </c>
      <c r="E521" s="22" t="str">
        <f>IF(Tabel!P524="","",Tabel!T524)</f>
        <v/>
      </c>
      <c r="F521" s="11" t="str">
        <f>IF(Tabel!P524="","",IF(Tabel!U524="","",Tabel!P524))</f>
        <v/>
      </c>
    </row>
    <row r="522" spans="1:6" x14ac:dyDescent="0.25">
      <c r="A522" s="22" t="str">
        <f>IF(Tabel!N525="","",Tabel!Q525)</f>
        <v/>
      </c>
      <c r="B522" s="11" t="str">
        <f>IF(Tabel!N525="","",IF(Tabel!Q525="","",Tabel!N525))</f>
        <v/>
      </c>
      <c r="C522" s="22" t="str">
        <f>IF(Tabel!O525="","",Tabel!S525)</f>
        <v/>
      </c>
      <c r="D522" s="11" t="str">
        <f>IF(Tabel!O525="","",IF(Tabel!S525="","",Tabel!O525))</f>
        <v/>
      </c>
      <c r="E522" s="22" t="str">
        <f>IF(Tabel!P525="","",Tabel!T525)</f>
        <v/>
      </c>
      <c r="F522" s="11" t="str">
        <f>IF(Tabel!P525="","",IF(Tabel!U525="","",Tabel!P525))</f>
        <v/>
      </c>
    </row>
    <row r="523" spans="1:6" x14ac:dyDescent="0.25">
      <c r="A523" s="22" t="str">
        <f>IF(Tabel!N526="","",Tabel!Q526)</f>
        <v/>
      </c>
      <c r="B523" s="11" t="str">
        <f>IF(Tabel!N526="","",IF(Tabel!Q526="","",Tabel!N526))</f>
        <v/>
      </c>
      <c r="C523" s="22" t="str">
        <f>IF(Tabel!O526="","",Tabel!S526)</f>
        <v/>
      </c>
      <c r="D523" s="11" t="str">
        <f>IF(Tabel!O526="","",IF(Tabel!S526="","",Tabel!O526))</f>
        <v/>
      </c>
      <c r="E523" s="22" t="str">
        <f>IF(Tabel!P526="","",Tabel!T526)</f>
        <v/>
      </c>
      <c r="F523" s="11" t="str">
        <f>IF(Tabel!P526="","",IF(Tabel!U526="","",Tabel!P526))</f>
        <v/>
      </c>
    </row>
    <row r="524" spans="1:6" x14ac:dyDescent="0.25">
      <c r="A524" s="22" t="str">
        <f>IF(Tabel!N527="","",Tabel!Q527)</f>
        <v/>
      </c>
      <c r="B524" s="11" t="str">
        <f>IF(Tabel!N527="","",IF(Tabel!Q527="","",Tabel!N527))</f>
        <v/>
      </c>
      <c r="C524" s="22" t="str">
        <f>IF(Tabel!O527="","",Tabel!S527)</f>
        <v/>
      </c>
      <c r="D524" s="11" t="str">
        <f>IF(Tabel!O527="","",IF(Tabel!S527="","",Tabel!O527))</f>
        <v/>
      </c>
      <c r="E524" s="22" t="str">
        <f>IF(Tabel!P527="","",Tabel!T527)</f>
        <v/>
      </c>
      <c r="F524" s="11" t="str">
        <f>IF(Tabel!P527="","",IF(Tabel!U527="","",Tabel!P527))</f>
        <v/>
      </c>
    </row>
    <row r="525" spans="1:6" x14ac:dyDescent="0.25">
      <c r="A525" s="22" t="str">
        <f>IF(Tabel!N528="","",Tabel!Q528)</f>
        <v/>
      </c>
      <c r="B525" s="11" t="str">
        <f>IF(Tabel!N528="","",IF(Tabel!Q528="","",Tabel!N528))</f>
        <v/>
      </c>
      <c r="C525" s="22" t="str">
        <f>IF(Tabel!O528="","",Tabel!S528)</f>
        <v/>
      </c>
      <c r="D525" s="11" t="str">
        <f>IF(Tabel!O528="","",IF(Tabel!S528="","",Tabel!O528))</f>
        <v/>
      </c>
      <c r="E525" s="22" t="str">
        <f>IF(Tabel!P528="","",Tabel!T528)</f>
        <v/>
      </c>
      <c r="F525" s="11" t="str">
        <f>IF(Tabel!P528="","",IF(Tabel!U528="","",Tabel!P528))</f>
        <v/>
      </c>
    </row>
    <row r="526" spans="1:6" x14ac:dyDescent="0.25">
      <c r="A526" s="22" t="str">
        <f>IF(Tabel!N529="","",Tabel!Q529)</f>
        <v/>
      </c>
      <c r="B526" s="11" t="str">
        <f>IF(Tabel!N529="","",IF(Tabel!Q529="","",Tabel!N529))</f>
        <v/>
      </c>
      <c r="C526" s="22" t="str">
        <f>IF(Tabel!O529="","",Tabel!S529)</f>
        <v/>
      </c>
      <c r="D526" s="11" t="str">
        <f>IF(Tabel!O529="","",IF(Tabel!S529="","",Tabel!O529))</f>
        <v/>
      </c>
      <c r="E526" s="22" t="str">
        <f>IF(Tabel!P529="","",Tabel!T529)</f>
        <v/>
      </c>
      <c r="F526" s="11" t="str">
        <f>IF(Tabel!P529="","",IF(Tabel!U529="","",Tabel!P529))</f>
        <v/>
      </c>
    </row>
    <row r="527" spans="1:6" x14ac:dyDescent="0.25">
      <c r="A527" s="22" t="str">
        <f>IF(Tabel!N530="","",Tabel!Q530)</f>
        <v/>
      </c>
      <c r="B527" s="11" t="str">
        <f>IF(Tabel!N530="","",IF(Tabel!Q530="","",Tabel!N530))</f>
        <v/>
      </c>
      <c r="C527" s="22" t="str">
        <f>IF(Tabel!O530="","",Tabel!S530)</f>
        <v/>
      </c>
      <c r="D527" s="11" t="str">
        <f>IF(Tabel!O530="","",IF(Tabel!S530="","",Tabel!O530))</f>
        <v/>
      </c>
      <c r="E527" s="22" t="str">
        <f>IF(Tabel!P530="","",Tabel!T530)</f>
        <v/>
      </c>
      <c r="F527" s="11" t="str">
        <f>IF(Tabel!P530="","",IF(Tabel!U530="","",Tabel!P530))</f>
        <v/>
      </c>
    </row>
    <row r="528" spans="1:6" x14ac:dyDescent="0.25">
      <c r="A528" s="22" t="str">
        <f>IF(Tabel!N531="","",Tabel!Q531)</f>
        <v/>
      </c>
      <c r="B528" s="11" t="str">
        <f>IF(Tabel!N531="","",IF(Tabel!Q531="","",Tabel!N531))</f>
        <v/>
      </c>
      <c r="C528" s="22" t="str">
        <f>IF(Tabel!O531="","",Tabel!S531)</f>
        <v/>
      </c>
      <c r="D528" s="11" t="str">
        <f>IF(Tabel!O531="","",IF(Tabel!S531="","",Tabel!O531))</f>
        <v/>
      </c>
      <c r="E528" s="22" t="str">
        <f>IF(Tabel!P531="","",Tabel!T531)</f>
        <v/>
      </c>
      <c r="F528" s="11" t="str">
        <f>IF(Tabel!P531="","",IF(Tabel!U531="","",Tabel!P531))</f>
        <v/>
      </c>
    </row>
    <row r="529" spans="1:6" x14ac:dyDescent="0.25">
      <c r="A529" s="22" t="str">
        <f>IF(Tabel!N532="","",Tabel!Q532)</f>
        <v/>
      </c>
      <c r="B529" s="11" t="str">
        <f>IF(Tabel!N532="","",IF(Tabel!Q532="","",Tabel!N532))</f>
        <v/>
      </c>
      <c r="C529" s="22" t="str">
        <f>IF(Tabel!O532="","",Tabel!S532)</f>
        <v/>
      </c>
      <c r="D529" s="11" t="str">
        <f>IF(Tabel!O532="","",IF(Tabel!S532="","",Tabel!O532))</f>
        <v/>
      </c>
      <c r="E529" s="22" t="str">
        <f>IF(Tabel!P532="","",Tabel!T532)</f>
        <v/>
      </c>
      <c r="F529" s="11" t="str">
        <f>IF(Tabel!P532="","",IF(Tabel!U532="","",Tabel!P532))</f>
        <v/>
      </c>
    </row>
    <row r="530" spans="1:6" x14ac:dyDescent="0.25">
      <c r="A530" s="22" t="str">
        <f>IF(Tabel!N533="","",Tabel!Q533)</f>
        <v/>
      </c>
      <c r="B530" s="11" t="str">
        <f>IF(Tabel!N533="","",IF(Tabel!Q533="","",Tabel!N533))</f>
        <v/>
      </c>
      <c r="C530" s="22" t="str">
        <f>IF(Tabel!O533="","",Tabel!S533)</f>
        <v/>
      </c>
      <c r="D530" s="11" t="str">
        <f>IF(Tabel!O533="","",IF(Tabel!S533="","",Tabel!O533))</f>
        <v/>
      </c>
      <c r="E530" s="22" t="str">
        <f>IF(Tabel!P533="","",Tabel!T533)</f>
        <v/>
      </c>
      <c r="F530" s="11" t="str">
        <f>IF(Tabel!P533="","",IF(Tabel!U533="","",Tabel!P533))</f>
        <v/>
      </c>
    </row>
    <row r="531" spans="1:6" x14ac:dyDescent="0.25">
      <c r="A531" s="22" t="str">
        <f>IF(Tabel!N534="","",Tabel!Q534)</f>
        <v/>
      </c>
      <c r="B531" s="11" t="str">
        <f>IF(Tabel!N534="","",IF(Tabel!Q534="","",Tabel!N534))</f>
        <v/>
      </c>
      <c r="C531" s="22" t="str">
        <f>IF(Tabel!O534="","",Tabel!S534)</f>
        <v/>
      </c>
      <c r="D531" s="11" t="str">
        <f>IF(Tabel!O534="","",IF(Tabel!S534="","",Tabel!O534))</f>
        <v/>
      </c>
      <c r="E531" s="22" t="str">
        <f>IF(Tabel!P534="","",Tabel!T534)</f>
        <v/>
      </c>
      <c r="F531" s="11" t="str">
        <f>IF(Tabel!P534="","",IF(Tabel!U534="","",Tabel!P534))</f>
        <v/>
      </c>
    </row>
    <row r="532" spans="1:6" x14ac:dyDescent="0.25">
      <c r="A532" s="22" t="str">
        <f>IF(Tabel!N535="","",Tabel!Q535)</f>
        <v/>
      </c>
      <c r="B532" s="11" t="str">
        <f>IF(Tabel!N535="","",IF(Tabel!Q535="","",Tabel!N535))</f>
        <v/>
      </c>
      <c r="C532" s="22" t="str">
        <f>IF(Tabel!O535="","",Tabel!S535)</f>
        <v/>
      </c>
      <c r="D532" s="11" t="str">
        <f>IF(Tabel!O535="","",IF(Tabel!S535="","",Tabel!O535))</f>
        <v/>
      </c>
      <c r="E532" s="22" t="str">
        <f>IF(Tabel!P535="","",Tabel!T535)</f>
        <v/>
      </c>
      <c r="F532" s="11" t="str">
        <f>IF(Tabel!P535="","",IF(Tabel!U535="","",Tabel!P535))</f>
        <v/>
      </c>
    </row>
    <row r="533" spans="1:6" x14ac:dyDescent="0.25">
      <c r="A533" s="22" t="str">
        <f>IF(Tabel!N536="","",Tabel!Q536)</f>
        <v/>
      </c>
      <c r="B533" s="11" t="str">
        <f>IF(Tabel!N536="","",IF(Tabel!Q536="","",Tabel!N536))</f>
        <v/>
      </c>
      <c r="C533" s="22" t="str">
        <f>IF(Tabel!O536="","",Tabel!S536)</f>
        <v/>
      </c>
      <c r="D533" s="11" t="str">
        <f>IF(Tabel!O536="","",IF(Tabel!S536="","",Tabel!O536))</f>
        <v/>
      </c>
      <c r="E533" s="22" t="str">
        <f>IF(Tabel!P536="","",Tabel!T536)</f>
        <v/>
      </c>
      <c r="F533" s="11" t="str">
        <f>IF(Tabel!P536="","",IF(Tabel!U536="","",Tabel!P536))</f>
        <v/>
      </c>
    </row>
    <row r="534" spans="1:6" x14ac:dyDescent="0.25">
      <c r="A534" s="22" t="str">
        <f>IF(Tabel!N537="","",Tabel!Q537)</f>
        <v/>
      </c>
      <c r="B534" s="11" t="str">
        <f>IF(Tabel!N537="","",IF(Tabel!Q537="","",Tabel!N537))</f>
        <v/>
      </c>
      <c r="C534" s="22" t="str">
        <f>IF(Tabel!O537="","",Tabel!S537)</f>
        <v/>
      </c>
      <c r="D534" s="11" t="str">
        <f>IF(Tabel!O537="","",IF(Tabel!S537="","",Tabel!O537))</f>
        <v/>
      </c>
      <c r="E534" s="22" t="str">
        <f>IF(Tabel!P537="","",Tabel!T537)</f>
        <v/>
      </c>
      <c r="F534" s="11" t="str">
        <f>IF(Tabel!P537="","",IF(Tabel!U537="","",Tabel!P537))</f>
        <v/>
      </c>
    </row>
    <row r="535" spans="1:6" x14ac:dyDescent="0.25">
      <c r="A535" s="22" t="str">
        <f>IF(Tabel!N538="","",Tabel!Q538)</f>
        <v/>
      </c>
      <c r="B535" s="11" t="str">
        <f>IF(Tabel!N538="","",IF(Tabel!Q538="","",Tabel!N538))</f>
        <v/>
      </c>
      <c r="C535" s="22" t="str">
        <f>IF(Tabel!O538="","",Tabel!S538)</f>
        <v/>
      </c>
      <c r="D535" s="11" t="str">
        <f>IF(Tabel!O538="","",IF(Tabel!S538="","",Tabel!O538))</f>
        <v/>
      </c>
      <c r="E535" s="22" t="str">
        <f>IF(Tabel!P538="","",Tabel!T538)</f>
        <v/>
      </c>
      <c r="F535" s="11" t="str">
        <f>IF(Tabel!P538="","",IF(Tabel!U538="","",Tabel!P538))</f>
        <v/>
      </c>
    </row>
    <row r="536" spans="1:6" x14ac:dyDescent="0.25">
      <c r="A536" s="22" t="str">
        <f>IF(Tabel!N539="","",Tabel!Q539)</f>
        <v/>
      </c>
      <c r="B536" s="11" t="str">
        <f>IF(Tabel!N539="","",IF(Tabel!Q539="","",Tabel!N539))</f>
        <v/>
      </c>
      <c r="C536" s="22" t="str">
        <f>IF(Tabel!O539="","",Tabel!S539)</f>
        <v/>
      </c>
      <c r="D536" s="11" t="str">
        <f>IF(Tabel!O539="","",IF(Tabel!S539="","",Tabel!O539))</f>
        <v/>
      </c>
      <c r="E536" s="22" t="str">
        <f>IF(Tabel!P539="","",Tabel!T539)</f>
        <v/>
      </c>
      <c r="F536" s="11" t="str">
        <f>IF(Tabel!P539="","",IF(Tabel!U539="","",Tabel!P539))</f>
        <v/>
      </c>
    </row>
    <row r="537" spans="1:6" x14ac:dyDescent="0.25">
      <c r="A537" s="22" t="str">
        <f>IF(Tabel!N540="","",Tabel!Q540)</f>
        <v/>
      </c>
      <c r="B537" s="11" t="str">
        <f>IF(Tabel!N540="","",IF(Tabel!Q540="","",Tabel!N540))</f>
        <v/>
      </c>
      <c r="C537" s="22" t="str">
        <f>IF(Tabel!O540="","",Tabel!S540)</f>
        <v/>
      </c>
      <c r="D537" s="11" t="str">
        <f>IF(Tabel!O540="","",IF(Tabel!S540="","",Tabel!O540))</f>
        <v/>
      </c>
      <c r="E537" s="22" t="str">
        <f>IF(Tabel!P540="","",Tabel!T540)</f>
        <v/>
      </c>
      <c r="F537" s="11" t="str">
        <f>IF(Tabel!P540="","",IF(Tabel!U540="","",Tabel!P540))</f>
        <v/>
      </c>
    </row>
    <row r="538" spans="1:6" x14ac:dyDescent="0.25">
      <c r="A538" s="22" t="str">
        <f>IF(Tabel!N541="","",Tabel!Q541)</f>
        <v/>
      </c>
      <c r="B538" s="11" t="str">
        <f>IF(Tabel!N541="","",IF(Tabel!Q541="","",Tabel!N541))</f>
        <v/>
      </c>
      <c r="C538" s="22" t="str">
        <f>IF(Tabel!O541="","",Tabel!S541)</f>
        <v/>
      </c>
      <c r="D538" s="11" t="str">
        <f>IF(Tabel!O541="","",IF(Tabel!S541="","",Tabel!O541))</f>
        <v/>
      </c>
      <c r="E538" s="22" t="str">
        <f>IF(Tabel!P541="","",Tabel!T541)</f>
        <v/>
      </c>
      <c r="F538" s="11" t="str">
        <f>IF(Tabel!P541="","",IF(Tabel!U541="","",Tabel!P541))</f>
        <v/>
      </c>
    </row>
    <row r="539" spans="1:6" x14ac:dyDescent="0.25">
      <c r="A539" s="22" t="str">
        <f>IF(Tabel!N542="","",Tabel!Q542)</f>
        <v/>
      </c>
      <c r="B539" s="11" t="str">
        <f>IF(Tabel!N542="","",IF(Tabel!Q542="","",Tabel!N542))</f>
        <v/>
      </c>
      <c r="C539" s="22" t="str">
        <f>IF(Tabel!O542="","",Tabel!S542)</f>
        <v/>
      </c>
      <c r="D539" s="11" t="str">
        <f>IF(Tabel!O542="","",IF(Tabel!S542="","",Tabel!O542))</f>
        <v/>
      </c>
      <c r="E539" s="22" t="str">
        <f>IF(Tabel!P542="","",Tabel!T542)</f>
        <v/>
      </c>
      <c r="F539" s="11" t="str">
        <f>IF(Tabel!P542="","",IF(Tabel!U542="","",Tabel!P542))</f>
        <v/>
      </c>
    </row>
    <row r="540" spans="1:6" x14ac:dyDescent="0.25">
      <c r="A540" s="22" t="str">
        <f>IF(Tabel!N543="","",Tabel!Q543)</f>
        <v/>
      </c>
      <c r="B540" s="11" t="str">
        <f>IF(Tabel!N543="","",IF(Tabel!Q543="","",Tabel!N543))</f>
        <v/>
      </c>
      <c r="C540" s="22" t="str">
        <f>IF(Tabel!O543="","",Tabel!S543)</f>
        <v/>
      </c>
      <c r="D540" s="11" t="str">
        <f>IF(Tabel!O543="","",IF(Tabel!S543="","",Tabel!O543))</f>
        <v/>
      </c>
      <c r="E540" s="22" t="str">
        <f>IF(Tabel!P543="","",Tabel!T543)</f>
        <v/>
      </c>
      <c r="F540" s="11" t="str">
        <f>IF(Tabel!P543="","",IF(Tabel!U543="","",Tabel!P543))</f>
        <v/>
      </c>
    </row>
    <row r="541" spans="1:6" x14ac:dyDescent="0.25">
      <c r="A541" s="22" t="str">
        <f>IF(Tabel!N544="","",Tabel!Q544)</f>
        <v/>
      </c>
      <c r="B541" s="11" t="str">
        <f>IF(Tabel!N544="","",IF(Tabel!Q544="","",Tabel!N544))</f>
        <v/>
      </c>
      <c r="C541" s="22" t="str">
        <f>IF(Tabel!O544="","",Tabel!S544)</f>
        <v/>
      </c>
      <c r="D541" s="11" t="str">
        <f>IF(Tabel!O544="","",IF(Tabel!S544="","",Tabel!O544))</f>
        <v/>
      </c>
      <c r="E541" s="22" t="str">
        <f>IF(Tabel!P544="","",Tabel!T544)</f>
        <v/>
      </c>
      <c r="F541" s="11" t="str">
        <f>IF(Tabel!P544="","",IF(Tabel!U544="","",Tabel!P544))</f>
        <v/>
      </c>
    </row>
    <row r="542" spans="1:6" x14ac:dyDescent="0.25">
      <c r="A542" s="22" t="str">
        <f>IF(Tabel!N545="","",Tabel!Q545)</f>
        <v/>
      </c>
      <c r="B542" s="11" t="str">
        <f>IF(Tabel!N545="","",IF(Tabel!Q545="","",Tabel!N545))</f>
        <v/>
      </c>
      <c r="C542" s="22" t="str">
        <f>IF(Tabel!O545="","",Tabel!S545)</f>
        <v/>
      </c>
      <c r="D542" s="11" t="str">
        <f>IF(Tabel!O545="","",IF(Tabel!S545="","",Tabel!O545))</f>
        <v/>
      </c>
      <c r="E542" s="22" t="str">
        <f>IF(Tabel!P545="","",Tabel!T545)</f>
        <v/>
      </c>
      <c r="F542" s="11" t="str">
        <f>IF(Tabel!P545="","",IF(Tabel!U545="","",Tabel!P545))</f>
        <v/>
      </c>
    </row>
    <row r="543" spans="1:6" x14ac:dyDescent="0.25">
      <c r="A543" s="22" t="str">
        <f>IF(Tabel!N546="","",Tabel!Q546)</f>
        <v/>
      </c>
      <c r="B543" s="11" t="str">
        <f>IF(Tabel!N546="","",IF(Tabel!Q546="","",Tabel!N546))</f>
        <v/>
      </c>
      <c r="C543" s="22" t="str">
        <f>IF(Tabel!O546="","",Tabel!S546)</f>
        <v/>
      </c>
      <c r="D543" s="11" t="str">
        <f>IF(Tabel!O546="","",IF(Tabel!S546="","",Tabel!O546))</f>
        <v/>
      </c>
      <c r="E543" s="22" t="str">
        <f>IF(Tabel!P546="","",Tabel!T546)</f>
        <v/>
      </c>
      <c r="F543" s="11" t="str">
        <f>IF(Tabel!P546="","",IF(Tabel!U546="","",Tabel!P546))</f>
        <v/>
      </c>
    </row>
    <row r="544" spans="1:6" x14ac:dyDescent="0.25">
      <c r="A544" s="22" t="str">
        <f>IF(Tabel!N547="","",Tabel!Q547)</f>
        <v/>
      </c>
      <c r="B544" s="11" t="str">
        <f>IF(Tabel!N547="","",IF(Tabel!Q547="","",Tabel!N547))</f>
        <v/>
      </c>
      <c r="C544" s="22" t="str">
        <f>IF(Tabel!O547="","",Tabel!S547)</f>
        <v/>
      </c>
      <c r="D544" s="11" t="str">
        <f>IF(Tabel!O547="","",IF(Tabel!S547="","",Tabel!O547))</f>
        <v/>
      </c>
      <c r="E544" s="22" t="str">
        <f>IF(Tabel!P547="","",Tabel!T547)</f>
        <v/>
      </c>
      <c r="F544" s="11" t="str">
        <f>IF(Tabel!P547="","",IF(Tabel!U547="","",Tabel!P547))</f>
        <v/>
      </c>
    </row>
    <row r="545" spans="1:6" x14ac:dyDescent="0.25">
      <c r="A545" s="22" t="str">
        <f>IF(Tabel!N548="","",Tabel!Q548)</f>
        <v/>
      </c>
      <c r="B545" s="11" t="str">
        <f>IF(Tabel!N548="","",IF(Tabel!Q548="","",Tabel!N548))</f>
        <v/>
      </c>
      <c r="C545" s="22" t="str">
        <f>IF(Tabel!O548="","",Tabel!S548)</f>
        <v/>
      </c>
      <c r="D545" s="11" t="str">
        <f>IF(Tabel!O548="","",IF(Tabel!S548="","",Tabel!O548))</f>
        <v/>
      </c>
      <c r="E545" s="22" t="str">
        <f>IF(Tabel!P548="","",Tabel!T548)</f>
        <v/>
      </c>
      <c r="F545" s="11" t="str">
        <f>IF(Tabel!P548="","",IF(Tabel!U548="","",Tabel!P548))</f>
        <v/>
      </c>
    </row>
    <row r="546" spans="1:6" x14ac:dyDescent="0.25">
      <c r="A546" s="22" t="str">
        <f>IF(Tabel!N549="","",Tabel!Q549)</f>
        <v/>
      </c>
      <c r="B546" s="11" t="str">
        <f>IF(Tabel!N549="","",IF(Tabel!Q549="","",Tabel!N549))</f>
        <v/>
      </c>
      <c r="C546" s="22" t="str">
        <f>IF(Tabel!O549="","",Tabel!S549)</f>
        <v/>
      </c>
      <c r="D546" s="11" t="str">
        <f>IF(Tabel!O549="","",IF(Tabel!S549="","",Tabel!O549))</f>
        <v/>
      </c>
      <c r="E546" s="22" t="str">
        <f>IF(Tabel!P549="","",Tabel!T549)</f>
        <v/>
      </c>
      <c r="F546" s="11" t="str">
        <f>IF(Tabel!P549="","",IF(Tabel!U549="","",Tabel!P549))</f>
        <v/>
      </c>
    </row>
    <row r="547" spans="1:6" x14ac:dyDescent="0.25">
      <c r="A547" s="22" t="str">
        <f>IF(Tabel!N550="","",Tabel!Q550)</f>
        <v/>
      </c>
      <c r="B547" s="11" t="str">
        <f>IF(Tabel!N550="","",IF(Tabel!Q550="","",Tabel!N550))</f>
        <v/>
      </c>
      <c r="C547" s="22" t="str">
        <f>IF(Tabel!O550="","",Tabel!S550)</f>
        <v/>
      </c>
      <c r="D547" s="11" t="str">
        <f>IF(Tabel!O550="","",IF(Tabel!S550="","",Tabel!O550))</f>
        <v/>
      </c>
      <c r="E547" s="22" t="str">
        <f>IF(Tabel!P550="","",Tabel!T550)</f>
        <v/>
      </c>
      <c r="F547" s="11" t="str">
        <f>IF(Tabel!P550="","",IF(Tabel!U550="","",Tabel!P550))</f>
        <v/>
      </c>
    </row>
    <row r="548" spans="1:6" x14ac:dyDescent="0.25">
      <c r="A548" s="22" t="str">
        <f>IF(Tabel!N551="","",Tabel!Q551)</f>
        <v/>
      </c>
      <c r="B548" s="11" t="str">
        <f>IF(Tabel!N551="","",IF(Tabel!Q551="","",Tabel!N551))</f>
        <v/>
      </c>
      <c r="C548" s="22" t="str">
        <f>IF(Tabel!O551="","",Tabel!S551)</f>
        <v/>
      </c>
      <c r="D548" s="11" t="str">
        <f>IF(Tabel!O551="","",IF(Tabel!S551="","",Tabel!O551))</f>
        <v/>
      </c>
      <c r="E548" s="22" t="str">
        <f>IF(Tabel!P551="","",Tabel!T551)</f>
        <v/>
      </c>
      <c r="F548" s="11" t="str">
        <f>IF(Tabel!P551="","",IF(Tabel!U551="","",Tabel!P551))</f>
        <v/>
      </c>
    </row>
    <row r="549" spans="1:6" x14ac:dyDescent="0.25">
      <c r="A549" s="22" t="str">
        <f>IF(Tabel!N552="","",Tabel!Q552)</f>
        <v/>
      </c>
      <c r="B549" s="11" t="str">
        <f>IF(Tabel!N552="","",IF(Tabel!Q552="","",Tabel!N552))</f>
        <v/>
      </c>
      <c r="C549" s="22" t="str">
        <f>IF(Tabel!O552="","",Tabel!S552)</f>
        <v/>
      </c>
      <c r="D549" s="11" t="str">
        <f>IF(Tabel!O552="","",IF(Tabel!S552="","",Tabel!O552))</f>
        <v/>
      </c>
      <c r="E549" s="22" t="str">
        <f>IF(Tabel!P552="","",Tabel!T552)</f>
        <v/>
      </c>
      <c r="F549" s="11" t="str">
        <f>IF(Tabel!P552="","",IF(Tabel!U552="","",Tabel!P552))</f>
        <v/>
      </c>
    </row>
    <row r="550" spans="1:6" x14ac:dyDescent="0.25">
      <c r="A550" s="22" t="str">
        <f>IF(Tabel!N553="","",Tabel!Q553)</f>
        <v/>
      </c>
      <c r="B550" s="11" t="str">
        <f>IF(Tabel!N553="","",IF(Tabel!Q553="","",Tabel!N553))</f>
        <v/>
      </c>
      <c r="C550" s="22" t="str">
        <f>IF(Tabel!O553="","",Tabel!S553)</f>
        <v/>
      </c>
      <c r="D550" s="11" t="str">
        <f>IF(Tabel!O553="","",IF(Tabel!S553="","",Tabel!O553))</f>
        <v/>
      </c>
      <c r="E550" s="22" t="str">
        <f>IF(Tabel!P553="","",Tabel!T553)</f>
        <v/>
      </c>
      <c r="F550" s="11" t="str">
        <f>IF(Tabel!P553="","",IF(Tabel!U553="","",Tabel!P553))</f>
        <v/>
      </c>
    </row>
    <row r="551" spans="1:6" x14ac:dyDescent="0.25">
      <c r="A551" s="22" t="str">
        <f>IF(Tabel!N554="","",Tabel!Q554)</f>
        <v/>
      </c>
      <c r="B551" s="11" t="str">
        <f>IF(Tabel!N554="","",IF(Tabel!Q554="","",Tabel!N554))</f>
        <v/>
      </c>
      <c r="C551" s="22" t="str">
        <f>IF(Tabel!O554="","",Tabel!S554)</f>
        <v/>
      </c>
      <c r="D551" s="11" t="str">
        <f>IF(Tabel!O554="","",IF(Tabel!S554="","",Tabel!O554))</f>
        <v/>
      </c>
      <c r="E551" s="22" t="str">
        <f>IF(Tabel!P554="","",Tabel!T554)</f>
        <v/>
      </c>
      <c r="F551" s="11" t="str">
        <f>IF(Tabel!P554="","",IF(Tabel!U554="","",Tabel!P554))</f>
        <v/>
      </c>
    </row>
    <row r="552" spans="1:6" x14ac:dyDescent="0.25">
      <c r="A552" s="22" t="str">
        <f>IF(Tabel!N555="","",Tabel!Q555)</f>
        <v/>
      </c>
      <c r="B552" s="11" t="str">
        <f>IF(Tabel!N555="","",IF(Tabel!Q555="","",Tabel!N555))</f>
        <v/>
      </c>
      <c r="C552" s="22" t="str">
        <f>IF(Tabel!O555="","",Tabel!S555)</f>
        <v/>
      </c>
      <c r="D552" s="11" t="str">
        <f>IF(Tabel!O555="","",IF(Tabel!S555="","",Tabel!O555))</f>
        <v/>
      </c>
      <c r="E552" s="22" t="str">
        <f>IF(Tabel!P555="","",Tabel!T555)</f>
        <v/>
      </c>
      <c r="F552" s="11" t="str">
        <f>IF(Tabel!P555="","",IF(Tabel!U555="","",Tabel!P555))</f>
        <v/>
      </c>
    </row>
    <row r="553" spans="1:6" x14ac:dyDescent="0.25">
      <c r="A553" s="22" t="str">
        <f>IF(Tabel!N556="","",Tabel!Q556)</f>
        <v/>
      </c>
      <c r="B553" s="11" t="str">
        <f>IF(Tabel!N556="","",IF(Tabel!Q556="","",Tabel!N556))</f>
        <v/>
      </c>
      <c r="C553" s="22" t="str">
        <f>IF(Tabel!O556="","",Tabel!S556)</f>
        <v/>
      </c>
      <c r="D553" s="11" t="str">
        <f>IF(Tabel!O556="","",IF(Tabel!S556="","",Tabel!O556))</f>
        <v/>
      </c>
      <c r="E553" s="22" t="str">
        <f>IF(Tabel!P556="","",Tabel!T556)</f>
        <v/>
      </c>
      <c r="F553" s="11" t="str">
        <f>IF(Tabel!P556="","",IF(Tabel!U556="","",Tabel!P556))</f>
        <v/>
      </c>
    </row>
    <row r="554" spans="1:6" x14ac:dyDescent="0.25">
      <c r="A554" s="22" t="str">
        <f>IF(Tabel!N557="","",Tabel!Q557)</f>
        <v/>
      </c>
      <c r="B554" s="11" t="str">
        <f>IF(Tabel!N557="","",IF(Tabel!Q557="","",Tabel!N557))</f>
        <v/>
      </c>
      <c r="C554" s="22" t="str">
        <f>IF(Tabel!O557="","",Tabel!S557)</f>
        <v/>
      </c>
      <c r="D554" s="11" t="str">
        <f>IF(Tabel!O557="","",IF(Tabel!S557="","",Tabel!O557))</f>
        <v/>
      </c>
      <c r="E554" s="22" t="str">
        <f>IF(Tabel!P557="","",Tabel!T557)</f>
        <v/>
      </c>
      <c r="F554" s="11" t="str">
        <f>IF(Tabel!P557="","",IF(Tabel!U557="","",Tabel!P557))</f>
        <v/>
      </c>
    </row>
    <row r="555" spans="1:6" x14ac:dyDescent="0.25">
      <c r="A555" s="22" t="str">
        <f>IF(Tabel!N558="","",Tabel!Q558)</f>
        <v/>
      </c>
      <c r="B555" s="11" t="str">
        <f>IF(Tabel!N558="","",IF(Tabel!Q558="","",Tabel!N558))</f>
        <v/>
      </c>
      <c r="C555" s="22" t="str">
        <f>IF(Tabel!O558="","",Tabel!S558)</f>
        <v/>
      </c>
      <c r="D555" s="11" t="str">
        <f>IF(Tabel!O558="","",IF(Tabel!S558="","",Tabel!O558))</f>
        <v/>
      </c>
      <c r="E555" s="22" t="str">
        <f>IF(Tabel!P558="","",Tabel!T558)</f>
        <v/>
      </c>
      <c r="F555" s="11" t="str">
        <f>IF(Tabel!P558="","",IF(Tabel!U558="","",Tabel!P558))</f>
        <v/>
      </c>
    </row>
    <row r="556" spans="1:6" x14ac:dyDescent="0.25">
      <c r="A556" s="22" t="str">
        <f>IF(Tabel!N559="","",Tabel!Q559)</f>
        <v/>
      </c>
      <c r="B556" s="11" t="str">
        <f>IF(Tabel!N559="","",IF(Tabel!Q559="","",Tabel!N559))</f>
        <v/>
      </c>
      <c r="C556" s="22" t="str">
        <f>IF(Tabel!O559="","",Tabel!S559)</f>
        <v/>
      </c>
      <c r="D556" s="11" t="str">
        <f>IF(Tabel!O559="","",IF(Tabel!S559="","",Tabel!O559))</f>
        <v/>
      </c>
      <c r="E556" s="22" t="str">
        <f>IF(Tabel!P559="","",Tabel!T559)</f>
        <v/>
      </c>
      <c r="F556" s="11" t="str">
        <f>IF(Tabel!P559="","",IF(Tabel!U559="","",Tabel!P559))</f>
        <v/>
      </c>
    </row>
    <row r="557" spans="1:6" x14ac:dyDescent="0.25">
      <c r="A557" s="22" t="str">
        <f>IF(Tabel!N560="","",Tabel!Q560)</f>
        <v/>
      </c>
      <c r="B557" s="11" t="str">
        <f>IF(Tabel!N560="","",IF(Tabel!Q560="","",Tabel!N560))</f>
        <v/>
      </c>
      <c r="C557" s="22" t="str">
        <f>IF(Tabel!O560="","",Tabel!S560)</f>
        <v/>
      </c>
      <c r="D557" s="11" t="str">
        <f>IF(Tabel!O560="","",IF(Tabel!S560="","",Tabel!O560))</f>
        <v/>
      </c>
      <c r="E557" s="22" t="str">
        <f>IF(Tabel!P560="","",Tabel!T560)</f>
        <v/>
      </c>
      <c r="F557" s="11" t="str">
        <f>IF(Tabel!P560="","",IF(Tabel!U560="","",Tabel!P560))</f>
        <v/>
      </c>
    </row>
    <row r="558" spans="1:6" x14ac:dyDescent="0.25">
      <c r="A558" s="22" t="str">
        <f>IF(Tabel!N561="","",Tabel!Q561)</f>
        <v/>
      </c>
      <c r="B558" s="11" t="str">
        <f>IF(Tabel!N561="","",IF(Tabel!Q561="","",Tabel!N561))</f>
        <v/>
      </c>
      <c r="C558" s="22" t="str">
        <f>IF(Tabel!O561="","",Tabel!S561)</f>
        <v/>
      </c>
      <c r="D558" s="11" t="str">
        <f>IF(Tabel!O561="","",IF(Tabel!S561="","",Tabel!O561))</f>
        <v/>
      </c>
      <c r="E558" s="22" t="str">
        <f>IF(Tabel!P561="","",Tabel!T561)</f>
        <v/>
      </c>
      <c r="F558" s="11" t="str">
        <f>IF(Tabel!P561="","",IF(Tabel!U561="","",Tabel!P561))</f>
        <v/>
      </c>
    </row>
    <row r="559" spans="1:6" x14ac:dyDescent="0.25">
      <c r="A559" s="22" t="str">
        <f>IF(Tabel!N562="","",Tabel!Q562)</f>
        <v/>
      </c>
      <c r="B559" s="11" t="str">
        <f>IF(Tabel!N562="","",IF(Tabel!Q562="","",Tabel!N562))</f>
        <v/>
      </c>
      <c r="C559" s="22" t="str">
        <f>IF(Tabel!O562="","",Tabel!S562)</f>
        <v/>
      </c>
      <c r="D559" s="11" t="str">
        <f>IF(Tabel!O562="","",IF(Tabel!S562="","",Tabel!O562))</f>
        <v/>
      </c>
      <c r="E559" s="22" t="str">
        <f>IF(Tabel!P562="","",Tabel!T562)</f>
        <v/>
      </c>
      <c r="F559" s="11" t="str">
        <f>IF(Tabel!P562="","",IF(Tabel!U562="","",Tabel!P562))</f>
        <v/>
      </c>
    </row>
    <row r="560" spans="1:6" x14ac:dyDescent="0.25">
      <c r="A560" s="22" t="str">
        <f>IF(Tabel!N563="","",Tabel!Q563)</f>
        <v/>
      </c>
      <c r="B560" s="11" t="str">
        <f>IF(Tabel!N563="","",IF(Tabel!Q563="","",Tabel!N563))</f>
        <v/>
      </c>
      <c r="C560" s="22" t="str">
        <f>IF(Tabel!O563="","",Tabel!S563)</f>
        <v/>
      </c>
      <c r="D560" s="11" t="str">
        <f>IF(Tabel!O563="","",IF(Tabel!S563="","",Tabel!O563))</f>
        <v/>
      </c>
      <c r="E560" s="22" t="str">
        <f>IF(Tabel!P563="","",Tabel!T563)</f>
        <v/>
      </c>
      <c r="F560" s="11" t="str">
        <f>IF(Tabel!P563="","",IF(Tabel!U563="","",Tabel!P563))</f>
        <v/>
      </c>
    </row>
    <row r="561" spans="1:6" x14ac:dyDescent="0.25">
      <c r="A561" s="22" t="str">
        <f>IF(Tabel!N564="","",Tabel!Q564)</f>
        <v/>
      </c>
      <c r="B561" s="11" t="str">
        <f>IF(Tabel!N564="","",IF(Tabel!Q564="","",Tabel!N564))</f>
        <v/>
      </c>
      <c r="C561" s="22" t="str">
        <f>IF(Tabel!O564="","",Tabel!S564)</f>
        <v/>
      </c>
      <c r="D561" s="11" t="str">
        <f>IF(Tabel!O564="","",IF(Tabel!S564="","",Tabel!O564))</f>
        <v/>
      </c>
      <c r="E561" s="22" t="str">
        <f>IF(Tabel!P564="","",Tabel!T564)</f>
        <v/>
      </c>
      <c r="F561" s="11" t="str">
        <f>IF(Tabel!P564="","",IF(Tabel!U564="","",Tabel!P564))</f>
        <v/>
      </c>
    </row>
    <row r="562" spans="1:6" x14ac:dyDescent="0.25">
      <c r="A562" s="22" t="str">
        <f>IF(Tabel!N565="","",Tabel!Q565)</f>
        <v/>
      </c>
      <c r="B562" s="11" t="str">
        <f>IF(Tabel!N565="","",IF(Tabel!Q565="","",Tabel!N565))</f>
        <v/>
      </c>
      <c r="C562" s="22" t="str">
        <f>IF(Tabel!O565="","",Tabel!S565)</f>
        <v/>
      </c>
      <c r="D562" s="11" t="str">
        <f>IF(Tabel!O565="","",IF(Tabel!S565="","",Tabel!O565))</f>
        <v/>
      </c>
      <c r="E562" s="22" t="str">
        <f>IF(Tabel!P565="","",Tabel!T565)</f>
        <v/>
      </c>
      <c r="F562" s="11" t="str">
        <f>IF(Tabel!P565="","",IF(Tabel!U565="","",Tabel!P565))</f>
        <v/>
      </c>
    </row>
    <row r="563" spans="1:6" x14ac:dyDescent="0.25">
      <c r="A563" s="22" t="str">
        <f>IF(Tabel!N566="","",Tabel!Q566)</f>
        <v/>
      </c>
      <c r="B563" s="11" t="str">
        <f>IF(Tabel!N566="","",IF(Tabel!Q566="","",Tabel!N566))</f>
        <v/>
      </c>
      <c r="C563" s="22" t="str">
        <f>IF(Tabel!O566="","",Tabel!S566)</f>
        <v/>
      </c>
      <c r="D563" s="11" t="str">
        <f>IF(Tabel!O566="","",IF(Tabel!S566="","",Tabel!O566))</f>
        <v/>
      </c>
      <c r="E563" s="22" t="str">
        <f>IF(Tabel!P566="","",Tabel!T566)</f>
        <v/>
      </c>
      <c r="F563" s="11" t="str">
        <f>IF(Tabel!P566="","",IF(Tabel!U566="","",Tabel!P566))</f>
        <v/>
      </c>
    </row>
    <row r="564" spans="1:6" x14ac:dyDescent="0.25">
      <c r="A564" s="22" t="str">
        <f>IF(Tabel!N567="","",Tabel!Q567)</f>
        <v/>
      </c>
      <c r="B564" s="11" t="str">
        <f>IF(Tabel!N567="","",IF(Tabel!Q567="","",Tabel!N567))</f>
        <v/>
      </c>
      <c r="C564" s="22" t="str">
        <f>IF(Tabel!O567="","",Tabel!S567)</f>
        <v/>
      </c>
      <c r="D564" s="11" t="str">
        <f>IF(Tabel!O567="","",IF(Tabel!S567="","",Tabel!O567))</f>
        <v/>
      </c>
      <c r="E564" s="22" t="str">
        <f>IF(Tabel!P567="","",Tabel!T567)</f>
        <v/>
      </c>
      <c r="F564" s="11" t="str">
        <f>IF(Tabel!P567="","",IF(Tabel!U567="","",Tabel!P567))</f>
        <v/>
      </c>
    </row>
    <row r="565" spans="1:6" x14ac:dyDescent="0.25">
      <c r="A565" s="22" t="str">
        <f>IF(Tabel!N568="","",Tabel!Q568)</f>
        <v/>
      </c>
      <c r="B565" s="11" t="str">
        <f>IF(Tabel!N568="","",IF(Tabel!Q568="","",Tabel!N568))</f>
        <v/>
      </c>
      <c r="C565" s="22" t="str">
        <f>IF(Tabel!O568="","",Tabel!S568)</f>
        <v/>
      </c>
      <c r="D565" s="11" t="str">
        <f>IF(Tabel!O568="","",IF(Tabel!S568="","",Tabel!O568))</f>
        <v/>
      </c>
      <c r="E565" s="22" t="str">
        <f>IF(Tabel!P568="","",Tabel!T568)</f>
        <v/>
      </c>
      <c r="F565" s="11" t="str">
        <f>IF(Tabel!P568="","",IF(Tabel!U568="","",Tabel!P568))</f>
        <v/>
      </c>
    </row>
    <row r="566" spans="1:6" x14ac:dyDescent="0.25">
      <c r="A566" s="22" t="str">
        <f>IF(Tabel!N569="","",Tabel!Q569)</f>
        <v/>
      </c>
      <c r="B566" s="11" t="str">
        <f>IF(Tabel!N569="","",IF(Tabel!Q569="","",Tabel!N569))</f>
        <v/>
      </c>
      <c r="C566" s="22" t="str">
        <f>IF(Tabel!O569="","",Tabel!S569)</f>
        <v/>
      </c>
      <c r="D566" s="11" t="str">
        <f>IF(Tabel!O569="","",IF(Tabel!S569="","",Tabel!O569))</f>
        <v/>
      </c>
      <c r="E566" s="22" t="str">
        <f>IF(Tabel!P569="","",Tabel!T569)</f>
        <v/>
      </c>
      <c r="F566" s="11" t="str">
        <f>IF(Tabel!P569="","",IF(Tabel!U569="","",Tabel!P569))</f>
        <v/>
      </c>
    </row>
    <row r="567" spans="1:6" x14ac:dyDescent="0.25">
      <c r="A567" s="22" t="str">
        <f>IF(Tabel!N570="","",Tabel!Q570)</f>
        <v/>
      </c>
      <c r="B567" s="11" t="str">
        <f>IF(Tabel!N570="","",IF(Tabel!Q570="","",Tabel!N570))</f>
        <v/>
      </c>
      <c r="C567" s="22" t="str">
        <f>IF(Tabel!O570="","",Tabel!S570)</f>
        <v/>
      </c>
      <c r="D567" s="11" t="str">
        <f>IF(Tabel!O570="","",IF(Tabel!S570="","",Tabel!O570))</f>
        <v/>
      </c>
      <c r="E567" s="22" t="str">
        <f>IF(Tabel!P570="","",Tabel!T570)</f>
        <v/>
      </c>
      <c r="F567" s="11" t="str">
        <f>IF(Tabel!P570="","",IF(Tabel!U570="","",Tabel!P570))</f>
        <v/>
      </c>
    </row>
    <row r="568" spans="1:6" x14ac:dyDescent="0.25">
      <c r="A568" s="22" t="str">
        <f>IF(Tabel!N571="","",Tabel!Q571)</f>
        <v/>
      </c>
      <c r="B568" s="11" t="str">
        <f>IF(Tabel!N571="","",IF(Tabel!Q571="","",Tabel!N571))</f>
        <v/>
      </c>
      <c r="C568" s="22" t="str">
        <f>IF(Tabel!O571="","",Tabel!S571)</f>
        <v/>
      </c>
      <c r="D568" s="11" t="str">
        <f>IF(Tabel!O571="","",IF(Tabel!S571="","",Tabel!O571))</f>
        <v/>
      </c>
      <c r="E568" s="22" t="str">
        <f>IF(Tabel!P571="","",Tabel!T571)</f>
        <v/>
      </c>
      <c r="F568" s="11" t="str">
        <f>IF(Tabel!P571="","",IF(Tabel!U571="","",Tabel!P571))</f>
        <v/>
      </c>
    </row>
    <row r="569" spans="1:6" x14ac:dyDescent="0.25">
      <c r="A569" s="22" t="str">
        <f>IF(Tabel!N572="","",Tabel!Q572)</f>
        <v/>
      </c>
      <c r="B569" s="11" t="str">
        <f>IF(Tabel!N572="","",IF(Tabel!Q572="","",Tabel!N572))</f>
        <v/>
      </c>
      <c r="C569" s="22" t="str">
        <f>IF(Tabel!O572="","",Tabel!S572)</f>
        <v/>
      </c>
      <c r="D569" s="11" t="str">
        <f>IF(Tabel!O572="","",IF(Tabel!S572="","",Tabel!O572))</f>
        <v/>
      </c>
      <c r="E569" s="22" t="str">
        <f>IF(Tabel!P572="","",Tabel!T572)</f>
        <v/>
      </c>
      <c r="F569" s="11" t="str">
        <f>IF(Tabel!P572="","",IF(Tabel!U572="","",Tabel!P572))</f>
        <v/>
      </c>
    </row>
    <row r="570" spans="1:6" x14ac:dyDescent="0.25">
      <c r="A570" s="22" t="str">
        <f>IF(Tabel!N573="","",Tabel!Q573)</f>
        <v/>
      </c>
      <c r="B570" s="11" t="str">
        <f>IF(Tabel!N573="","",IF(Tabel!Q573="","",Tabel!N573))</f>
        <v/>
      </c>
      <c r="C570" s="22" t="str">
        <f>IF(Tabel!O573="","",Tabel!S573)</f>
        <v/>
      </c>
      <c r="D570" s="11" t="str">
        <f>IF(Tabel!O573="","",IF(Tabel!S573="","",Tabel!O573))</f>
        <v/>
      </c>
      <c r="E570" s="22" t="str">
        <f>IF(Tabel!P573="","",Tabel!T573)</f>
        <v/>
      </c>
      <c r="F570" s="11" t="str">
        <f>IF(Tabel!P573="","",IF(Tabel!U573="","",Tabel!P573))</f>
        <v/>
      </c>
    </row>
    <row r="571" spans="1:6" x14ac:dyDescent="0.25">
      <c r="A571" s="22" t="str">
        <f>IF(Tabel!N574="","",Tabel!Q574)</f>
        <v/>
      </c>
      <c r="B571" s="11" t="str">
        <f>IF(Tabel!N574="","",IF(Tabel!Q574="","",Tabel!N574))</f>
        <v/>
      </c>
      <c r="C571" s="22" t="str">
        <f>IF(Tabel!O574="","",Tabel!S574)</f>
        <v/>
      </c>
      <c r="D571" s="11" t="str">
        <f>IF(Tabel!O574="","",IF(Tabel!S574="","",Tabel!O574))</f>
        <v/>
      </c>
      <c r="E571" s="22" t="str">
        <f>IF(Tabel!P574="","",Tabel!T574)</f>
        <v/>
      </c>
      <c r="F571" s="11" t="str">
        <f>IF(Tabel!P574="","",IF(Tabel!U574="","",Tabel!P574))</f>
        <v/>
      </c>
    </row>
    <row r="572" spans="1:6" x14ac:dyDescent="0.25">
      <c r="A572" s="22" t="str">
        <f>IF(Tabel!N575="","",Tabel!Q575)</f>
        <v/>
      </c>
      <c r="B572" s="11" t="str">
        <f>IF(Tabel!N575="","",IF(Tabel!Q575="","",Tabel!N575))</f>
        <v/>
      </c>
      <c r="C572" s="22" t="str">
        <f>IF(Tabel!O575="","",Tabel!S575)</f>
        <v/>
      </c>
      <c r="D572" s="11" t="str">
        <f>IF(Tabel!O575="","",IF(Tabel!S575="","",Tabel!O575))</f>
        <v/>
      </c>
      <c r="E572" s="22" t="str">
        <f>IF(Tabel!P575="","",Tabel!T575)</f>
        <v/>
      </c>
      <c r="F572" s="11" t="str">
        <f>IF(Tabel!P575="","",IF(Tabel!U575="","",Tabel!P575))</f>
        <v/>
      </c>
    </row>
    <row r="573" spans="1:6" x14ac:dyDescent="0.25">
      <c r="A573" s="22" t="str">
        <f>IF(Tabel!N576="","",Tabel!Q576)</f>
        <v/>
      </c>
      <c r="B573" s="11" t="str">
        <f>IF(Tabel!N576="","",IF(Tabel!Q576="","",Tabel!N576))</f>
        <v/>
      </c>
      <c r="C573" s="22" t="str">
        <f>IF(Tabel!O576="","",Tabel!S576)</f>
        <v/>
      </c>
      <c r="D573" s="11" t="str">
        <f>IF(Tabel!O576="","",IF(Tabel!S576="","",Tabel!O576))</f>
        <v/>
      </c>
      <c r="E573" s="22" t="str">
        <f>IF(Tabel!P576="","",Tabel!T576)</f>
        <v/>
      </c>
      <c r="F573" s="11" t="str">
        <f>IF(Tabel!P576="","",IF(Tabel!U576="","",Tabel!P576))</f>
        <v/>
      </c>
    </row>
    <row r="574" spans="1:6" x14ac:dyDescent="0.25">
      <c r="A574" s="22" t="str">
        <f>IF(Tabel!N577="","",Tabel!Q577)</f>
        <v/>
      </c>
      <c r="B574" s="11" t="str">
        <f>IF(Tabel!N577="","",IF(Tabel!Q577="","",Tabel!N577))</f>
        <v/>
      </c>
      <c r="C574" s="22" t="str">
        <f>IF(Tabel!O577="","",Tabel!S577)</f>
        <v/>
      </c>
      <c r="D574" s="11" t="str">
        <f>IF(Tabel!O577="","",IF(Tabel!S577="","",Tabel!O577))</f>
        <v/>
      </c>
      <c r="E574" s="22" t="str">
        <f>IF(Tabel!P577="","",Tabel!T577)</f>
        <v/>
      </c>
      <c r="F574" s="11" t="str">
        <f>IF(Tabel!P577="","",IF(Tabel!U577="","",Tabel!P577))</f>
        <v/>
      </c>
    </row>
    <row r="575" spans="1:6" x14ac:dyDescent="0.25">
      <c r="A575" s="22" t="str">
        <f>IF(Tabel!N578="","",Tabel!Q578)</f>
        <v/>
      </c>
      <c r="B575" s="11" t="str">
        <f>IF(Tabel!N578="","",IF(Tabel!Q578="","",Tabel!N578))</f>
        <v/>
      </c>
      <c r="C575" s="22" t="str">
        <f>IF(Tabel!O578="","",Tabel!S578)</f>
        <v/>
      </c>
      <c r="D575" s="11" t="str">
        <f>IF(Tabel!O578="","",IF(Tabel!S578="","",Tabel!O578))</f>
        <v/>
      </c>
      <c r="E575" s="22" t="str">
        <f>IF(Tabel!P578="","",Tabel!T578)</f>
        <v/>
      </c>
      <c r="F575" s="11" t="str">
        <f>IF(Tabel!P578="","",IF(Tabel!U578="","",Tabel!P578))</f>
        <v/>
      </c>
    </row>
    <row r="576" spans="1:6" x14ac:dyDescent="0.25">
      <c r="A576" s="22" t="str">
        <f>IF(Tabel!N579="","",Tabel!Q579)</f>
        <v/>
      </c>
      <c r="B576" s="11" t="str">
        <f>IF(Tabel!N579="","",IF(Tabel!Q579="","",Tabel!N579))</f>
        <v/>
      </c>
      <c r="C576" s="22" t="str">
        <f>IF(Tabel!O579="","",Tabel!S579)</f>
        <v/>
      </c>
      <c r="D576" s="11" t="str">
        <f>IF(Tabel!O579="","",IF(Tabel!S579="","",Tabel!O579))</f>
        <v/>
      </c>
      <c r="E576" s="22" t="str">
        <f>IF(Tabel!P579="","",Tabel!T579)</f>
        <v/>
      </c>
      <c r="F576" s="11" t="str">
        <f>IF(Tabel!P579="","",IF(Tabel!U579="","",Tabel!P579))</f>
        <v/>
      </c>
    </row>
    <row r="577" spans="1:6" x14ac:dyDescent="0.25">
      <c r="A577" s="22" t="str">
        <f>IF(Tabel!N580="","",Tabel!Q580)</f>
        <v/>
      </c>
      <c r="B577" s="11" t="str">
        <f>IF(Tabel!N580="","",IF(Tabel!Q580="","",Tabel!N580))</f>
        <v/>
      </c>
      <c r="C577" s="22" t="str">
        <f>IF(Tabel!O580="","",Tabel!S580)</f>
        <v/>
      </c>
      <c r="D577" s="11" t="str">
        <f>IF(Tabel!O580="","",IF(Tabel!S580="","",Tabel!O580))</f>
        <v/>
      </c>
      <c r="E577" s="22" t="str">
        <f>IF(Tabel!P580="","",Tabel!T580)</f>
        <v/>
      </c>
      <c r="F577" s="11" t="str">
        <f>IF(Tabel!P580="","",IF(Tabel!U580="","",Tabel!P580))</f>
        <v/>
      </c>
    </row>
    <row r="578" spans="1:6" x14ac:dyDescent="0.25">
      <c r="A578" s="22" t="str">
        <f>IF(Tabel!N581="","",Tabel!Q581)</f>
        <v/>
      </c>
      <c r="B578" s="11" t="str">
        <f>IF(Tabel!N581="","",IF(Tabel!Q581="","",Tabel!N581))</f>
        <v/>
      </c>
      <c r="C578" s="22" t="str">
        <f>IF(Tabel!O581="","",Tabel!S581)</f>
        <v/>
      </c>
      <c r="D578" s="11" t="str">
        <f>IF(Tabel!O581="","",IF(Tabel!S581="","",Tabel!O581))</f>
        <v/>
      </c>
      <c r="E578" s="22" t="str">
        <f>IF(Tabel!P581="","",Tabel!T581)</f>
        <v/>
      </c>
      <c r="F578" s="11" t="str">
        <f>IF(Tabel!P581="","",IF(Tabel!U581="","",Tabel!P581))</f>
        <v/>
      </c>
    </row>
    <row r="579" spans="1:6" x14ac:dyDescent="0.25">
      <c r="A579" s="22" t="str">
        <f>IF(Tabel!N582="","",Tabel!Q582)</f>
        <v/>
      </c>
      <c r="B579" s="11" t="str">
        <f>IF(Tabel!N582="","",IF(Tabel!Q582="","",Tabel!N582))</f>
        <v/>
      </c>
      <c r="C579" s="22" t="str">
        <f>IF(Tabel!O582="","",Tabel!S582)</f>
        <v/>
      </c>
      <c r="D579" s="11" t="str">
        <f>IF(Tabel!O582="","",IF(Tabel!S582="","",Tabel!O582))</f>
        <v/>
      </c>
      <c r="E579" s="22" t="str">
        <f>IF(Tabel!P582="","",Tabel!T582)</f>
        <v/>
      </c>
      <c r="F579" s="11" t="str">
        <f>IF(Tabel!P582="","",IF(Tabel!U582="","",Tabel!P582))</f>
        <v/>
      </c>
    </row>
    <row r="580" spans="1:6" x14ac:dyDescent="0.25">
      <c r="A580" s="22" t="str">
        <f>IF(Tabel!N583="","",Tabel!Q583)</f>
        <v/>
      </c>
      <c r="B580" s="11" t="str">
        <f>IF(Tabel!N583="","",IF(Tabel!Q583="","",Tabel!N583))</f>
        <v/>
      </c>
      <c r="C580" s="22" t="str">
        <f>IF(Tabel!O583="","",Tabel!S583)</f>
        <v/>
      </c>
      <c r="D580" s="11" t="str">
        <f>IF(Tabel!O583="","",IF(Tabel!S583="","",Tabel!O583))</f>
        <v/>
      </c>
      <c r="E580" s="22" t="str">
        <f>IF(Tabel!P583="","",Tabel!T583)</f>
        <v/>
      </c>
      <c r="F580" s="11" t="str">
        <f>IF(Tabel!P583="","",IF(Tabel!U583="","",Tabel!P583))</f>
        <v/>
      </c>
    </row>
    <row r="581" spans="1:6" x14ac:dyDescent="0.25">
      <c r="A581" s="22" t="str">
        <f>IF(Tabel!N584="","",Tabel!Q584)</f>
        <v/>
      </c>
      <c r="B581" s="11" t="str">
        <f>IF(Tabel!N584="","",IF(Tabel!Q584="","",Tabel!N584))</f>
        <v/>
      </c>
      <c r="C581" s="22" t="str">
        <f>IF(Tabel!O584="","",Tabel!S584)</f>
        <v/>
      </c>
      <c r="D581" s="11" t="str">
        <f>IF(Tabel!O584="","",IF(Tabel!S584="","",Tabel!O584))</f>
        <v/>
      </c>
      <c r="E581" s="22" t="str">
        <f>IF(Tabel!P584="","",Tabel!T584)</f>
        <v/>
      </c>
      <c r="F581" s="11" t="str">
        <f>IF(Tabel!P584="","",IF(Tabel!U584="","",Tabel!P584))</f>
        <v/>
      </c>
    </row>
    <row r="582" spans="1:6" x14ac:dyDescent="0.25">
      <c r="A582" s="22" t="str">
        <f>IF(Tabel!N585="","",Tabel!Q585)</f>
        <v/>
      </c>
      <c r="B582" s="11" t="str">
        <f>IF(Tabel!N585="","",IF(Tabel!Q585="","",Tabel!N585))</f>
        <v/>
      </c>
      <c r="C582" s="22" t="str">
        <f>IF(Tabel!O585="","",Tabel!S585)</f>
        <v/>
      </c>
      <c r="D582" s="11" t="str">
        <f>IF(Tabel!O585="","",IF(Tabel!S585="","",Tabel!O585))</f>
        <v/>
      </c>
      <c r="E582" s="22" t="str">
        <f>IF(Tabel!P585="","",Tabel!T585)</f>
        <v/>
      </c>
      <c r="F582" s="11" t="str">
        <f>IF(Tabel!P585="","",IF(Tabel!U585="","",Tabel!P585))</f>
        <v/>
      </c>
    </row>
    <row r="583" spans="1:6" x14ac:dyDescent="0.25">
      <c r="A583" s="22" t="str">
        <f>IF(Tabel!N586="","",Tabel!Q586)</f>
        <v/>
      </c>
      <c r="B583" s="11" t="str">
        <f>IF(Tabel!N586="","",IF(Tabel!Q586="","",Tabel!N586))</f>
        <v/>
      </c>
      <c r="C583" s="22" t="str">
        <f>IF(Tabel!O586="","",Tabel!S586)</f>
        <v/>
      </c>
      <c r="D583" s="11" t="str">
        <f>IF(Tabel!O586="","",IF(Tabel!S586="","",Tabel!O586))</f>
        <v/>
      </c>
      <c r="E583" s="22" t="str">
        <f>IF(Tabel!P586="","",Tabel!T586)</f>
        <v/>
      </c>
      <c r="F583" s="11" t="str">
        <f>IF(Tabel!P586="","",IF(Tabel!U586="","",Tabel!P586))</f>
        <v/>
      </c>
    </row>
    <row r="584" spans="1:6" x14ac:dyDescent="0.25">
      <c r="A584" s="22" t="str">
        <f>IF(Tabel!N587="","",Tabel!Q587)</f>
        <v/>
      </c>
      <c r="B584" s="11" t="str">
        <f>IF(Tabel!N587="","",IF(Tabel!Q587="","",Tabel!N587))</f>
        <v/>
      </c>
      <c r="C584" s="22" t="str">
        <f>IF(Tabel!O587="","",Tabel!S587)</f>
        <v/>
      </c>
      <c r="D584" s="11" t="str">
        <f>IF(Tabel!O587="","",IF(Tabel!S587="","",Tabel!O587))</f>
        <v/>
      </c>
      <c r="E584" s="22" t="str">
        <f>IF(Tabel!P587="","",Tabel!T587)</f>
        <v/>
      </c>
      <c r="F584" s="11" t="str">
        <f>IF(Tabel!P587="","",IF(Tabel!U587="","",Tabel!P587))</f>
        <v/>
      </c>
    </row>
    <row r="585" spans="1:6" x14ac:dyDescent="0.25">
      <c r="A585" s="22" t="str">
        <f>IF(Tabel!N588="","",Tabel!Q588)</f>
        <v/>
      </c>
      <c r="B585" s="11" t="str">
        <f>IF(Tabel!N588="","",IF(Tabel!Q588="","",Tabel!N588))</f>
        <v/>
      </c>
      <c r="C585" s="22" t="str">
        <f>IF(Tabel!O588="","",Tabel!S588)</f>
        <v/>
      </c>
      <c r="D585" s="11" t="str">
        <f>IF(Tabel!O588="","",IF(Tabel!S588="","",Tabel!O588))</f>
        <v/>
      </c>
      <c r="E585" s="22" t="str">
        <f>IF(Tabel!P588="","",Tabel!T588)</f>
        <v/>
      </c>
      <c r="F585" s="11" t="str">
        <f>IF(Tabel!P588="","",IF(Tabel!U588="","",Tabel!P588))</f>
        <v/>
      </c>
    </row>
    <row r="586" spans="1:6" x14ac:dyDescent="0.25">
      <c r="A586" s="22" t="str">
        <f>IF(Tabel!N589="","",Tabel!Q589)</f>
        <v/>
      </c>
      <c r="B586" s="11" t="str">
        <f>IF(Tabel!N589="","",IF(Tabel!Q589="","",Tabel!N589))</f>
        <v/>
      </c>
      <c r="C586" s="22" t="str">
        <f>IF(Tabel!O589="","",Tabel!S589)</f>
        <v/>
      </c>
      <c r="D586" s="11" t="str">
        <f>IF(Tabel!O589="","",IF(Tabel!S589="","",Tabel!O589))</f>
        <v/>
      </c>
      <c r="E586" s="22" t="str">
        <f>IF(Tabel!P589="","",Tabel!T589)</f>
        <v/>
      </c>
      <c r="F586" s="11" t="str">
        <f>IF(Tabel!P589="","",IF(Tabel!U589="","",Tabel!P589))</f>
        <v/>
      </c>
    </row>
    <row r="587" spans="1:6" x14ac:dyDescent="0.25">
      <c r="A587" s="22" t="str">
        <f>IF(Tabel!N590="","",Tabel!Q590)</f>
        <v/>
      </c>
      <c r="B587" s="11" t="str">
        <f>IF(Tabel!N590="","",IF(Tabel!Q590="","",Tabel!N590))</f>
        <v/>
      </c>
      <c r="C587" s="22" t="str">
        <f>IF(Tabel!O590="","",Tabel!S590)</f>
        <v/>
      </c>
      <c r="D587" s="11" t="str">
        <f>IF(Tabel!O590="","",IF(Tabel!S590="","",Tabel!O590))</f>
        <v/>
      </c>
      <c r="E587" s="22" t="str">
        <f>IF(Tabel!P590="","",Tabel!T590)</f>
        <v/>
      </c>
      <c r="F587" s="11" t="str">
        <f>IF(Tabel!P590="","",IF(Tabel!U590="","",Tabel!P590))</f>
        <v/>
      </c>
    </row>
    <row r="588" spans="1:6" x14ac:dyDescent="0.25">
      <c r="A588" s="22" t="str">
        <f>IF(Tabel!N591="","",Tabel!Q591)</f>
        <v/>
      </c>
      <c r="B588" s="11" t="str">
        <f>IF(Tabel!N591="","",IF(Tabel!Q591="","",Tabel!N591))</f>
        <v/>
      </c>
      <c r="C588" s="22" t="str">
        <f>IF(Tabel!O591="","",Tabel!S591)</f>
        <v/>
      </c>
      <c r="D588" s="11" t="str">
        <f>IF(Tabel!O591="","",IF(Tabel!S591="","",Tabel!O591))</f>
        <v/>
      </c>
      <c r="E588" s="22" t="str">
        <f>IF(Tabel!P591="","",Tabel!T591)</f>
        <v/>
      </c>
      <c r="F588" s="11" t="str">
        <f>IF(Tabel!P591="","",IF(Tabel!U591="","",Tabel!P591))</f>
        <v/>
      </c>
    </row>
    <row r="589" spans="1:6" x14ac:dyDescent="0.25">
      <c r="A589" s="22" t="str">
        <f>IF(Tabel!N592="","",Tabel!Q592)</f>
        <v/>
      </c>
      <c r="B589" s="11" t="str">
        <f>IF(Tabel!N592="","",IF(Tabel!Q592="","",Tabel!N592))</f>
        <v/>
      </c>
      <c r="C589" s="22" t="str">
        <f>IF(Tabel!O592="","",Tabel!S592)</f>
        <v/>
      </c>
      <c r="D589" s="11" t="str">
        <f>IF(Tabel!O592="","",IF(Tabel!S592="","",Tabel!O592))</f>
        <v/>
      </c>
      <c r="E589" s="22" t="str">
        <f>IF(Tabel!P592="","",Tabel!T592)</f>
        <v/>
      </c>
      <c r="F589" s="11" t="str">
        <f>IF(Tabel!P592="","",IF(Tabel!U592="","",Tabel!P592))</f>
        <v/>
      </c>
    </row>
    <row r="590" spans="1:6" x14ac:dyDescent="0.25">
      <c r="A590" s="22" t="str">
        <f>IF(Tabel!N593="","",Tabel!Q593)</f>
        <v/>
      </c>
      <c r="B590" s="11" t="str">
        <f>IF(Tabel!N593="","",IF(Tabel!Q593="","",Tabel!N593))</f>
        <v/>
      </c>
      <c r="C590" s="22" t="str">
        <f>IF(Tabel!O593="","",Tabel!S593)</f>
        <v/>
      </c>
      <c r="D590" s="11" t="str">
        <f>IF(Tabel!O593="","",IF(Tabel!S593="","",Tabel!O593))</f>
        <v/>
      </c>
      <c r="E590" s="22" t="str">
        <f>IF(Tabel!P593="","",Tabel!T593)</f>
        <v/>
      </c>
      <c r="F590" s="11" t="str">
        <f>IF(Tabel!P593="","",IF(Tabel!U593="","",Tabel!P593))</f>
        <v/>
      </c>
    </row>
    <row r="591" spans="1:6" x14ac:dyDescent="0.25">
      <c r="A591" s="22" t="str">
        <f>IF(Tabel!N594="","",Tabel!Q594)</f>
        <v/>
      </c>
      <c r="B591" s="11" t="str">
        <f>IF(Tabel!N594="","",IF(Tabel!Q594="","",Tabel!N594))</f>
        <v/>
      </c>
      <c r="C591" s="22" t="str">
        <f>IF(Tabel!O594="","",Tabel!S594)</f>
        <v/>
      </c>
      <c r="D591" s="11" t="str">
        <f>IF(Tabel!O594="","",IF(Tabel!S594="","",Tabel!O594))</f>
        <v/>
      </c>
      <c r="E591" s="22" t="str">
        <f>IF(Tabel!P594="","",Tabel!T594)</f>
        <v/>
      </c>
      <c r="F591" s="11" t="str">
        <f>IF(Tabel!P594="","",IF(Tabel!U594="","",Tabel!P594))</f>
        <v/>
      </c>
    </row>
    <row r="592" spans="1:6" x14ac:dyDescent="0.25">
      <c r="A592" s="22" t="str">
        <f>IF(Tabel!N595="","",Tabel!Q595)</f>
        <v/>
      </c>
      <c r="B592" s="11" t="str">
        <f>IF(Tabel!N595="","",IF(Tabel!Q595="","",Tabel!N595))</f>
        <v/>
      </c>
      <c r="C592" s="22" t="str">
        <f>IF(Tabel!O595="","",Tabel!S595)</f>
        <v/>
      </c>
      <c r="D592" s="11" t="str">
        <f>IF(Tabel!O595="","",IF(Tabel!S595="","",Tabel!O595))</f>
        <v/>
      </c>
      <c r="E592" s="22" t="str">
        <f>IF(Tabel!P595="","",Tabel!T595)</f>
        <v/>
      </c>
      <c r="F592" s="11" t="str">
        <f>IF(Tabel!P595="","",IF(Tabel!U595="","",Tabel!P595))</f>
        <v/>
      </c>
    </row>
    <row r="593" spans="1:6" x14ac:dyDescent="0.25">
      <c r="A593" s="22" t="str">
        <f>IF(Tabel!N596="","",Tabel!Q596)</f>
        <v/>
      </c>
      <c r="B593" s="11" t="str">
        <f>IF(Tabel!N596="","",IF(Tabel!Q596="","",Tabel!N596))</f>
        <v/>
      </c>
      <c r="C593" s="22" t="str">
        <f>IF(Tabel!O596="","",Tabel!S596)</f>
        <v/>
      </c>
      <c r="D593" s="11" t="str">
        <f>IF(Tabel!O596="","",IF(Tabel!S596="","",Tabel!O596))</f>
        <v/>
      </c>
      <c r="E593" s="22" t="str">
        <f>IF(Tabel!P596="","",Tabel!T596)</f>
        <v/>
      </c>
      <c r="F593" s="11" t="str">
        <f>IF(Tabel!P596="","",IF(Tabel!U596="","",Tabel!P596))</f>
        <v/>
      </c>
    </row>
    <row r="594" spans="1:6" x14ac:dyDescent="0.25">
      <c r="A594" s="22" t="str">
        <f>IF(Tabel!N597="","",Tabel!Q597)</f>
        <v/>
      </c>
      <c r="B594" s="11" t="str">
        <f>IF(Tabel!N597="","",IF(Tabel!Q597="","",Tabel!N597))</f>
        <v/>
      </c>
      <c r="C594" s="22" t="str">
        <f>IF(Tabel!O597="","",Tabel!S597)</f>
        <v/>
      </c>
      <c r="D594" s="11" t="str">
        <f>IF(Tabel!O597="","",IF(Tabel!S597="","",Tabel!O597))</f>
        <v/>
      </c>
      <c r="E594" s="22" t="str">
        <f>IF(Tabel!P597="","",Tabel!T597)</f>
        <v/>
      </c>
      <c r="F594" s="11" t="str">
        <f>IF(Tabel!P597="","",IF(Tabel!U597="","",Tabel!P597))</f>
        <v/>
      </c>
    </row>
    <row r="595" spans="1:6" x14ac:dyDescent="0.25">
      <c r="A595" s="22" t="str">
        <f>IF(Tabel!N598="","",Tabel!Q598)</f>
        <v/>
      </c>
      <c r="B595" s="11" t="str">
        <f>IF(Tabel!N598="","",IF(Tabel!Q598="","",Tabel!N598))</f>
        <v/>
      </c>
      <c r="C595" s="22" t="str">
        <f>IF(Tabel!O598="","",Tabel!S598)</f>
        <v/>
      </c>
      <c r="D595" s="11" t="str">
        <f>IF(Tabel!O598="","",IF(Tabel!S598="","",Tabel!O598))</f>
        <v/>
      </c>
      <c r="E595" s="22" t="str">
        <f>IF(Tabel!P598="","",Tabel!T598)</f>
        <v/>
      </c>
      <c r="F595" s="11" t="str">
        <f>IF(Tabel!P598="","",IF(Tabel!U598="","",Tabel!P598))</f>
        <v/>
      </c>
    </row>
    <row r="596" spans="1:6" x14ac:dyDescent="0.25">
      <c r="A596" s="22" t="str">
        <f>IF(Tabel!N599="","",Tabel!Q599)</f>
        <v/>
      </c>
      <c r="B596" s="11" t="str">
        <f>IF(Tabel!N599="","",IF(Tabel!Q599="","",Tabel!N599))</f>
        <v/>
      </c>
      <c r="C596" s="22" t="str">
        <f>IF(Tabel!O599="","",Tabel!S599)</f>
        <v/>
      </c>
      <c r="D596" s="11" t="str">
        <f>IF(Tabel!O599="","",IF(Tabel!S599="","",Tabel!O599))</f>
        <v/>
      </c>
      <c r="E596" s="22" t="str">
        <f>IF(Tabel!P599="","",Tabel!T599)</f>
        <v/>
      </c>
      <c r="F596" s="11" t="str">
        <f>IF(Tabel!P599="","",IF(Tabel!U599="","",Tabel!P599))</f>
        <v/>
      </c>
    </row>
    <row r="597" spans="1:6" x14ac:dyDescent="0.25">
      <c r="A597" s="22" t="str">
        <f>IF(Tabel!N600="","",Tabel!Q600)</f>
        <v/>
      </c>
      <c r="B597" s="11" t="str">
        <f>IF(Tabel!N600="","",IF(Tabel!Q600="","",Tabel!N600))</f>
        <v/>
      </c>
      <c r="C597" s="22" t="str">
        <f>IF(Tabel!O600="","",Tabel!S600)</f>
        <v/>
      </c>
      <c r="D597" s="11" t="str">
        <f>IF(Tabel!O600="","",IF(Tabel!S600="","",Tabel!O600))</f>
        <v/>
      </c>
      <c r="E597" s="22" t="str">
        <f>IF(Tabel!P600="","",Tabel!T600)</f>
        <v/>
      </c>
      <c r="F597" s="11" t="str">
        <f>IF(Tabel!P600="","",IF(Tabel!U600="","",Tabel!P600))</f>
        <v/>
      </c>
    </row>
    <row r="598" spans="1:6" x14ac:dyDescent="0.25">
      <c r="A598" s="22" t="str">
        <f>IF(Tabel!N601="","",Tabel!Q601)</f>
        <v/>
      </c>
      <c r="B598" s="11" t="str">
        <f>IF(Tabel!N601="","",IF(Tabel!Q601="","",Tabel!N601))</f>
        <v/>
      </c>
      <c r="C598" s="22" t="str">
        <f>IF(Tabel!O601="","",Tabel!S601)</f>
        <v/>
      </c>
      <c r="D598" s="11" t="str">
        <f>IF(Tabel!O601="","",IF(Tabel!S601="","",Tabel!O601))</f>
        <v/>
      </c>
      <c r="E598" s="22" t="str">
        <f>IF(Tabel!P601="","",Tabel!T601)</f>
        <v/>
      </c>
      <c r="F598" s="11" t="str">
        <f>IF(Tabel!P601="","",IF(Tabel!U601="","",Tabel!P601))</f>
        <v/>
      </c>
    </row>
    <row r="599" spans="1:6" x14ac:dyDescent="0.25">
      <c r="A599" s="22" t="str">
        <f>IF(Tabel!N602="","",Tabel!Q602)</f>
        <v/>
      </c>
      <c r="B599" s="11" t="str">
        <f>IF(Tabel!N602="","",IF(Tabel!Q602="","",Tabel!N602))</f>
        <v/>
      </c>
      <c r="C599" s="22" t="str">
        <f>IF(Tabel!O602="","",Tabel!S602)</f>
        <v/>
      </c>
      <c r="D599" s="11" t="str">
        <f>IF(Tabel!O602="","",IF(Tabel!S602="","",Tabel!O602))</f>
        <v/>
      </c>
      <c r="E599" s="22" t="str">
        <f>IF(Tabel!P602="","",Tabel!T602)</f>
        <v/>
      </c>
      <c r="F599" s="11" t="str">
        <f>IF(Tabel!P602="","",IF(Tabel!U602="","",Tabel!P602))</f>
        <v/>
      </c>
    </row>
    <row r="600" spans="1:6" x14ac:dyDescent="0.25">
      <c r="A600" s="22" t="str">
        <f>IF(Tabel!N603="","",Tabel!Q603)</f>
        <v/>
      </c>
      <c r="B600" s="11" t="str">
        <f>IF(Tabel!N603="","",IF(Tabel!Q603="","",Tabel!N603))</f>
        <v/>
      </c>
      <c r="C600" s="22" t="str">
        <f>IF(Tabel!O603="","",Tabel!S603)</f>
        <v/>
      </c>
      <c r="D600" s="11" t="str">
        <f>IF(Tabel!O603="","",IF(Tabel!S603="","",Tabel!O603))</f>
        <v/>
      </c>
      <c r="E600" s="22" t="str">
        <f>IF(Tabel!P603="","",Tabel!T603)</f>
        <v/>
      </c>
      <c r="F600" s="11" t="str">
        <f>IF(Tabel!P603="","",IF(Tabel!U603="","",Tabel!P603))</f>
        <v/>
      </c>
    </row>
    <row r="601" spans="1:6" x14ac:dyDescent="0.25">
      <c r="A601" s="22" t="str">
        <f>IF(Tabel!N604="","",Tabel!Q604)</f>
        <v/>
      </c>
      <c r="B601" s="11" t="str">
        <f>IF(Tabel!N604="","",IF(Tabel!Q604="","",Tabel!N604))</f>
        <v/>
      </c>
      <c r="C601" s="22" t="str">
        <f>IF(Tabel!O604="","",Tabel!S604)</f>
        <v/>
      </c>
      <c r="D601" s="11" t="str">
        <f>IF(Tabel!O604="","",IF(Tabel!S604="","",Tabel!O604))</f>
        <v/>
      </c>
      <c r="E601" s="22" t="str">
        <f>IF(Tabel!P604="","",Tabel!T604)</f>
        <v/>
      </c>
      <c r="F601" s="11" t="str">
        <f>IF(Tabel!P604="","",IF(Tabel!U604="","",Tabel!P604))</f>
        <v/>
      </c>
    </row>
    <row r="602" spans="1:6" x14ac:dyDescent="0.25">
      <c r="A602" s="22" t="str">
        <f>IF(Tabel!N605="","",Tabel!Q605)</f>
        <v/>
      </c>
      <c r="B602" s="11" t="str">
        <f>IF(Tabel!N605="","",IF(Tabel!Q605="","",Tabel!N605))</f>
        <v/>
      </c>
      <c r="C602" s="22" t="str">
        <f>IF(Tabel!O605="","",Tabel!S605)</f>
        <v/>
      </c>
      <c r="D602" s="11" t="str">
        <f>IF(Tabel!O605="","",IF(Tabel!S605="","",Tabel!O605))</f>
        <v/>
      </c>
      <c r="E602" s="22" t="str">
        <f>IF(Tabel!P605="","",Tabel!T605)</f>
        <v/>
      </c>
      <c r="F602" s="11" t="str">
        <f>IF(Tabel!P605="","",IF(Tabel!U605="","",Tabel!P605))</f>
        <v/>
      </c>
    </row>
    <row r="603" spans="1:6" x14ac:dyDescent="0.25">
      <c r="A603" s="22" t="str">
        <f>IF(Tabel!N606="","",Tabel!Q606)</f>
        <v/>
      </c>
      <c r="B603" s="11" t="str">
        <f>IF(Tabel!N606="","",IF(Tabel!Q606="","",Tabel!N606))</f>
        <v/>
      </c>
      <c r="C603" s="22" t="str">
        <f>IF(Tabel!O606="","",Tabel!S606)</f>
        <v/>
      </c>
      <c r="D603" s="11" t="str">
        <f>IF(Tabel!O606="","",IF(Tabel!S606="","",Tabel!O606))</f>
        <v/>
      </c>
      <c r="E603" s="22" t="str">
        <f>IF(Tabel!P606="","",Tabel!T606)</f>
        <v/>
      </c>
      <c r="F603" s="11" t="str">
        <f>IF(Tabel!P606="","",IF(Tabel!U606="","",Tabel!P606))</f>
        <v/>
      </c>
    </row>
    <row r="604" spans="1:6" x14ac:dyDescent="0.25">
      <c r="A604" s="22" t="str">
        <f>IF(Tabel!N607="","",Tabel!Q607)</f>
        <v/>
      </c>
      <c r="B604" s="11" t="str">
        <f>IF(Tabel!N607="","",IF(Tabel!Q607="","",Tabel!N607))</f>
        <v/>
      </c>
      <c r="C604" s="22" t="str">
        <f>IF(Tabel!O607="","",Tabel!S607)</f>
        <v/>
      </c>
      <c r="D604" s="11" t="str">
        <f>IF(Tabel!O607="","",IF(Tabel!S607="","",Tabel!O607))</f>
        <v/>
      </c>
      <c r="E604" s="22" t="str">
        <f>IF(Tabel!P607="","",Tabel!T607)</f>
        <v/>
      </c>
      <c r="F604" s="11" t="str">
        <f>IF(Tabel!P607="","",IF(Tabel!U607="","",Tabel!P607))</f>
        <v/>
      </c>
    </row>
    <row r="605" spans="1:6" x14ac:dyDescent="0.25">
      <c r="A605" s="22" t="str">
        <f>IF(Tabel!N608="","",Tabel!Q608)</f>
        <v/>
      </c>
      <c r="B605" s="11" t="str">
        <f>IF(Tabel!N608="","",IF(Tabel!Q608="","",Tabel!N608))</f>
        <v/>
      </c>
      <c r="C605" s="22" t="str">
        <f>IF(Tabel!O608="","",Tabel!S608)</f>
        <v/>
      </c>
      <c r="D605" s="11" t="str">
        <f>IF(Tabel!O608="","",IF(Tabel!S608="","",Tabel!O608))</f>
        <v/>
      </c>
      <c r="E605" s="22" t="str">
        <f>IF(Tabel!P608="","",Tabel!T608)</f>
        <v/>
      </c>
      <c r="F605" s="11" t="str">
        <f>IF(Tabel!P608="","",IF(Tabel!U608="","",Tabel!P608))</f>
        <v/>
      </c>
    </row>
    <row r="606" spans="1:6" x14ac:dyDescent="0.25">
      <c r="A606" s="22" t="str">
        <f>IF(Tabel!N609="","",Tabel!Q609)</f>
        <v/>
      </c>
      <c r="B606" s="11" t="str">
        <f>IF(Tabel!N609="","",IF(Tabel!Q609="","",Tabel!N609))</f>
        <v/>
      </c>
      <c r="C606" s="22" t="str">
        <f>IF(Tabel!O609="","",Tabel!S609)</f>
        <v/>
      </c>
      <c r="D606" s="11" t="str">
        <f>IF(Tabel!O609="","",IF(Tabel!S609="","",Tabel!O609))</f>
        <v/>
      </c>
      <c r="E606" s="22" t="str">
        <f>IF(Tabel!P609="","",Tabel!T609)</f>
        <v/>
      </c>
      <c r="F606" s="11" t="str">
        <f>IF(Tabel!P609="","",IF(Tabel!U609="","",Tabel!P609))</f>
        <v/>
      </c>
    </row>
    <row r="607" spans="1:6" x14ac:dyDescent="0.25">
      <c r="A607" s="22" t="str">
        <f>IF(Tabel!N610="","",Tabel!Q610)</f>
        <v/>
      </c>
      <c r="B607" s="11" t="str">
        <f>IF(Tabel!N610="","",IF(Tabel!Q610="","",Tabel!N610))</f>
        <v/>
      </c>
      <c r="C607" s="22" t="str">
        <f>IF(Tabel!O610="","",Tabel!S610)</f>
        <v/>
      </c>
      <c r="D607" s="11" t="str">
        <f>IF(Tabel!O610="","",IF(Tabel!S610="","",Tabel!O610))</f>
        <v/>
      </c>
      <c r="E607" s="22" t="str">
        <f>IF(Tabel!P610="","",Tabel!T610)</f>
        <v/>
      </c>
      <c r="F607" s="11" t="str">
        <f>IF(Tabel!P610="","",IF(Tabel!U610="","",Tabel!P610))</f>
        <v/>
      </c>
    </row>
    <row r="608" spans="1:6" x14ac:dyDescent="0.25">
      <c r="A608" s="22" t="str">
        <f>IF(Tabel!N611="","",Tabel!Q611)</f>
        <v/>
      </c>
      <c r="B608" s="11" t="str">
        <f>IF(Tabel!N611="","",IF(Tabel!Q611="","",Tabel!N611))</f>
        <v/>
      </c>
      <c r="C608" s="22" t="str">
        <f>IF(Tabel!O611="","",Tabel!S611)</f>
        <v/>
      </c>
      <c r="D608" s="11" t="str">
        <f>IF(Tabel!O611="","",IF(Tabel!S611="","",Tabel!O611))</f>
        <v/>
      </c>
      <c r="E608" s="22" t="str">
        <f>IF(Tabel!P611="","",Tabel!T611)</f>
        <v/>
      </c>
      <c r="F608" s="11" t="str">
        <f>IF(Tabel!P611="","",IF(Tabel!U611="","",Tabel!P611))</f>
        <v/>
      </c>
    </row>
    <row r="609" spans="1:6" x14ac:dyDescent="0.25">
      <c r="A609" s="22" t="str">
        <f>IF(Tabel!N612="","",Tabel!Q612)</f>
        <v/>
      </c>
      <c r="B609" s="11" t="str">
        <f>IF(Tabel!N612="","",IF(Tabel!Q612="","",Tabel!N612))</f>
        <v/>
      </c>
      <c r="C609" s="22" t="str">
        <f>IF(Tabel!O612="","",Tabel!S612)</f>
        <v/>
      </c>
      <c r="D609" s="11" t="str">
        <f>IF(Tabel!O612="","",IF(Tabel!S612="","",Tabel!O612))</f>
        <v/>
      </c>
      <c r="E609" s="22" t="str">
        <f>IF(Tabel!P612="","",Tabel!T612)</f>
        <v/>
      </c>
      <c r="F609" s="11" t="str">
        <f>IF(Tabel!P612="","",IF(Tabel!U612="","",Tabel!P612))</f>
        <v/>
      </c>
    </row>
    <row r="610" spans="1:6" x14ac:dyDescent="0.25">
      <c r="A610" s="22" t="str">
        <f>IF(Tabel!N613="","",Tabel!Q613)</f>
        <v/>
      </c>
      <c r="B610" s="11" t="str">
        <f>IF(Tabel!N613="","",IF(Tabel!Q613="","",Tabel!N613))</f>
        <v/>
      </c>
      <c r="C610" s="22" t="str">
        <f>IF(Tabel!O613="","",Tabel!S613)</f>
        <v/>
      </c>
      <c r="D610" s="11" t="str">
        <f>IF(Tabel!O613="","",IF(Tabel!S613="","",Tabel!O613))</f>
        <v/>
      </c>
      <c r="E610" s="22" t="str">
        <f>IF(Tabel!P613="","",Tabel!T613)</f>
        <v/>
      </c>
      <c r="F610" s="11" t="str">
        <f>IF(Tabel!P613="","",IF(Tabel!U613="","",Tabel!P613))</f>
        <v/>
      </c>
    </row>
    <row r="611" spans="1:6" x14ac:dyDescent="0.25">
      <c r="A611" s="22" t="str">
        <f>IF(Tabel!N614="","",Tabel!Q614)</f>
        <v/>
      </c>
      <c r="B611" s="11" t="str">
        <f>IF(Tabel!N614="","",IF(Tabel!Q614="","",Tabel!N614))</f>
        <v/>
      </c>
      <c r="C611" s="22" t="str">
        <f>IF(Tabel!O614="","",Tabel!S614)</f>
        <v/>
      </c>
      <c r="D611" s="11" t="str">
        <f>IF(Tabel!O614="","",IF(Tabel!S614="","",Tabel!O614))</f>
        <v/>
      </c>
      <c r="E611" s="22" t="str">
        <f>IF(Tabel!P614="","",Tabel!T614)</f>
        <v/>
      </c>
      <c r="F611" s="11" t="str">
        <f>IF(Tabel!P614="","",IF(Tabel!U614="","",Tabel!P614))</f>
        <v/>
      </c>
    </row>
    <row r="612" spans="1:6" x14ac:dyDescent="0.25">
      <c r="A612" s="22" t="str">
        <f>IF(Tabel!N615="","",Tabel!Q615)</f>
        <v/>
      </c>
      <c r="B612" s="11" t="str">
        <f>IF(Tabel!N615="","",IF(Tabel!Q615="","",Tabel!N615))</f>
        <v/>
      </c>
      <c r="C612" s="22" t="str">
        <f>IF(Tabel!O615="","",Tabel!S615)</f>
        <v/>
      </c>
      <c r="D612" s="11" t="str">
        <f>IF(Tabel!O615="","",IF(Tabel!S615="","",Tabel!O615))</f>
        <v/>
      </c>
      <c r="E612" s="22" t="str">
        <f>IF(Tabel!P615="","",Tabel!T615)</f>
        <v/>
      </c>
      <c r="F612" s="11" t="str">
        <f>IF(Tabel!P615="","",IF(Tabel!U615="","",Tabel!P615))</f>
        <v/>
      </c>
    </row>
    <row r="613" spans="1:6" x14ac:dyDescent="0.25">
      <c r="A613" s="22" t="str">
        <f>IF(Tabel!N616="","",Tabel!Q616)</f>
        <v/>
      </c>
      <c r="B613" s="11" t="str">
        <f>IF(Tabel!N616="","",IF(Tabel!Q616="","",Tabel!N616))</f>
        <v/>
      </c>
      <c r="C613" s="22" t="str">
        <f>IF(Tabel!O616="","",Tabel!S616)</f>
        <v/>
      </c>
      <c r="D613" s="11" t="str">
        <f>IF(Tabel!O616="","",IF(Tabel!S616="","",Tabel!O616))</f>
        <v/>
      </c>
      <c r="E613" s="22" t="str">
        <f>IF(Tabel!P616="","",Tabel!T616)</f>
        <v/>
      </c>
      <c r="F613" s="11" t="str">
        <f>IF(Tabel!P616="","",IF(Tabel!U616="","",Tabel!P616))</f>
        <v/>
      </c>
    </row>
    <row r="614" spans="1:6" x14ac:dyDescent="0.25">
      <c r="A614" s="22" t="str">
        <f>IF(Tabel!N617="","",Tabel!Q617)</f>
        <v/>
      </c>
      <c r="B614" s="11" t="str">
        <f>IF(Tabel!N617="","",IF(Tabel!Q617="","",Tabel!N617))</f>
        <v/>
      </c>
      <c r="C614" s="22" t="str">
        <f>IF(Tabel!O617="","",Tabel!S617)</f>
        <v/>
      </c>
      <c r="D614" s="11" t="str">
        <f>IF(Tabel!O617="","",IF(Tabel!S617="","",Tabel!O617))</f>
        <v/>
      </c>
      <c r="E614" s="22" t="str">
        <f>IF(Tabel!P617="","",Tabel!T617)</f>
        <v/>
      </c>
      <c r="F614" s="11" t="str">
        <f>IF(Tabel!P617="","",IF(Tabel!U617="","",Tabel!P617))</f>
        <v/>
      </c>
    </row>
    <row r="615" spans="1:6" x14ac:dyDescent="0.25">
      <c r="A615" s="22" t="str">
        <f>IF(Tabel!N618="","",Tabel!Q618)</f>
        <v/>
      </c>
      <c r="B615" s="11" t="str">
        <f>IF(Tabel!N618="","",IF(Tabel!Q618="","",Tabel!N618))</f>
        <v/>
      </c>
      <c r="C615" s="22" t="str">
        <f>IF(Tabel!O618="","",Tabel!S618)</f>
        <v/>
      </c>
      <c r="D615" s="11" t="str">
        <f>IF(Tabel!O618="","",IF(Tabel!S618="","",Tabel!O618))</f>
        <v/>
      </c>
      <c r="E615" s="22" t="str">
        <f>IF(Tabel!P618="","",Tabel!T618)</f>
        <v/>
      </c>
      <c r="F615" s="11" t="str">
        <f>IF(Tabel!P618="","",IF(Tabel!U618="","",Tabel!P618))</f>
        <v/>
      </c>
    </row>
    <row r="616" spans="1:6" x14ac:dyDescent="0.25">
      <c r="A616" s="22" t="str">
        <f>IF(Tabel!N619="","",Tabel!Q619)</f>
        <v/>
      </c>
      <c r="B616" s="11" t="str">
        <f>IF(Tabel!N619="","",IF(Tabel!Q619="","",Tabel!N619))</f>
        <v/>
      </c>
      <c r="C616" s="22" t="str">
        <f>IF(Tabel!O619="","",Tabel!S619)</f>
        <v/>
      </c>
      <c r="D616" s="11" t="str">
        <f>IF(Tabel!O619="","",IF(Tabel!S619="","",Tabel!O619))</f>
        <v/>
      </c>
      <c r="E616" s="22" t="str">
        <f>IF(Tabel!P619="","",Tabel!T619)</f>
        <v/>
      </c>
      <c r="F616" s="11" t="str">
        <f>IF(Tabel!P619="","",IF(Tabel!U619="","",Tabel!P619))</f>
        <v/>
      </c>
    </row>
    <row r="617" spans="1:6" x14ac:dyDescent="0.25">
      <c r="A617" s="22" t="str">
        <f>IF(Tabel!N620="","",Tabel!Q620)</f>
        <v/>
      </c>
      <c r="B617" s="11" t="str">
        <f>IF(Tabel!N620="","",IF(Tabel!Q620="","",Tabel!N620))</f>
        <v/>
      </c>
      <c r="C617" s="22" t="str">
        <f>IF(Tabel!O620="","",Tabel!S620)</f>
        <v/>
      </c>
      <c r="D617" s="11" t="str">
        <f>IF(Tabel!O620="","",IF(Tabel!S620="","",Tabel!O620))</f>
        <v/>
      </c>
      <c r="E617" s="22" t="str">
        <f>IF(Tabel!P620="","",Tabel!T620)</f>
        <v/>
      </c>
      <c r="F617" s="11" t="str">
        <f>IF(Tabel!P620="","",IF(Tabel!U620="","",Tabel!P620))</f>
        <v/>
      </c>
    </row>
    <row r="618" spans="1:6" x14ac:dyDescent="0.25">
      <c r="A618" s="22" t="str">
        <f>IF(Tabel!N621="","",Tabel!Q621)</f>
        <v/>
      </c>
      <c r="B618" s="11" t="str">
        <f>IF(Tabel!N621="","",IF(Tabel!Q621="","",Tabel!N621))</f>
        <v/>
      </c>
      <c r="C618" s="22" t="str">
        <f>IF(Tabel!O621="","",Tabel!S621)</f>
        <v/>
      </c>
      <c r="D618" s="11" t="str">
        <f>IF(Tabel!O621="","",IF(Tabel!S621="","",Tabel!O621))</f>
        <v/>
      </c>
      <c r="E618" s="22" t="str">
        <f>IF(Tabel!P621="","",Tabel!T621)</f>
        <v/>
      </c>
      <c r="F618" s="11" t="str">
        <f>IF(Tabel!P621="","",IF(Tabel!U621="","",Tabel!P621))</f>
        <v/>
      </c>
    </row>
    <row r="619" spans="1:6" x14ac:dyDescent="0.25">
      <c r="A619" s="22" t="str">
        <f>IF(Tabel!N622="","",Tabel!Q622)</f>
        <v/>
      </c>
      <c r="B619" s="11" t="str">
        <f>IF(Tabel!N622="","",IF(Tabel!Q622="","",Tabel!N622))</f>
        <v/>
      </c>
      <c r="C619" s="22" t="str">
        <f>IF(Tabel!O622="","",Tabel!S622)</f>
        <v/>
      </c>
      <c r="D619" s="11" t="str">
        <f>IF(Tabel!O622="","",IF(Tabel!S622="","",Tabel!O622))</f>
        <v/>
      </c>
      <c r="E619" s="22" t="str">
        <f>IF(Tabel!P622="","",Tabel!T622)</f>
        <v/>
      </c>
      <c r="F619" s="11" t="str">
        <f>IF(Tabel!P622="","",IF(Tabel!U622="","",Tabel!P622))</f>
        <v/>
      </c>
    </row>
    <row r="620" spans="1:6" x14ac:dyDescent="0.25">
      <c r="A620" s="22" t="str">
        <f>IF(Tabel!N623="","",Tabel!Q623)</f>
        <v/>
      </c>
      <c r="B620" s="11" t="str">
        <f>IF(Tabel!N623="","",IF(Tabel!Q623="","",Tabel!N623))</f>
        <v/>
      </c>
      <c r="C620" s="22" t="str">
        <f>IF(Tabel!O623="","",Tabel!S623)</f>
        <v/>
      </c>
      <c r="D620" s="11" t="str">
        <f>IF(Tabel!O623="","",IF(Tabel!S623="","",Tabel!O623))</f>
        <v/>
      </c>
      <c r="E620" s="22" t="str">
        <f>IF(Tabel!P623="","",Tabel!T623)</f>
        <v/>
      </c>
      <c r="F620" s="11" t="str">
        <f>IF(Tabel!P623="","",IF(Tabel!U623="","",Tabel!P623))</f>
        <v/>
      </c>
    </row>
    <row r="621" spans="1:6" x14ac:dyDescent="0.25">
      <c r="A621" s="22" t="str">
        <f>IF(Tabel!N624="","",Tabel!Q624)</f>
        <v/>
      </c>
      <c r="B621" s="11" t="str">
        <f>IF(Tabel!N624="","",IF(Tabel!Q624="","",Tabel!N624))</f>
        <v/>
      </c>
      <c r="C621" s="22" t="str">
        <f>IF(Tabel!O624="","",Tabel!S624)</f>
        <v/>
      </c>
      <c r="D621" s="11" t="str">
        <f>IF(Tabel!O624="","",IF(Tabel!S624="","",Tabel!O624))</f>
        <v/>
      </c>
      <c r="E621" s="22" t="str">
        <f>IF(Tabel!P624="","",Tabel!T624)</f>
        <v/>
      </c>
      <c r="F621" s="11" t="str">
        <f>IF(Tabel!P624="","",IF(Tabel!U624="","",Tabel!P624))</f>
        <v/>
      </c>
    </row>
    <row r="622" spans="1:6" x14ac:dyDescent="0.25">
      <c r="A622" s="22" t="str">
        <f>IF(Tabel!N625="","",Tabel!Q625)</f>
        <v/>
      </c>
      <c r="B622" s="11" t="str">
        <f>IF(Tabel!N625="","",IF(Tabel!Q625="","",Tabel!N625))</f>
        <v/>
      </c>
      <c r="C622" s="22" t="str">
        <f>IF(Tabel!O625="","",Tabel!S625)</f>
        <v/>
      </c>
      <c r="D622" s="11" t="str">
        <f>IF(Tabel!O625="","",IF(Tabel!S625="","",Tabel!O625))</f>
        <v/>
      </c>
      <c r="E622" s="22" t="str">
        <f>IF(Tabel!P625="","",Tabel!T625)</f>
        <v/>
      </c>
      <c r="F622" s="11" t="str">
        <f>IF(Tabel!P625="","",IF(Tabel!U625="","",Tabel!P625))</f>
        <v/>
      </c>
    </row>
    <row r="623" spans="1:6" x14ac:dyDescent="0.25">
      <c r="A623" s="22" t="str">
        <f>IF(Tabel!N626="","",Tabel!Q626)</f>
        <v/>
      </c>
      <c r="B623" s="11" t="str">
        <f>IF(Tabel!N626="","",IF(Tabel!Q626="","",Tabel!N626))</f>
        <v/>
      </c>
      <c r="C623" s="22" t="str">
        <f>IF(Tabel!O626="","",Tabel!S626)</f>
        <v/>
      </c>
      <c r="D623" s="11" t="str">
        <f>IF(Tabel!O626="","",IF(Tabel!S626="","",Tabel!O626))</f>
        <v/>
      </c>
      <c r="E623" s="22" t="str">
        <f>IF(Tabel!P626="","",Tabel!T626)</f>
        <v/>
      </c>
      <c r="F623" s="11" t="str">
        <f>IF(Tabel!P626="","",IF(Tabel!U626="","",Tabel!P626))</f>
        <v/>
      </c>
    </row>
    <row r="624" spans="1:6" x14ac:dyDescent="0.25">
      <c r="A624" s="22" t="str">
        <f>IF(Tabel!N627="","",Tabel!Q627)</f>
        <v/>
      </c>
      <c r="B624" s="11" t="str">
        <f>IF(Tabel!N627="","",IF(Tabel!Q627="","",Tabel!N627))</f>
        <v/>
      </c>
      <c r="C624" s="22" t="str">
        <f>IF(Tabel!O627="","",Tabel!S627)</f>
        <v/>
      </c>
      <c r="D624" s="11" t="str">
        <f>IF(Tabel!O627="","",IF(Tabel!S627="","",Tabel!O627))</f>
        <v/>
      </c>
      <c r="E624" s="22" t="str">
        <f>IF(Tabel!P627="","",Tabel!T627)</f>
        <v/>
      </c>
      <c r="F624" s="11" t="str">
        <f>IF(Tabel!P627="","",IF(Tabel!U627="","",Tabel!P627))</f>
        <v/>
      </c>
    </row>
    <row r="625" spans="1:6" x14ac:dyDescent="0.25">
      <c r="A625" s="22" t="str">
        <f>IF(Tabel!N628="","",Tabel!Q628)</f>
        <v/>
      </c>
      <c r="B625" s="11" t="str">
        <f>IF(Tabel!N628="","",IF(Tabel!Q628="","",Tabel!N628))</f>
        <v/>
      </c>
      <c r="C625" s="22" t="str">
        <f>IF(Tabel!O628="","",Tabel!S628)</f>
        <v/>
      </c>
      <c r="D625" s="11" t="str">
        <f>IF(Tabel!O628="","",IF(Tabel!S628="","",Tabel!O628))</f>
        <v/>
      </c>
      <c r="E625" s="22" t="str">
        <f>IF(Tabel!P628="","",Tabel!T628)</f>
        <v/>
      </c>
      <c r="F625" s="11" t="str">
        <f>IF(Tabel!P628="","",IF(Tabel!U628="","",Tabel!P628))</f>
        <v/>
      </c>
    </row>
    <row r="626" spans="1:6" x14ac:dyDescent="0.25">
      <c r="A626" s="22" t="str">
        <f>IF(Tabel!N629="","",Tabel!Q629)</f>
        <v/>
      </c>
      <c r="B626" s="11" t="str">
        <f>IF(Tabel!N629="","",IF(Tabel!Q629="","",Tabel!N629))</f>
        <v/>
      </c>
      <c r="C626" s="22" t="str">
        <f>IF(Tabel!O629="","",Tabel!S629)</f>
        <v/>
      </c>
      <c r="D626" s="11" t="str">
        <f>IF(Tabel!O629="","",IF(Tabel!S629="","",Tabel!O629))</f>
        <v/>
      </c>
      <c r="E626" s="22" t="str">
        <f>IF(Tabel!P629="","",Tabel!T629)</f>
        <v/>
      </c>
      <c r="F626" s="11" t="str">
        <f>IF(Tabel!P629="","",IF(Tabel!U629="","",Tabel!P629))</f>
        <v/>
      </c>
    </row>
    <row r="627" spans="1:6" x14ac:dyDescent="0.25">
      <c r="A627" s="22" t="str">
        <f>IF(Tabel!N630="","",Tabel!Q630)</f>
        <v/>
      </c>
      <c r="B627" s="11" t="str">
        <f>IF(Tabel!N630="","",IF(Tabel!Q630="","",Tabel!N630))</f>
        <v/>
      </c>
      <c r="C627" s="22" t="str">
        <f>IF(Tabel!O630="","",Tabel!S630)</f>
        <v/>
      </c>
      <c r="D627" s="11" t="str">
        <f>IF(Tabel!O630="","",IF(Tabel!S630="","",Tabel!O630))</f>
        <v/>
      </c>
      <c r="E627" s="22" t="str">
        <f>IF(Tabel!P630="","",Tabel!T630)</f>
        <v/>
      </c>
      <c r="F627" s="11" t="str">
        <f>IF(Tabel!P630="","",IF(Tabel!U630="","",Tabel!P630))</f>
        <v/>
      </c>
    </row>
    <row r="628" spans="1:6" x14ac:dyDescent="0.25">
      <c r="A628" s="22" t="str">
        <f>IF(Tabel!N631="","",Tabel!Q631)</f>
        <v/>
      </c>
      <c r="B628" s="11" t="str">
        <f>IF(Tabel!N631="","",IF(Tabel!Q631="","",Tabel!N631))</f>
        <v/>
      </c>
      <c r="C628" s="22" t="str">
        <f>IF(Tabel!O631="","",Tabel!S631)</f>
        <v/>
      </c>
      <c r="D628" s="11" t="str">
        <f>IF(Tabel!O631="","",IF(Tabel!S631="","",Tabel!O631))</f>
        <v/>
      </c>
      <c r="E628" s="22" t="str">
        <f>IF(Tabel!P631="","",Tabel!T631)</f>
        <v/>
      </c>
      <c r="F628" s="11" t="str">
        <f>IF(Tabel!P631="","",IF(Tabel!U631="","",Tabel!P631))</f>
        <v/>
      </c>
    </row>
    <row r="629" spans="1:6" x14ac:dyDescent="0.25">
      <c r="A629" s="22" t="str">
        <f>IF(Tabel!N632="","",Tabel!Q632)</f>
        <v/>
      </c>
      <c r="B629" s="11" t="str">
        <f>IF(Tabel!N632="","",IF(Tabel!Q632="","",Tabel!N632))</f>
        <v/>
      </c>
      <c r="C629" s="22" t="str">
        <f>IF(Tabel!O632="","",Tabel!S632)</f>
        <v/>
      </c>
      <c r="D629" s="11" t="str">
        <f>IF(Tabel!O632="","",IF(Tabel!S632="","",Tabel!O632))</f>
        <v/>
      </c>
      <c r="E629" s="22" t="str">
        <f>IF(Tabel!P632="","",Tabel!T632)</f>
        <v/>
      </c>
      <c r="F629" s="11" t="str">
        <f>IF(Tabel!P632="","",IF(Tabel!U632="","",Tabel!P632))</f>
        <v/>
      </c>
    </row>
    <row r="630" spans="1:6" x14ac:dyDescent="0.25">
      <c r="A630" s="22" t="str">
        <f>IF(Tabel!N633="","",Tabel!Q633)</f>
        <v/>
      </c>
      <c r="B630" s="11" t="str">
        <f>IF(Tabel!N633="","",IF(Tabel!Q633="","",Tabel!N633))</f>
        <v/>
      </c>
      <c r="C630" s="22" t="str">
        <f>IF(Tabel!O633="","",Tabel!S633)</f>
        <v/>
      </c>
      <c r="D630" s="11" t="str">
        <f>IF(Tabel!O633="","",IF(Tabel!S633="","",Tabel!O633))</f>
        <v/>
      </c>
      <c r="E630" s="22" t="str">
        <f>IF(Tabel!P633="","",Tabel!T633)</f>
        <v/>
      </c>
      <c r="F630" s="11" t="str">
        <f>IF(Tabel!P633="","",IF(Tabel!U633="","",Tabel!P633))</f>
        <v/>
      </c>
    </row>
    <row r="631" spans="1:6" x14ac:dyDescent="0.25">
      <c r="A631" s="22" t="str">
        <f>IF(Tabel!N634="","",Tabel!Q634)</f>
        <v/>
      </c>
      <c r="B631" s="11" t="str">
        <f>IF(Tabel!N634="","",IF(Tabel!Q634="","",Tabel!N634))</f>
        <v/>
      </c>
      <c r="C631" s="22" t="str">
        <f>IF(Tabel!O634="","",Tabel!S634)</f>
        <v/>
      </c>
      <c r="D631" s="11" t="str">
        <f>IF(Tabel!O634="","",IF(Tabel!S634="","",Tabel!O634))</f>
        <v/>
      </c>
      <c r="E631" s="22" t="str">
        <f>IF(Tabel!P634="","",Tabel!T634)</f>
        <v/>
      </c>
      <c r="F631" s="11" t="str">
        <f>IF(Tabel!P634="","",IF(Tabel!U634="","",Tabel!P634))</f>
        <v/>
      </c>
    </row>
    <row r="632" spans="1:6" x14ac:dyDescent="0.25">
      <c r="A632" s="22" t="str">
        <f>IF(Tabel!N635="","",Tabel!Q635)</f>
        <v/>
      </c>
      <c r="B632" s="11" t="str">
        <f>IF(Tabel!N635="","",IF(Tabel!Q635="","",Tabel!N635))</f>
        <v/>
      </c>
      <c r="C632" s="22" t="str">
        <f>IF(Tabel!O635="","",Tabel!S635)</f>
        <v/>
      </c>
      <c r="D632" s="11" t="str">
        <f>IF(Tabel!O635="","",IF(Tabel!S635="","",Tabel!O635))</f>
        <v/>
      </c>
      <c r="E632" s="22" t="str">
        <f>IF(Tabel!P635="","",Tabel!T635)</f>
        <v/>
      </c>
      <c r="F632" s="11" t="str">
        <f>IF(Tabel!P635="","",IF(Tabel!U635="","",Tabel!P635))</f>
        <v/>
      </c>
    </row>
    <row r="633" spans="1:6" x14ac:dyDescent="0.25">
      <c r="A633" s="22" t="str">
        <f>IF(Tabel!N636="","",Tabel!Q636)</f>
        <v/>
      </c>
      <c r="B633" s="11" t="str">
        <f>IF(Tabel!N636="","",IF(Tabel!Q636="","",Tabel!N636))</f>
        <v/>
      </c>
      <c r="C633" s="22" t="str">
        <f>IF(Tabel!O636="","",Tabel!S636)</f>
        <v/>
      </c>
      <c r="D633" s="11" t="str">
        <f>IF(Tabel!O636="","",IF(Tabel!S636="","",Tabel!O636))</f>
        <v/>
      </c>
      <c r="E633" s="22" t="str">
        <f>IF(Tabel!P636="","",Tabel!T636)</f>
        <v/>
      </c>
      <c r="F633" s="11" t="str">
        <f>IF(Tabel!P636="","",IF(Tabel!U636="","",Tabel!P636))</f>
        <v/>
      </c>
    </row>
    <row r="634" spans="1:6" x14ac:dyDescent="0.25">
      <c r="A634" s="22" t="str">
        <f>IF(Tabel!N637="","",Tabel!Q637)</f>
        <v/>
      </c>
      <c r="B634" s="11" t="str">
        <f>IF(Tabel!N637="","",IF(Tabel!Q637="","",Tabel!N637))</f>
        <v/>
      </c>
      <c r="C634" s="22" t="str">
        <f>IF(Tabel!O637="","",Tabel!S637)</f>
        <v/>
      </c>
      <c r="D634" s="11" t="str">
        <f>IF(Tabel!O637="","",IF(Tabel!S637="","",Tabel!O637))</f>
        <v/>
      </c>
      <c r="E634" s="22" t="str">
        <f>IF(Tabel!P637="","",Tabel!T637)</f>
        <v/>
      </c>
      <c r="F634" s="11" t="str">
        <f>IF(Tabel!P637="","",IF(Tabel!U637="","",Tabel!P637))</f>
        <v/>
      </c>
    </row>
    <row r="635" spans="1:6" x14ac:dyDescent="0.25">
      <c r="A635" s="22" t="str">
        <f>IF(Tabel!N638="","",Tabel!Q638)</f>
        <v/>
      </c>
      <c r="B635" s="11" t="str">
        <f>IF(Tabel!N638="","",IF(Tabel!Q638="","",Tabel!N638))</f>
        <v/>
      </c>
      <c r="C635" s="22" t="str">
        <f>IF(Tabel!O638="","",Tabel!S638)</f>
        <v/>
      </c>
      <c r="D635" s="11" t="str">
        <f>IF(Tabel!O638="","",IF(Tabel!S638="","",Tabel!O638))</f>
        <v/>
      </c>
      <c r="E635" s="22" t="str">
        <f>IF(Tabel!P638="","",Tabel!T638)</f>
        <v/>
      </c>
      <c r="F635" s="11" t="str">
        <f>IF(Tabel!P638="","",IF(Tabel!U638="","",Tabel!P638))</f>
        <v/>
      </c>
    </row>
    <row r="636" spans="1:6" x14ac:dyDescent="0.25">
      <c r="A636" s="22" t="str">
        <f>IF(Tabel!N639="","",Tabel!Q639)</f>
        <v/>
      </c>
      <c r="B636" s="11" t="str">
        <f>IF(Tabel!N639="","",IF(Tabel!Q639="","",Tabel!N639))</f>
        <v/>
      </c>
      <c r="C636" s="22" t="str">
        <f>IF(Tabel!O639="","",Tabel!S639)</f>
        <v/>
      </c>
      <c r="D636" s="11" t="str">
        <f>IF(Tabel!O639="","",IF(Tabel!S639="","",Tabel!O639))</f>
        <v/>
      </c>
      <c r="E636" s="22" t="str">
        <f>IF(Tabel!P639="","",Tabel!T639)</f>
        <v/>
      </c>
      <c r="F636" s="11" t="str">
        <f>IF(Tabel!P639="","",IF(Tabel!U639="","",Tabel!P639))</f>
        <v/>
      </c>
    </row>
    <row r="637" spans="1:6" x14ac:dyDescent="0.25">
      <c r="A637" s="22" t="str">
        <f>IF(Tabel!N640="","",Tabel!Q640)</f>
        <v/>
      </c>
      <c r="B637" s="11" t="str">
        <f>IF(Tabel!N640="","",IF(Tabel!Q640="","",Tabel!N640))</f>
        <v/>
      </c>
      <c r="C637" s="22" t="str">
        <f>IF(Tabel!O640="","",Tabel!S640)</f>
        <v/>
      </c>
      <c r="D637" s="11" t="str">
        <f>IF(Tabel!O640="","",IF(Tabel!S640="","",Tabel!O640))</f>
        <v/>
      </c>
      <c r="E637" s="22" t="str">
        <f>IF(Tabel!P640="","",Tabel!T640)</f>
        <v/>
      </c>
      <c r="F637" s="11" t="str">
        <f>IF(Tabel!P640="","",IF(Tabel!U640="","",Tabel!P640))</f>
        <v/>
      </c>
    </row>
    <row r="638" spans="1:6" x14ac:dyDescent="0.25">
      <c r="A638" s="22" t="str">
        <f>IF(Tabel!N641="","",Tabel!Q641)</f>
        <v/>
      </c>
      <c r="B638" s="11" t="str">
        <f>IF(Tabel!N641="","",IF(Tabel!Q641="","",Tabel!N641))</f>
        <v/>
      </c>
      <c r="C638" s="22" t="str">
        <f>IF(Tabel!O641="","",Tabel!S641)</f>
        <v/>
      </c>
      <c r="D638" s="11" t="str">
        <f>IF(Tabel!O641="","",IF(Tabel!S641="","",Tabel!O641))</f>
        <v/>
      </c>
      <c r="E638" s="22" t="str">
        <f>IF(Tabel!P641="","",Tabel!T641)</f>
        <v/>
      </c>
      <c r="F638" s="11" t="str">
        <f>IF(Tabel!P641="","",IF(Tabel!U641="","",Tabel!P641))</f>
        <v/>
      </c>
    </row>
    <row r="639" spans="1:6" x14ac:dyDescent="0.25">
      <c r="A639" s="22" t="str">
        <f>IF(Tabel!N642="","",Tabel!Q642)</f>
        <v/>
      </c>
      <c r="B639" s="11" t="str">
        <f>IF(Tabel!N642="","",IF(Tabel!Q642="","",Tabel!N642))</f>
        <v/>
      </c>
      <c r="C639" s="22" t="str">
        <f>IF(Tabel!O642="","",Tabel!S642)</f>
        <v/>
      </c>
      <c r="D639" s="11" t="str">
        <f>IF(Tabel!O642="","",IF(Tabel!S642="","",Tabel!O642))</f>
        <v/>
      </c>
      <c r="E639" s="22" t="str">
        <f>IF(Tabel!P642="","",Tabel!T642)</f>
        <v/>
      </c>
      <c r="F639" s="11" t="str">
        <f>IF(Tabel!P642="","",IF(Tabel!U642="","",Tabel!P642))</f>
        <v/>
      </c>
    </row>
    <row r="640" spans="1:6" x14ac:dyDescent="0.25">
      <c r="A640" s="22" t="str">
        <f>IF(Tabel!N643="","",Tabel!Q643)</f>
        <v/>
      </c>
      <c r="B640" s="11" t="str">
        <f>IF(Tabel!N643="","",IF(Tabel!Q643="","",Tabel!N643))</f>
        <v/>
      </c>
      <c r="C640" s="22" t="str">
        <f>IF(Tabel!O643="","",Tabel!S643)</f>
        <v/>
      </c>
      <c r="D640" s="11" t="str">
        <f>IF(Tabel!O643="","",IF(Tabel!S643="","",Tabel!O643))</f>
        <v/>
      </c>
      <c r="E640" s="22" t="str">
        <f>IF(Tabel!P643="","",Tabel!T643)</f>
        <v/>
      </c>
      <c r="F640" s="11" t="str">
        <f>IF(Tabel!P643="","",IF(Tabel!U643="","",Tabel!P643))</f>
        <v/>
      </c>
    </row>
    <row r="641" spans="1:6" x14ac:dyDescent="0.25">
      <c r="A641" s="22" t="str">
        <f>IF(Tabel!N644="","",Tabel!Q644)</f>
        <v/>
      </c>
      <c r="B641" s="11" t="str">
        <f>IF(Tabel!N644="","",IF(Tabel!Q644="","",Tabel!N644))</f>
        <v/>
      </c>
      <c r="C641" s="22" t="str">
        <f>IF(Tabel!O644="","",Tabel!S644)</f>
        <v/>
      </c>
      <c r="D641" s="11" t="str">
        <f>IF(Tabel!O644="","",IF(Tabel!S644="","",Tabel!O644))</f>
        <v/>
      </c>
      <c r="E641" s="22" t="str">
        <f>IF(Tabel!P644="","",Tabel!T644)</f>
        <v/>
      </c>
      <c r="F641" s="11" t="str">
        <f>IF(Tabel!P644="","",IF(Tabel!U644="","",Tabel!P644))</f>
        <v/>
      </c>
    </row>
    <row r="642" spans="1:6" x14ac:dyDescent="0.25">
      <c r="A642" s="22" t="str">
        <f>IF(Tabel!N645="","",Tabel!Q645)</f>
        <v/>
      </c>
      <c r="B642" s="11" t="str">
        <f>IF(Tabel!N645="","",IF(Tabel!Q645="","",Tabel!N645))</f>
        <v/>
      </c>
      <c r="C642" s="22" t="str">
        <f>IF(Tabel!O645="","",Tabel!S645)</f>
        <v/>
      </c>
      <c r="D642" s="11" t="str">
        <f>IF(Tabel!O645="","",IF(Tabel!S645="","",Tabel!O645))</f>
        <v/>
      </c>
      <c r="E642" s="22" t="str">
        <f>IF(Tabel!P645="","",Tabel!T645)</f>
        <v/>
      </c>
      <c r="F642" s="11" t="str">
        <f>IF(Tabel!P645="","",IF(Tabel!U645="","",Tabel!P645))</f>
        <v/>
      </c>
    </row>
    <row r="643" spans="1:6" x14ac:dyDescent="0.25">
      <c r="A643" s="22" t="str">
        <f>IF(Tabel!N646="","",Tabel!Q646)</f>
        <v/>
      </c>
      <c r="B643" s="11" t="str">
        <f>IF(Tabel!N646="","",IF(Tabel!Q646="","",Tabel!N646))</f>
        <v/>
      </c>
      <c r="C643" s="22" t="str">
        <f>IF(Tabel!O646="","",Tabel!S646)</f>
        <v/>
      </c>
      <c r="D643" s="11" t="str">
        <f>IF(Tabel!O646="","",IF(Tabel!S646="","",Tabel!O646))</f>
        <v/>
      </c>
      <c r="E643" s="22" t="str">
        <f>IF(Tabel!P646="","",Tabel!T646)</f>
        <v/>
      </c>
      <c r="F643" s="11" t="str">
        <f>IF(Tabel!P646="","",IF(Tabel!U646="","",Tabel!P646))</f>
        <v/>
      </c>
    </row>
    <row r="644" spans="1:6" x14ac:dyDescent="0.25">
      <c r="A644" s="22" t="str">
        <f>IF(Tabel!N647="","",Tabel!Q647)</f>
        <v/>
      </c>
      <c r="B644" s="11" t="str">
        <f>IF(Tabel!N647="","",IF(Tabel!Q647="","",Tabel!N647))</f>
        <v/>
      </c>
      <c r="C644" s="22" t="str">
        <f>IF(Tabel!O647="","",Tabel!S647)</f>
        <v/>
      </c>
      <c r="D644" s="11" t="str">
        <f>IF(Tabel!O647="","",IF(Tabel!S647="","",Tabel!O647))</f>
        <v/>
      </c>
      <c r="E644" s="22" t="str">
        <f>IF(Tabel!P647="","",Tabel!T647)</f>
        <v/>
      </c>
      <c r="F644" s="11" t="str">
        <f>IF(Tabel!P647="","",IF(Tabel!U647="","",Tabel!P647))</f>
        <v/>
      </c>
    </row>
    <row r="645" spans="1:6" x14ac:dyDescent="0.25">
      <c r="A645" s="22" t="str">
        <f>IF(Tabel!N648="","",Tabel!Q648)</f>
        <v/>
      </c>
      <c r="B645" s="11" t="str">
        <f>IF(Tabel!N648="","",IF(Tabel!Q648="","",Tabel!N648))</f>
        <v/>
      </c>
      <c r="C645" s="22" t="str">
        <f>IF(Tabel!O648="","",Tabel!S648)</f>
        <v/>
      </c>
      <c r="D645" s="11" t="str">
        <f>IF(Tabel!O648="","",IF(Tabel!S648="","",Tabel!O648))</f>
        <v/>
      </c>
      <c r="E645" s="22" t="str">
        <f>IF(Tabel!P648="","",Tabel!T648)</f>
        <v/>
      </c>
      <c r="F645" s="11" t="str">
        <f>IF(Tabel!P648="","",IF(Tabel!U648="","",Tabel!P648))</f>
        <v/>
      </c>
    </row>
    <row r="646" spans="1:6" x14ac:dyDescent="0.25">
      <c r="A646" s="22" t="str">
        <f>IF(Tabel!N649="","",Tabel!Q649)</f>
        <v/>
      </c>
      <c r="B646" s="11" t="str">
        <f>IF(Tabel!N649="","",IF(Tabel!Q649="","",Tabel!N649))</f>
        <v/>
      </c>
      <c r="C646" s="22" t="str">
        <f>IF(Tabel!O649="","",Tabel!S649)</f>
        <v/>
      </c>
      <c r="D646" s="11" t="str">
        <f>IF(Tabel!O649="","",IF(Tabel!S649="","",Tabel!O649))</f>
        <v/>
      </c>
      <c r="E646" s="22" t="str">
        <f>IF(Tabel!P649="","",Tabel!T649)</f>
        <v/>
      </c>
      <c r="F646" s="11" t="str">
        <f>IF(Tabel!P649="","",IF(Tabel!U649="","",Tabel!P649))</f>
        <v/>
      </c>
    </row>
    <row r="647" spans="1:6" x14ac:dyDescent="0.25">
      <c r="A647" s="22" t="str">
        <f>IF(Tabel!N650="","",Tabel!Q650)</f>
        <v/>
      </c>
      <c r="B647" s="11" t="str">
        <f>IF(Tabel!N650="","",IF(Tabel!Q650="","",Tabel!N650))</f>
        <v/>
      </c>
      <c r="C647" s="22" t="str">
        <f>IF(Tabel!O650="","",Tabel!S650)</f>
        <v/>
      </c>
      <c r="D647" s="11" t="str">
        <f>IF(Tabel!O650="","",IF(Tabel!S650="","",Tabel!O650))</f>
        <v/>
      </c>
      <c r="E647" s="22" t="str">
        <f>IF(Tabel!P650="","",Tabel!T650)</f>
        <v/>
      </c>
      <c r="F647" s="11" t="str">
        <f>IF(Tabel!P650="","",IF(Tabel!U650="","",Tabel!P650))</f>
        <v/>
      </c>
    </row>
    <row r="648" spans="1:6" x14ac:dyDescent="0.25">
      <c r="A648" s="22" t="str">
        <f>IF(Tabel!N651="","",Tabel!Q651)</f>
        <v/>
      </c>
      <c r="B648" s="11" t="str">
        <f>IF(Tabel!N651="","",IF(Tabel!Q651="","",Tabel!N651))</f>
        <v/>
      </c>
      <c r="C648" s="22" t="str">
        <f>IF(Tabel!O651="","",Tabel!S651)</f>
        <v/>
      </c>
      <c r="D648" s="11" t="str">
        <f>IF(Tabel!O651="","",IF(Tabel!S651="","",Tabel!O651))</f>
        <v/>
      </c>
      <c r="E648" s="22" t="str">
        <f>IF(Tabel!P651="","",Tabel!T651)</f>
        <v/>
      </c>
      <c r="F648" s="11" t="str">
        <f>IF(Tabel!P651="","",IF(Tabel!U651="","",Tabel!P651))</f>
        <v/>
      </c>
    </row>
    <row r="649" spans="1:6" x14ac:dyDescent="0.25">
      <c r="A649" s="22" t="str">
        <f>IF(Tabel!N652="","",Tabel!Q652)</f>
        <v/>
      </c>
      <c r="B649" s="11" t="str">
        <f>IF(Tabel!N652="","",IF(Tabel!Q652="","",Tabel!N652))</f>
        <v/>
      </c>
      <c r="C649" s="22" t="str">
        <f>IF(Tabel!O652="","",Tabel!S652)</f>
        <v/>
      </c>
      <c r="D649" s="11" t="str">
        <f>IF(Tabel!O652="","",IF(Tabel!S652="","",Tabel!O652))</f>
        <v/>
      </c>
      <c r="E649" s="22" t="str">
        <f>IF(Tabel!P652="","",Tabel!T652)</f>
        <v/>
      </c>
      <c r="F649" s="11" t="str">
        <f>IF(Tabel!P652="","",IF(Tabel!U652="","",Tabel!P652))</f>
        <v/>
      </c>
    </row>
    <row r="650" spans="1:6" x14ac:dyDescent="0.25">
      <c r="A650" s="22" t="str">
        <f>IF(Tabel!N653="","",Tabel!Q653)</f>
        <v/>
      </c>
      <c r="B650" s="11" t="str">
        <f>IF(Tabel!N653="","",IF(Tabel!Q653="","",Tabel!N653))</f>
        <v/>
      </c>
      <c r="C650" s="22" t="str">
        <f>IF(Tabel!O653="","",Tabel!S653)</f>
        <v/>
      </c>
      <c r="D650" s="11" t="str">
        <f>IF(Tabel!O653="","",IF(Tabel!S653="","",Tabel!O653))</f>
        <v/>
      </c>
      <c r="E650" s="22" t="str">
        <f>IF(Tabel!P653="","",Tabel!T653)</f>
        <v/>
      </c>
      <c r="F650" s="11" t="str">
        <f>IF(Tabel!P653="","",IF(Tabel!U653="","",Tabel!P653))</f>
        <v/>
      </c>
    </row>
    <row r="651" spans="1:6" x14ac:dyDescent="0.25">
      <c r="A651" s="22" t="str">
        <f>IF(Tabel!N654="","",Tabel!Q654)</f>
        <v/>
      </c>
      <c r="B651" s="11" t="str">
        <f>IF(Tabel!N654="","",IF(Tabel!Q654="","",Tabel!N654))</f>
        <v/>
      </c>
      <c r="C651" s="22" t="str">
        <f>IF(Tabel!O654="","",Tabel!S654)</f>
        <v/>
      </c>
      <c r="D651" s="11" t="str">
        <f>IF(Tabel!O654="","",IF(Tabel!S654="","",Tabel!O654))</f>
        <v/>
      </c>
      <c r="E651" s="22" t="str">
        <f>IF(Tabel!P654="","",Tabel!T654)</f>
        <v/>
      </c>
      <c r="F651" s="11" t="str">
        <f>IF(Tabel!P654="","",IF(Tabel!U654="","",Tabel!P654))</f>
        <v/>
      </c>
    </row>
    <row r="652" spans="1:6" x14ac:dyDescent="0.25">
      <c r="A652" s="22" t="str">
        <f>IF(Tabel!N655="","",Tabel!Q655)</f>
        <v/>
      </c>
      <c r="B652" s="11" t="str">
        <f>IF(Tabel!N655="","",IF(Tabel!Q655="","",Tabel!N655))</f>
        <v/>
      </c>
      <c r="C652" s="22" t="str">
        <f>IF(Tabel!O655="","",Tabel!S655)</f>
        <v/>
      </c>
      <c r="D652" s="11" t="str">
        <f>IF(Tabel!O655="","",IF(Tabel!S655="","",Tabel!O655))</f>
        <v/>
      </c>
      <c r="E652" s="22" t="str">
        <f>IF(Tabel!P655="","",Tabel!T655)</f>
        <v/>
      </c>
      <c r="F652" s="11" t="str">
        <f>IF(Tabel!P655="","",IF(Tabel!U655="","",Tabel!P655))</f>
        <v/>
      </c>
    </row>
    <row r="653" spans="1:6" x14ac:dyDescent="0.25">
      <c r="A653" s="22" t="str">
        <f>IF(Tabel!N656="","",Tabel!Q656)</f>
        <v/>
      </c>
      <c r="B653" s="11" t="str">
        <f>IF(Tabel!N656="","",IF(Tabel!Q656="","",Tabel!N656))</f>
        <v/>
      </c>
      <c r="C653" s="22" t="str">
        <f>IF(Tabel!O656="","",Tabel!S656)</f>
        <v/>
      </c>
      <c r="D653" s="11" t="str">
        <f>IF(Tabel!O656="","",IF(Tabel!S656="","",Tabel!O656))</f>
        <v/>
      </c>
      <c r="E653" s="22" t="str">
        <f>IF(Tabel!P656="","",Tabel!T656)</f>
        <v/>
      </c>
      <c r="F653" s="11" t="str">
        <f>IF(Tabel!P656="","",IF(Tabel!U656="","",Tabel!P656))</f>
        <v/>
      </c>
    </row>
    <row r="654" spans="1:6" x14ac:dyDescent="0.25">
      <c r="A654" s="22" t="str">
        <f>IF(Tabel!N657="","",Tabel!Q657)</f>
        <v/>
      </c>
      <c r="B654" s="11" t="str">
        <f>IF(Tabel!N657="","",IF(Tabel!Q657="","",Tabel!N657))</f>
        <v/>
      </c>
      <c r="C654" s="22" t="str">
        <f>IF(Tabel!O657="","",Tabel!S657)</f>
        <v/>
      </c>
      <c r="D654" s="11" t="str">
        <f>IF(Tabel!O657="","",IF(Tabel!S657="","",Tabel!O657))</f>
        <v/>
      </c>
      <c r="E654" s="22" t="str">
        <f>IF(Tabel!P657="","",Tabel!T657)</f>
        <v/>
      </c>
      <c r="F654" s="11" t="str">
        <f>IF(Tabel!P657="","",IF(Tabel!U657="","",Tabel!P657))</f>
        <v/>
      </c>
    </row>
    <row r="655" spans="1:6" x14ac:dyDescent="0.25">
      <c r="A655" s="22" t="str">
        <f>IF(Tabel!N658="","",Tabel!Q658)</f>
        <v/>
      </c>
      <c r="B655" s="11" t="str">
        <f>IF(Tabel!N658="","",IF(Tabel!Q658="","",Tabel!N658))</f>
        <v/>
      </c>
      <c r="C655" s="22" t="str">
        <f>IF(Tabel!O658="","",Tabel!S658)</f>
        <v/>
      </c>
      <c r="D655" s="11" t="str">
        <f>IF(Tabel!O658="","",IF(Tabel!S658="","",Tabel!O658))</f>
        <v/>
      </c>
      <c r="E655" s="22" t="str">
        <f>IF(Tabel!P658="","",Tabel!T658)</f>
        <v/>
      </c>
      <c r="F655" s="11" t="str">
        <f>IF(Tabel!P658="","",IF(Tabel!U658="","",Tabel!P658))</f>
        <v/>
      </c>
    </row>
    <row r="656" spans="1:6" x14ac:dyDescent="0.25">
      <c r="A656" s="22" t="str">
        <f>IF(Tabel!N659="","",Tabel!Q659)</f>
        <v/>
      </c>
      <c r="B656" s="11" t="str">
        <f>IF(Tabel!N659="","",IF(Tabel!Q659="","",Tabel!N659))</f>
        <v/>
      </c>
      <c r="C656" s="22" t="str">
        <f>IF(Tabel!O659="","",Tabel!S659)</f>
        <v/>
      </c>
      <c r="D656" s="11" t="str">
        <f>IF(Tabel!O659="","",IF(Tabel!S659="","",Tabel!O659))</f>
        <v/>
      </c>
      <c r="E656" s="22" t="str">
        <f>IF(Tabel!P659="","",Tabel!T659)</f>
        <v/>
      </c>
      <c r="F656" s="11" t="str">
        <f>IF(Tabel!P659="","",IF(Tabel!U659="","",Tabel!P659))</f>
        <v/>
      </c>
    </row>
    <row r="657" spans="1:6" x14ac:dyDescent="0.25">
      <c r="A657" s="22" t="str">
        <f>IF(Tabel!N660="","",Tabel!Q660)</f>
        <v/>
      </c>
      <c r="B657" s="11" t="str">
        <f>IF(Tabel!N660="","",IF(Tabel!Q660="","",Tabel!N660))</f>
        <v/>
      </c>
      <c r="C657" s="22" t="str">
        <f>IF(Tabel!O660="","",Tabel!S660)</f>
        <v/>
      </c>
      <c r="D657" s="11" t="str">
        <f>IF(Tabel!O660="","",IF(Tabel!S660="","",Tabel!O660))</f>
        <v/>
      </c>
      <c r="E657" s="22" t="str">
        <f>IF(Tabel!P660="","",Tabel!T660)</f>
        <v/>
      </c>
      <c r="F657" s="11" t="str">
        <f>IF(Tabel!P660="","",IF(Tabel!U660="","",Tabel!P660))</f>
        <v/>
      </c>
    </row>
    <row r="658" spans="1:6" x14ac:dyDescent="0.25">
      <c r="A658" s="22" t="str">
        <f>IF(Tabel!N661="","",Tabel!Q661)</f>
        <v/>
      </c>
      <c r="B658" s="11" t="str">
        <f>IF(Tabel!N661="","",IF(Tabel!Q661="","",Tabel!N661))</f>
        <v/>
      </c>
      <c r="C658" s="22" t="str">
        <f>IF(Tabel!O661="","",Tabel!S661)</f>
        <v/>
      </c>
      <c r="D658" s="11" t="str">
        <f>IF(Tabel!O661="","",IF(Tabel!S661="","",Tabel!O661))</f>
        <v/>
      </c>
      <c r="E658" s="22" t="str">
        <f>IF(Tabel!P661="","",Tabel!T661)</f>
        <v/>
      </c>
      <c r="F658" s="11" t="str">
        <f>IF(Tabel!P661="","",IF(Tabel!U661="","",Tabel!P661))</f>
        <v/>
      </c>
    </row>
    <row r="659" spans="1:6" x14ac:dyDescent="0.25">
      <c r="A659" s="22" t="str">
        <f>IF(Tabel!N662="","",Tabel!Q662)</f>
        <v/>
      </c>
      <c r="B659" s="11" t="str">
        <f>IF(Tabel!N662="","",IF(Tabel!Q662="","",Tabel!N662))</f>
        <v/>
      </c>
      <c r="C659" s="22" t="str">
        <f>IF(Tabel!O662="","",Tabel!S662)</f>
        <v/>
      </c>
      <c r="D659" s="11" t="str">
        <f>IF(Tabel!O662="","",IF(Tabel!S662="","",Tabel!O662))</f>
        <v/>
      </c>
      <c r="E659" s="22" t="str">
        <f>IF(Tabel!P662="","",Tabel!T662)</f>
        <v/>
      </c>
      <c r="F659" s="11" t="str">
        <f>IF(Tabel!P662="","",IF(Tabel!U662="","",Tabel!P662))</f>
        <v/>
      </c>
    </row>
    <row r="660" spans="1:6" x14ac:dyDescent="0.25">
      <c r="A660" s="22" t="str">
        <f>IF(Tabel!N663="","",Tabel!Q663)</f>
        <v/>
      </c>
      <c r="B660" s="11" t="str">
        <f>IF(Tabel!N663="","",IF(Tabel!Q663="","",Tabel!N663))</f>
        <v/>
      </c>
      <c r="C660" s="22" t="str">
        <f>IF(Tabel!O663="","",Tabel!S663)</f>
        <v/>
      </c>
      <c r="D660" s="11" t="str">
        <f>IF(Tabel!O663="","",IF(Tabel!S663="","",Tabel!O663))</f>
        <v/>
      </c>
      <c r="E660" s="22" t="str">
        <f>IF(Tabel!P663="","",Tabel!T663)</f>
        <v/>
      </c>
      <c r="F660" s="11" t="str">
        <f>IF(Tabel!P663="","",IF(Tabel!U663="","",Tabel!P663))</f>
        <v/>
      </c>
    </row>
    <row r="661" spans="1:6" x14ac:dyDescent="0.25">
      <c r="A661" s="22" t="str">
        <f>IF(Tabel!N664="","",Tabel!Q664)</f>
        <v/>
      </c>
      <c r="B661" s="11" t="str">
        <f>IF(Tabel!N664="","",IF(Tabel!Q664="","",Tabel!N664))</f>
        <v/>
      </c>
      <c r="C661" s="22" t="str">
        <f>IF(Tabel!O664="","",Tabel!S664)</f>
        <v/>
      </c>
      <c r="D661" s="11" t="str">
        <f>IF(Tabel!O664="","",IF(Tabel!S664="","",Tabel!O664))</f>
        <v/>
      </c>
      <c r="E661" s="22" t="str">
        <f>IF(Tabel!P664="","",Tabel!T664)</f>
        <v/>
      </c>
      <c r="F661" s="11" t="str">
        <f>IF(Tabel!P664="","",IF(Tabel!U664="","",Tabel!P664))</f>
        <v/>
      </c>
    </row>
    <row r="662" spans="1:6" x14ac:dyDescent="0.25">
      <c r="A662" s="22" t="str">
        <f>IF(Tabel!N665="","",Tabel!Q665)</f>
        <v/>
      </c>
      <c r="B662" s="11" t="str">
        <f>IF(Tabel!N665="","",IF(Tabel!Q665="","",Tabel!N665))</f>
        <v/>
      </c>
      <c r="C662" s="22" t="str">
        <f>IF(Tabel!O665="","",Tabel!S665)</f>
        <v/>
      </c>
      <c r="D662" s="11" t="str">
        <f>IF(Tabel!O665="","",IF(Tabel!S665="","",Tabel!O665))</f>
        <v/>
      </c>
      <c r="E662" s="22" t="str">
        <f>IF(Tabel!P665="","",Tabel!T665)</f>
        <v/>
      </c>
      <c r="F662" s="11" t="str">
        <f>IF(Tabel!P665="","",IF(Tabel!U665="","",Tabel!P665))</f>
        <v/>
      </c>
    </row>
    <row r="663" spans="1:6" x14ac:dyDescent="0.25">
      <c r="A663" s="22" t="str">
        <f>IF(Tabel!N666="","",Tabel!Q666)</f>
        <v/>
      </c>
      <c r="B663" s="11" t="str">
        <f>IF(Tabel!N666="","",IF(Tabel!Q666="","",Tabel!N666))</f>
        <v/>
      </c>
      <c r="C663" s="22" t="str">
        <f>IF(Tabel!O666="","",Tabel!S666)</f>
        <v/>
      </c>
      <c r="D663" s="11" t="str">
        <f>IF(Tabel!O666="","",IF(Tabel!S666="","",Tabel!O666))</f>
        <v/>
      </c>
      <c r="E663" s="22" t="str">
        <f>IF(Tabel!P666="","",Tabel!T666)</f>
        <v/>
      </c>
      <c r="F663" s="11" t="str">
        <f>IF(Tabel!P666="","",IF(Tabel!U666="","",Tabel!P666))</f>
        <v/>
      </c>
    </row>
    <row r="664" spans="1:6" x14ac:dyDescent="0.25">
      <c r="A664" s="22" t="str">
        <f>IF(Tabel!N667="","",Tabel!Q667)</f>
        <v/>
      </c>
      <c r="B664" s="11" t="str">
        <f>IF(Tabel!N667="","",IF(Tabel!Q667="","",Tabel!N667))</f>
        <v/>
      </c>
      <c r="C664" s="22" t="str">
        <f>IF(Tabel!O667="","",Tabel!S667)</f>
        <v/>
      </c>
      <c r="D664" s="11" t="str">
        <f>IF(Tabel!O667="","",IF(Tabel!S667="","",Tabel!O667))</f>
        <v/>
      </c>
      <c r="E664" s="22" t="str">
        <f>IF(Tabel!P667="","",Tabel!T667)</f>
        <v/>
      </c>
      <c r="F664" s="11" t="str">
        <f>IF(Tabel!P667="","",IF(Tabel!U667="","",Tabel!P667))</f>
        <v/>
      </c>
    </row>
    <row r="665" spans="1:6" x14ac:dyDescent="0.25">
      <c r="A665" s="22" t="str">
        <f>IF(Tabel!N668="","",Tabel!Q668)</f>
        <v/>
      </c>
      <c r="B665" s="11" t="str">
        <f>IF(Tabel!N668="","",IF(Tabel!Q668="","",Tabel!N668))</f>
        <v/>
      </c>
      <c r="C665" s="22" t="str">
        <f>IF(Tabel!O668="","",Tabel!S668)</f>
        <v/>
      </c>
      <c r="D665" s="11" t="str">
        <f>IF(Tabel!O668="","",IF(Tabel!S668="","",Tabel!O668))</f>
        <v/>
      </c>
      <c r="E665" s="22" t="str">
        <f>IF(Tabel!P668="","",Tabel!T668)</f>
        <v/>
      </c>
      <c r="F665" s="11" t="str">
        <f>IF(Tabel!P668="","",IF(Tabel!U668="","",Tabel!P668))</f>
        <v/>
      </c>
    </row>
    <row r="666" spans="1:6" x14ac:dyDescent="0.25">
      <c r="A666" s="22" t="str">
        <f>IF(Tabel!N669="","",Tabel!Q669)</f>
        <v/>
      </c>
      <c r="B666" s="11" t="str">
        <f>IF(Tabel!N669="","",IF(Tabel!Q669="","",Tabel!N669))</f>
        <v/>
      </c>
      <c r="C666" s="22" t="str">
        <f>IF(Tabel!O669="","",Tabel!S669)</f>
        <v/>
      </c>
      <c r="D666" s="11" t="str">
        <f>IF(Tabel!O669="","",IF(Tabel!S669="","",Tabel!O669))</f>
        <v/>
      </c>
      <c r="E666" s="22" t="str">
        <f>IF(Tabel!P669="","",Tabel!T669)</f>
        <v/>
      </c>
      <c r="F666" s="11" t="str">
        <f>IF(Tabel!P669="","",IF(Tabel!U669="","",Tabel!P669))</f>
        <v/>
      </c>
    </row>
    <row r="667" spans="1:6" x14ac:dyDescent="0.25">
      <c r="A667" s="22" t="str">
        <f>IF(Tabel!N670="","",Tabel!Q670)</f>
        <v/>
      </c>
      <c r="B667" s="11" t="str">
        <f>IF(Tabel!N670="","",IF(Tabel!Q670="","",Tabel!N670))</f>
        <v/>
      </c>
      <c r="C667" s="22" t="str">
        <f>IF(Tabel!O670="","",Tabel!S670)</f>
        <v/>
      </c>
      <c r="D667" s="11" t="str">
        <f>IF(Tabel!O670="","",IF(Tabel!S670="","",Tabel!O670))</f>
        <v/>
      </c>
      <c r="E667" s="22" t="str">
        <f>IF(Tabel!P670="","",Tabel!T670)</f>
        <v/>
      </c>
      <c r="F667" s="11" t="str">
        <f>IF(Tabel!P670="","",IF(Tabel!U670="","",Tabel!P670))</f>
        <v/>
      </c>
    </row>
    <row r="668" spans="1:6" x14ac:dyDescent="0.25">
      <c r="A668" s="22" t="str">
        <f>IF(Tabel!N671="","",Tabel!Q671)</f>
        <v/>
      </c>
      <c r="B668" s="11" t="str">
        <f>IF(Tabel!N671="","",IF(Tabel!Q671="","",Tabel!N671))</f>
        <v/>
      </c>
      <c r="C668" s="22" t="str">
        <f>IF(Tabel!O671="","",Tabel!S671)</f>
        <v/>
      </c>
      <c r="D668" s="11" t="str">
        <f>IF(Tabel!O671="","",IF(Tabel!S671="","",Tabel!O671))</f>
        <v/>
      </c>
      <c r="E668" s="22" t="str">
        <f>IF(Tabel!P671="","",Tabel!T671)</f>
        <v/>
      </c>
      <c r="F668" s="11" t="str">
        <f>IF(Tabel!P671="","",IF(Tabel!U671="","",Tabel!P671))</f>
        <v/>
      </c>
    </row>
    <row r="669" spans="1:6" x14ac:dyDescent="0.25">
      <c r="A669" s="22" t="str">
        <f>IF(Tabel!N672="","",Tabel!Q672)</f>
        <v/>
      </c>
      <c r="B669" s="11" t="str">
        <f>IF(Tabel!N672="","",IF(Tabel!Q672="","",Tabel!N672))</f>
        <v/>
      </c>
      <c r="C669" s="22" t="str">
        <f>IF(Tabel!O672="","",Tabel!S672)</f>
        <v/>
      </c>
      <c r="D669" s="11" t="str">
        <f>IF(Tabel!O672="","",IF(Tabel!S672="","",Tabel!O672))</f>
        <v/>
      </c>
      <c r="E669" s="22" t="str">
        <f>IF(Tabel!P672="","",Tabel!T672)</f>
        <v/>
      </c>
      <c r="F669" s="11" t="str">
        <f>IF(Tabel!P672="","",IF(Tabel!U672="","",Tabel!P672))</f>
        <v/>
      </c>
    </row>
    <row r="670" spans="1:6" x14ac:dyDescent="0.25">
      <c r="A670" s="22" t="str">
        <f>IF(Tabel!N673="","",Tabel!Q673)</f>
        <v/>
      </c>
      <c r="B670" s="11" t="str">
        <f>IF(Tabel!N673="","",IF(Tabel!Q673="","",Tabel!N673))</f>
        <v/>
      </c>
      <c r="C670" s="22" t="str">
        <f>IF(Tabel!O673="","",Tabel!S673)</f>
        <v/>
      </c>
      <c r="D670" s="11" t="str">
        <f>IF(Tabel!O673="","",IF(Tabel!S673="","",Tabel!O673))</f>
        <v/>
      </c>
      <c r="E670" s="22" t="str">
        <f>IF(Tabel!P673="","",Tabel!T673)</f>
        <v/>
      </c>
      <c r="F670" s="11" t="str">
        <f>IF(Tabel!P673="","",IF(Tabel!U673="","",Tabel!P673))</f>
        <v/>
      </c>
    </row>
    <row r="671" spans="1:6" x14ac:dyDescent="0.25">
      <c r="A671" s="22" t="str">
        <f>IF(Tabel!N674="","",Tabel!Q674)</f>
        <v/>
      </c>
      <c r="B671" s="11" t="str">
        <f>IF(Tabel!N674="","",IF(Tabel!Q674="","",Tabel!N674))</f>
        <v/>
      </c>
      <c r="C671" s="22" t="str">
        <f>IF(Tabel!O674="","",Tabel!S674)</f>
        <v/>
      </c>
      <c r="D671" s="11" t="str">
        <f>IF(Tabel!O674="","",IF(Tabel!S674="","",Tabel!O674))</f>
        <v/>
      </c>
      <c r="E671" s="22" t="str">
        <f>IF(Tabel!P674="","",Tabel!T674)</f>
        <v/>
      </c>
      <c r="F671" s="11" t="str">
        <f>IF(Tabel!P674="","",IF(Tabel!U674="","",Tabel!P674))</f>
        <v/>
      </c>
    </row>
    <row r="672" spans="1:6" x14ac:dyDescent="0.25">
      <c r="A672" s="22" t="str">
        <f>IF(Tabel!N675="","",Tabel!Q675)</f>
        <v/>
      </c>
      <c r="B672" s="11" t="str">
        <f>IF(Tabel!N675="","",IF(Tabel!Q675="","",Tabel!N675))</f>
        <v/>
      </c>
      <c r="C672" s="22" t="str">
        <f>IF(Tabel!O675="","",Tabel!S675)</f>
        <v/>
      </c>
      <c r="D672" s="11" t="str">
        <f>IF(Tabel!O675="","",IF(Tabel!S675="","",Tabel!O675))</f>
        <v/>
      </c>
      <c r="E672" s="22" t="str">
        <f>IF(Tabel!P675="","",Tabel!T675)</f>
        <v/>
      </c>
      <c r="F672" s="11" t="str">
        <f>IF(Tabel!P675="","",IF(Tabel!U675="","",Tabel!P675))</f>
        <v/>
      </c>
    </row>
    <row r="673" spans="1:6" x14ac:dyDescent="0.25">
      <c r="A673" s="22" t="str">
        <f>IF(Tabel!N676="","",Tabel!Q676)</f>
        <v/>
      </c>
      <c r="B673" s="11" t="str">
        <f>IF(Tabel!N676="","",IF(Tabel!Q676="","",Tabel!N676))</f>
        <v/>
      </c>
      <c r="C673" s="22" t="str">
        <f>IF(Tabel!O676="","",Tabel!S676)</f>
        <v/>
      </c>
      <c r="D673" s="11" t="str">
        <f>IF(Tabel!O676="","",IF(Tabel!S676="","",Tabel!O676))</f>
        <v/>
      </c>
      <c r="E673" s="22" t="str">
        <f>IF(Tabel!P676="","",Tabel!T676)</f>
        <v/>
      </c>
      <c r="F673" s="11" t="str">
        <f>IF(Tabel!P676="","",IF(Tabel!U676="","",Tabel!P676))</f>
        <v/>
      </c>
    </row>
    <row r="674" spans="1:6" x14ac:dyDescent="0.25">
      <c r="A674" s="22" t="str">
        <f>IF(Tabel!N677="","",Tabel!Q677)</f>
        <v/>
      </c>
      <c r="B674" s="11" t="str">
        <f>IF(Tabel!N677="","",IF(Tabel!Q677="","",Tabel!N677))</f>
        <v/>
      </c>
      <c r="C674" s="22" t="str">
        <f>IF(Tabel!O677="","",Tabel!S677)</f>
        <v/>
      </c>
      <c r="D674" s="11" t="str">
        <f>IF(Tabel!O677="","",IF(Tabel!S677="","",Tabel!O677))</f>
        <v/>
      </c>
      <c r="E674" s="22" t="str">
        <f>IF(Tabel!P677="","",Tabel!T677)</f>
        <v/>
      </c>
      <c r="F674" s="11" t="str">
        <f>IF(Tabel!P677="","",IF(Tabel!U677="","",Tabel!P677))</f>
        <v/>
      </c>
    </row>
    <row r="675" spans="1:6" x14ac:dyDescent="0.25">
      <c r="A675" s="22" t="str">
        <f>IF(Tabel!N678="","",Tabel!Q678)</f>
        <v/>
      </c>
      <c r="B675" s="11" t="str">
        <f>IF(Tabel!N678="","",IF(Tabel!Q678="","",Tabel!N678))</f>
        <v/>
      </c>
      <c r="C675" s="22" t="str">
        <f>IF(Tabel!O678="","",Tabel!S678)</f>
        <v/>
      </c>
      <c r="D675" s="11" t="str">
        <f>IF(Tabel!O678="","",IF(Tabel!S678="","",Tabel!O678))</f>
        <v/>
      </c>
      <c r="E675" s="22" t="str">
        <f>IF(Tabel!P678="","",Tabel!T678)</f>
        <v/>
      </c>
      <c r="F675" s="11" t="str">
        <f>IF(Tabel!P678="","",IF(Tabel!U678="","",Tabel!P678))</f>
        <v/>
      </c>
    </row>
    <row r="676" spans="1:6" x14ac:dyDescent="0.25">
      <c r="A676" s="22" t="str">
        <f>IF(Tabel!N679="","",Tabel!Q679)</f>
        <v/>
      </c>
      <c r="B676" s="11" t="str">
        <f>IF(Tabel!N679="","",IF(Tabel!Q679="","",Tabel!N679))</f>
        <v/>
      </c>
      <c r="C676" s="22" t="str">
        <f>IF(Tabel!O679="","",Tabel!S679)</f>
        <v/>
      </c>
      <c r="D676" s="11" t="str">
        <f>IF(Tabel!O679="","",IF(Tabel!S679="","",Tabel!O679))</f>
        <v/>
      </c>
      <c r="E676" s="22" t="str">
        <f>IF(Tabel!P679="","",Tabel!T679)</f>
        <v/>
      </c>
      <c r="F676" s="11" t="str">
        <f>IF(Tabel!P679="","",IF(Tabel!U679="","",Tabel!P679))</f>
        <v/>
      </c>
    </row>
    <row r="677" spans="1:6" x14ac:dyDescent="0.25">
      <c r="A677" s="22" t="str">
        <f>IF(Tabel!N680="","",Tabel!Q680)</f>
        <v/>
      </c>
      <c r="B677" s="11" t="str">
        <f>IF(Tabel!N680="","",IF(Tabel!Q680="","",Tabel!N680))</f>
        <v/>
      </c>
      <c r="C677" s="22" t="str">
        <f>IF(Tabel!O680="","",Tabel!S680)</f>
        <v/>
      </c>
      <c r="D677" s="11" t="str">
        <f>IF(Tabel!O680="","",IF(Tabel!S680="","",Tabel!O680))</f>
        <v/>
      </c>
      <c r="E677" s="22" t="str">
        <f>IF(Tabel!P680="","",Tabel!T680)</f>
        <v/>
      </c>
      <c r="F677" s="11" t="str">
        <f>IF(Tabel!P680="","",IF(Tabel!U680="","",Tabel!P680))</f>
        <v/>
      </c>
    </row>
    <row r="678" spans="1:6" x14ac:dyDescent="0.25">
      <c r="A678" s="22" t="str">
        <f>IF(Tabel!N681="","",Tabel!Q681)</f>
        <v/>
      </c>
      <c r="B678" s="11" t="str">
        <f>IF(Tabel!N681="","",IF(Tabel!Q681="","",Tabel!N681))</f>
        <v/>
      </c>
      <c r="C678" s="22" t="str">
        <f>IF(Tabel!O681="","",Tabel!S681)</f>
        <v/>
      </c>
      <c r="D678" s="11" t="str">
        <f>IF(Tabel!O681="","",IF(Tabel!S681="","",Tabel!O681))</f>
        <v/>
      </c>
      <c r="E678" s="22" t="str">
        <f>IF(Tabel!P681="","",Tabel!T681)</f>
        <v/>
      </c>
      <c r="F678" s="11" t="str">
        <f>IF(Tabel!P681="","",IF(Tabel!U681="","",Tabel!P681))</f>
        <v/>
      </c>
    </row>
    <row r="679" spans="1:6" x14ac:dyDescent="0.25">
      <c r="A679" s="22" t="str">
        <f>IF(Tabel!N682="","",Tabel!Q682)</f>
        <v/>
      </c>
      <c r="B679" s="11" t="str">
        <f>IF(Tabel!N682="","",IF(Tabel!Q682="","",Tabel!N682))</f>
        <v/>
      </c>
      <c r="C679" s="22" t="str">
        <f>IF(Tabel!O682="","",Tabel!S682)</f>
        <v/>
      </c>
      <c r="D679" s="11" t="str">
        <f>IF(Tabel!O682="","",IF(Tabel!S682="","",Tabel!O682))</f>
        <v/>
      </c>
      <c r="E679" s="22" t="str">
        <f>IF(Tabel!P682="","",Tabel!T682)</f>
        <v/>
      </c>
      <c r="F679" s="11" t="str">
        <f>IF(Tabel!P682="","",IF(Tabel!U682="","",Tabel!P682))</f>
        <v/>
      </c>
    </row>
    <row r="680" spans="1:6" x14ac:dyDescent="0.25">
      <c r="A680" s="22" t="str">
        <f>IF(Tabel!N683="","",Tabel!Q683)</f>
        <v/>
      </c>
      <c r="B680" s="11" t="str">
        <f>IF(Tabel!N683="","",IF(Tabel!Q683="","",Tabel!N683))</f>
        <v/>
      </c>
      <c r="C680" s="22" t="str">
        <f>IF(Tabel!O683="","",Tabel!S683)</f>
        <v/>
      </c>
      <c r="D680" s="11" t="str">
        <f>IF(Tabel!O683="","",IF(Tabel!S683="","",Tabel!O683))</f>
        <v/>
      </c>
      <c r="E680" s="22" t="str">
        <f>IF(Tabel!P683="","",Tabel!T683)</f>
        <v/>
      </c>
      <c r="F680" s="11" t="str">
        <f>IF(Tabel!P683="","",IF(Tabel!U683="","",Tabel!P683))</f>
        <v/>
      </c>
    </row>
    <row r="681" spans="1:6" x14ac:dyDescent="0.25">
      <c r="A681" s="22" t="str">
        <f>IF(Tabel!N684="","",Tabel!Q684)</f>
        <v/>
      </c>
      <c r="B681" s="11" t="str">
        <f>IF(Tabel!N684="","",IF(Tabel!Q684="","",Tabel!N684))</f>
        <v/>
      </c>
      <c r="C681" s="22" t="str">
        <f>IF(Tabel!O684="","",Tabel!S684)</f>
        <v/>
      </c>
      <c r="D681" s="11" t="str">
        <f>IF(Tabel!O684="","",IF(Tabel!S684="","",Tabel!O684))</f>
        <v/>
      </c>
      <c r="E681" s="22" t="str">
        <f>IF(Tabel!P684="","",Tabel!T684)</f>
        <v/>
      </c>
      <c r="F681" s="11" t="str">
        <f>IF(Tabel!P684="","",IF(Tabel!U684="","",Tabel!P684))</f>
        <v/>
      </c>
    </row>
    <row r="682" spans="1:6" x14ac:dyDescent="0.25">
      <c r="A682" s="22" t="str">
        <f>IF(Tabel!N685="","",Tabel!Q685)</f>
        <v/>
      </c>
      <c r="B682" s="11" t="str">
        <f>IF(Tabel!N685="","",IF(Tabel!Q685="","",Tabel!N685))</f>
        <v/>
      </c>
      <c r="C682" s="22" t="str">
        <f>IF(Tabel!O685="","",Tabel!S685)</f>
        <v/>
      </c>
      <c r="D682" s="11" t="str">
        <f>IF(Tabel!O685="","",IF(Tabel!S685="","",Tabel!O685))</f>
        <v/>
      </c>
      <c r="E682" s="22" t="str">
        <f>IF(Tabel!P685="","",Tabel!T685)</f>
        <v/>
      </c>
      <c r="F682" s="11" t="str">
        <f>IF(Tabel!P685="","",IF(Tabel!U685="","",Tabel!P685))</f>
        <v/>
      </c>
    </row>
    <row r="683" spans="1:6" x14ac:dyDescent="0.25">
      <c r="A683" s="22" t="str">
        <f>IF(Tabel!N686="","",Tabel!Q686)</f>
        <v/>
      </c>
      <c r="B683" s="11" t="str">
        <f>IF(Tabel!N686="","",IF(Tabel!Q686="","",Tabel!N686))</f>
        <v/>
      </c>
      <c r="C683" s="22" t="str">
        <f>IF(Tabel!O686="","",Tabel!S686)</f>
        <v/>
      </c>
      <c r="D683" s="11" t="str">
        <f>IF(Tabel!O686="","",IF(Tabel!S686="","",Tabel!O686))</f>
        <v/>
      </c>
      <c r="E683" s="22" t="str">
        <f>IF(Tabel!P686="","",Tabel!T686)</f>
        <v/>
      </c>
      <c r="F683" s="11" t="str">
        <f>IF(Tabel!P686="","",IF(Tabel!U686="","",Tabel!P686))</f>
        <v/>
      </c>
    </row>
    <row r="684" spans="1:6" x14ac:dyDescent="0.25">
      <c r="A684" s="22" t="str">
        <f>IF(Tabel!N687="","",Tabel!Q687)</f>
        <v/>
      </c>
      <c r="B684" s="11" t="str">
        <f>IF(Tabel!N687="","",IF(Tabel!Q687="","",Tabel!N687))</f>
        <v/>
      </c>
      <c r="C684" s="22" t="str">
        <f>IF(Tabel!O687="","",Tabel!S687)</f>
        <v/>
      </c>
      <c r="D684" s="11" t="str">
        <f>IF(Tabel!O687="","",IF(Tabel!S687="","",Tabel!O687))</f>
        <v/>
      </c>
      <c r="E684" s="22" t="str">
        <f>IF(Tabel!P687="","",Tabel!T687)</f>
        <v/>
      </c>
      <c r="F684" s="11" t="str">
        <f>IF(Tabel!P687="","",IF(Tabel!U687="","",Tabel!P687))</f>
        <v/>
      </c>
    </row>
    <row r="685" spans="1:6" x14ac:dyDescent="0.25">
      <c r="A685" s="22" t="str">
        <f>IF(Tabel!N688="","",Tabel!Q688)</f>
        <v/>
      </c>
      <c r="B685" s="11" t="str">
        <f>IF(Tabel!N688="","",IF(Tabel!Q688="","",Tabel!N688))</f>
        <v/>
      </c>
      <c r="C685" s="22" t="str">
        <f>IF(Tabel!O688="","",Tabel!S688)</f>
        <v/>
      </c>
      <c r="D685" s="11" t="str">
        <f>IF(Tabel!O688="","",IF(Tabel!S688="","",Tabel!O688))</f>
        <v/>
      </c>
      <c r="E685" s="22" t="str">
        <f>IF(Tabel!P688="","",Tabel!T688)</f>
        <v/>
      </c>
      <c r="F685" s="11" t="str">
        <f>IF(Tabel!P688="","",IF(Tabel!U688="","",Tabel!P688))</f>
        <v/>
      </c>
    </row>
    <row r="686" spans="1:6" x14ac:dyDescent="0.25">
      <c r="A686" s="22" t="str">
        <f>IF(Tabel!N689="","",Tabel!Q689)</f>
        <v/>
      </c>
      <c r="B686" s="11" t="str">
        <f>IF(Tabel!N689="","",IF(Tabel!Q689="","",Tabel!N689))</f>
        <v/>
      </c>
      <c r="C686" s="22" t="str">
        <f>IF(Tabel!O689="","",Tabel!S689)</f>
        <v/>
      </c>
      <c r="D686" s="11" t="str">
        <f>IF(Tabel!O689="","",IF(Tabel!S689="","",Tabel!O689))</f>
        <v/>
      </c>
      <c r="E686" s="22" t="str">
        <f>IF(Tabel!P689="","",Tabel!T689)</f>
        <v/>
      </c>
      <c r="F686" s="11" t="str">
        <f>IF(Tabel!P689="","",IF(Tabel!U689="","",Tabel!P689))</f>
        <v/>
      </c>
    </row>
    <row r="687" spans="1:6" x14ac:dyDescent="0.25">
      <c r="A687" s="22" t="str">
        <f>IF(Tabel!N690="","",Tabel!Q690)</f>
        <v/>
      </c>
      <c r="B687" s="11" t="str">
        <f>IF(Tabel!N690="","",IF(Tabel!Q690="","",Tabel!N690))</f>
        <v/>
      </c>
      <c r="C687" s="22" t="str">
        <f>IF(Tabel!O690="","",Tabel!S690)</f>
        <v/>
      </c>
      <c r="D687" s="11" t="str">
        <f>IF(Tabel!O690="","",IF(Tabel!S690="","",Tabel!O690))</f>
        <v/>
      </c>
      <c r="E687" s="22" t="str">
        <f>IF(Tabel!P690="","",Tabel!T690)</f>
        <v/>
      </c>
      <c r="F687" s="11" t="str">
        <f>IF(Tabel!P690="","",IF(Tabel!U690="","",Tabel!P690))</f>
        <v/>
      </c>
    </row>
    <row r="688" spans="1:6" x14ac:dyDescent="0.25">
      <c r="A688" s="22" t="str">
        <f>IF(Tabel!N691="","",Tabel!Q691)</f>
        <v/>
      </c>
      <c r="B688" s="11" t="str">
        <f>IF(Tabel!N691="","",IF(Tabel!Q691="","",Tabel!N691))</f>
        <v/>
      </c>
      <c r="C688" s="22" t="str">
        <f>IF(Tabel!O691="","",Tabel!S691)</f>
        <v/>
      </c>
      <c r="D688" s="11" t="str">
        <f>IF(Tabel!O691="","",IF(Tabel!S691="","",Tabel!O691))</f>
        <v/>
      </c>
      <c r="E688" s="22" t="str">
        <f>IF(Tabel!P691="","",Tabel!T691)</f>
        <v/>
      </c>
      <c r="F688" s="11" t="str">
        <f>IF(Tabel!P691="","",IF(Tabel!U691="","",Tabel!P691))</f>
        <v/>
      </c>
    </row>
    <row r="689" spans="1:6" x14ac:dyDescent="0.25">
      <c r="A689" s="22" t="str">
        <f>IF(Tabel!N692="","",Tabel!Q692)</f>
        <v/>
      </c>
      <c r="B689" s="11" t="str">
        <f>IF(Tabel!N692="","",IF(Tabel!Q692="","",Tabel!N692))</f>
        <v/>
      </c>
      <c r="C689" s="22" t="str">
        <f>IF(Tabel!O692="","",Tabel!S692)</f>
        <v/>
      </c>
      <c r="D689" s="11" t="str">
        <f>IF(Tabel!O692="","",IF(Tabel!S692="","",Tabel!O692))</f>
        <v/>
      </c>
      <c r="E689" s="22" t="str">
        <f>IF(Tabel!P692="","",Tabel!T692)</f>
        <v/>
      </c>
      <c r="F689" s="11" t="str">
        <f>IF(Tabel!P692="","",IF(Tabel!U692="","",Tabel!P692))</f>
        <v/>
      </c>
    </row>
    <row r="690" spans="1:6" x14ac:dyDescent="0.25">
      <c r="A690" s="22" t="str">
        <f>IF(Tabel!N693="","",Tabel!Q693)</f>
        <v/>
      </c>
      <c r="B690" s="11" t="str">
        <f>IF(Tabel!N693="","",IF(Tabel!Q693="","",Tabel!N693))</f>
        <v/>
      </c>
      <c r="C690" s="22" t="str">
        <f>IF(Tabel!O693="","",Tabel!S693)</f>
        <v/>
      </c>
      <c r="D690" s="11" t="str">
        <f>IF(Tabel!O693="","",IF(Tabel!S693="","",Tabel!O693))</f>
        <v/>
      </c>
      <c r="E690" s="22" t="str">
        <f>IF(Tabel!P693="","",Tabel!T693)</f>
        <v/>
      </c>
      <c r="F690" s="11" t="str">
        <f>IF(Tabel!P693="","",IF(Tabel!U693="","",Tabel!P693))</f>
        <v/>
      </c>
    </row>
    <row r="691" spans="1:6" x14ac:dyDescent="0.25">
      <c r="A691" s="22" t="str">
        <f>IF(Tabel!N694="","",Tabel!Q694)</f>
        <v/>
      </c>
      <c r="B691" s="11" t="str">
        <f>IF(Tabel!N694="","",IF(Tabel!Q694="","",Tabel!N694))</f>
        <v/>
      </c>
      <c r="C691" s="22" t="str">
        <f>IF(Tabel!O694="","",Tabel!S694)</f>
        <v/>
      </c>
      <c r="D691" s="11" t="str">
        <f>IF(Tabel!O694="","",IF(Tabel!S694="","",Tabel!O694))</f>
        <v/>
      </c>
      <c r="E691" s="22" t="str">
        <f>IF(Tabel!P694="","",Tabel!T694)</f>
        <v/>
      </c>
      <c r="F691" s="11" t="str">
        <f>IF(Tabel!P694="","",IF(Tabel!U694="","",Tabel!P694))</f>
        <v/>
      </c>
    </row>
    <row r="692" spans="1:6" x14ac:dyDescent="0.25">
      <c r="A692" s="22" t="str">
        <f>IF(Tabel!N695="","",Tabel!Q695)</f>
        <v/>
      </c>
      <c r="B692" s="11" t="str">
        <f>IF(Tabel!N695="","",IF(Tabel!Q695="","",Tabel!N695))</f>
        <v/>
      </c>
      <c r="C692" s="22" t="str">
        <f>IF(Tabel!O695="","",Tabel!S695)</f>
        <v/>
      </c>
      <c r="D692" s="11" t="str">
        <f>IF(Tabel!O695="","",IF(Tabel!S695="","",Tabel!O695))</f>
        <v/>
      </c>
      <c r="E692" s="22" t="str">
        <f>IF(Tabel!P695="","",Tabel!T695)</f>
        <v/>
      </c>
      <c r="F692" s="11" t="str">
        <f>IF(Tabel!P695="","",IF(Tabel!U695="","",Tabel!P695))</f>
        <v/>
      </c>
    </row>
    <row r="693" spans="1:6" x14ac:dyDescent="0.25">
      <c r="A693" s="22" t="str">
        <f>IF(Tabel!N696="","",Tabel!Q696)</f>
        <v/>
      </c>
      <c r="B693" s="11" t="str">
        <f>IF(Tabel!N696="","",IF(Tabel!Q696="","",Tabel!N696))</f>
        <v/>
      </c>
      <c r="C693" s="22" t="str">
        <f>IF(Tabel!O696="","",Tabel!S696)</f>
        <v/>
      </c>
      <c r="D693" s="11" t="str">
        <f>IF(Tabel!O696="","",IF(Tabel!S696="","",Tabel!O696))</f>
        <v/>
      </c>
      <c r="E693" s="22" t="str">
        <f>IF(Tabel!P696="","",Tabel!T696)</f>
        <v/>
      </c>
      <c r="F693" s="11" t="str">
        <f>IF(Tabel!P696="","",IF(Tabel!U696="","",Tabel!P696))</f>
        <v/>
      </c>
    </row>
    <row r="694" spans="1:6" x14ac:dyDescent="0.25">
      <c r="A694" s="22" t="str">
        <f>IF(Tabel!N697="","",Tabel!Q697)</f>
        <v/>
      </c>
      <c r="B694" s="11" t="str">
        <f>IF(Tabel!N697="","",IF(Tabel!Q697="","",Tabel!N697))</f>
        <v/>
      </c>
      <c r="C694" s="22" t="str">
        <f>IF(Tabel!O697="","",Tabel!S697)</f>
        <v/>
      </c>
      <c r="D694" s="11" t="str">
        <f>IF(Tabel!O697="","",IF(Tabel!S697="","",Tabel!O697))</f>
        <v/>
      </c>
      <c r="E694" s="22" t="str">
        <f>IF(Tabel!P697="","",Tabel!T697)</f>
        <v/>
      </c>
      <c r="F694" s="11" t="str">
        <f>IF(Tabel!P697="","",IF(Tabel!U697="","",Tabel!P697))</f>
        <v/>
      </c>
    </row>
    <row r="695" spans="1:6" x14ac:dyDescent="0.25">
      <c r="A695" s="22" t="str">
        <f>IF(Tabel!N698="","",Tabel!Q698)</f>
        <v/>
      </c>
      <c r="B695" s="11" t="str">
        <f>IF(Tabel!N698="","",IF(Tabel!Q698="","",Tabel!N698))</f>
        <v/>
      </c>
      <c r="C695" s="22" t="str">
        <f>IF(Tabel!O698="","",Tabel!S698)</f>
        <v/>
      </c>
      <c r="D695" s="11" t="str">
        <f>IF(Tabel!O698="","",IF(Tabel!S698="","",Tabel!O698))</f>
        <v/>
      </c>
      <c r="E695" s="22" t="str">
        <f>IF(Tabel!P698="","",Tabel!T698)</f>
        <v/>
      </c>
      <c r="F695" s="11" t="str">
        <f>IF(Tabel!P698="","",IF(Tabel!U698="","",Tabel!P698))</f>
        <v/>
      </c>
    </row>
    <row r="696" spans="1:6" x14ac:dyDescent="0.25">
      <c r="A696" s="22" t="str">
        <f>IF(Tabel!N699="","",Tabel!Q699)</f>
        <v/>
      </c>
      <c r="B696" s="11" t="str">
        <f>IF(Tabel!N699="","",IF(Tabel!Q699="","",Tabel!N699))</f>
        <v/>
      </c>
      <c r="C696" s="22" t="str">
        <f>IF(Tabel!O699="","",Tabel!S699)</f>
        <v/>
      </c>
      <c r="D696" s="11" t="str">
        <f>IF(Tabel!O699="","",IF(Tabel!S699="","",Tabel!O699))</f>
        <v/>
      </c>
      <c r="E696" s="22" t="str">
        <f>IF(Tabel!P699="","",Tabel!T699)</f>
        <v/>
      </c>
      <c r="F696" s="11" t="str">
        <f>IF(Tabel!P699="","",IF(Tabel!U699="","",Tabel!P699))</f>
        <v/>
      </c>
    </row>
    <row r="697" spans="1:6" x14ac:dyDescent="0.25">
      <c r="A697" s="22" t="str">
        <f>IF(Tabel!N700="","",Tabel!Q700)</f>
        <v/>
      </c>
      <c r="B697" s="11" t="str">
        <f>IF(Tabel!N700="","",IF(Tabel!Q700="","",Tabel!N700))</f>
        <v/>
      </c>
      <c r="C697" s="22" t="str">
        <f>IF(Tabel!O700="","",Tabel!S700)</f>
        <v/>
      </c>
      <c r="D697" s="11" t="str">
        <f>IF(Tabel!O700="","",IF(Tabel!S700="","",Tabel!O700))</f>
        <v/>
      </c>
      <c r="E697" s="22" t="str">
        <f>IF(Tabel!P700="","",Tabel!T700)</f>
        <v/>
      </c>
      <c r="F697" s="11" t="str">
        <f>IF(Tabel!P700="","",IF(Tabel!U700="","",Tabel!P700))</f>
        <v/>
      </c>
    </row>
    <row r="698" spans="1:6" x14ac:dyDescent="0.25">
      <c r="A698" s="22" t="str">
        <f>IF(Tabel!N701="","",Tabel!Q701)</f>
        <v/>
      </c>
      <c r="B698" s="11" t="str">
        <f>IF(Tabel!N701="","",IF(Tabel!Q701="","",Tabel!N701))</f>
        <v/>
      </c>
      <c r="C698" s="22" t="str">
        <f>IF(Tabel!O701="","",Tabel!S701)</f>
        <v/>
      </c>
      <c r="D698" s="11" t="str">
        <f>IF(Tabel!O701="","",IF(Tabel!S701="","",Tabel!O701))</f>
        <v/>
      </c>
      <c r="E698" s="22" t="str">
        <f>IF(Tabel!P701="","",Tabel!T701)</f>
        <v/>
      </c>
      <c r="F698" s="11" t="str">
        <f>IF(Tabel!P701="","",IF(Tabel!U701="","",Tabel!P701))</f>
        <v/>
      </c>
    </row>
    <row r="699" spans="1:6" x14ac:dyDescent="0.25">
      <c r="A699" s="22" t="str">
        <f>IF(Tabel!N702="","",Tabel!Q702)</f>
        <v/>
      </c>
      <c r="B699" s="11" t="str">
        <f>IF(Tabel!N702="","",IF(Tabel!Q702="","",Tabel!N702))</f>
        <v/>
      </c>
      <c r="C699" s="22" t="str">
        <f>IF(Tabel!O702="","",Tabel!S702)</f>
        <v/>
      </c>
      <c r="D699" s="11" t="str">
        <f>IF(Tabel!O702="","",IF(Tabel!S702="","",Tabel!O702))</f>
        <v/>
      </c>
      <c r="E699" s="22" t="str">
        <f>IF(Tabel!P702="","",Tabel!T702)</f>
        <v/>
      </c>
      <c r="F699" s="11" t="str">
        <f>IF(Tabel!P702="","",IF(Tabel!U702="","",Tabel!P702))</f>
        <v/>
      </c>
    </row>
    <row r="700" spans="1:6" x14ac:dyDescent="0.25">
      <c r="A700" s="22" t="str">
        <f>IF(Tabel!N703="","",Tabel!Q703)</f>
        <v/>
      </c>
      <c r="B700" s="11" t="str">
        <f>IF(Tabel!N703="","",IF(Tabel!Q703="","",Tabel!N703))</f>
        <v/>
      </c>
      <c r="C700" s="22" t="str">
        <f>IF(Tabel!O703="","",Tabel!S703)</f>
        <v/>
      </c>
      <c r="D700" s="11" t="str">
        <f>IF(Tabel!O703="","",IF(Tabel!S703="","",Tabel!O703))</f>
        <v/>
      </c>
      <c r="E700" s="22" t="str">
        <f>IF(Tabel!P703="","",Tabel!T703)</f>
        <v/>
      </c>
      <c r="F700" s="11" t="str">
        <f>IF(Tabel!P703="","",IF(Tabel!U703="","",Tabel!P703))</f>
        <v/>
      </c>
    </row>
    <row r="701" spans="1:6" x14ac:dyDescent="0.25">
      <c r="A701" s="22" t="str">
        <f>IF(Tabel!N704="","",Tabel!Q704)</f>
        <v/>
      </c>
      <c r="B701" s="11" t="str">
        <f>IF(Tabel!N704="","",IF(Tabel!Q704="","",Tabel!N704))</f>
        <v/>
      </c>
      <c r="C701" s="22" t="str">
        <f>IF(Tabel!O704="","",Tabel!S704)</f>
        <v/>
      </c>
      <c r="D701" s="11" t="str">
        <f>IF(Tabel!O704="","",IF(Tabel!S704="","",Tabel!O704))</f>
        <v/>
      </c>
      <c r="E701" s="22" t="str">
        <f>IF(Tabel!P704="","",Tabel!T704)</f>
        <v/>
      </c>
      <c r="F701" s="11" t="str">
        <f>IF(Tabel!P704="","",IF(Tabel!U704="","",Tabel!P704))</f>
        <v/>
      </c>
    </row>
    <row r="702" spans="1:6" x14ac:dyDescent="0.25">
      <c r="A702" s="22" t="str">
        <f>IF(Tabel!N705="","",Tabel!Q705)</f>
        <v/>
      </c>
      <c r="B702" s="11" t="str">
        <f>IF(Tabel!N705="","",IF(Tabel!Q705="","",Tabel!N705))</f>
        <v/>
      </c>
      <c r="C702" s="22" t="str">
        <f>IF(Tabel!O705="","",Tabel!S705)</f>
        <v/>
      </c>
      <c r="D702" s="11" t="str">
        <f>IF(Tabel!O705="","",IF(Tabel!S705="","",Tabel!O705))</f>
        <v/>
      </c>
      <c r="E702" s="22" t="str">
        <f>IF(Tabel!P705="","",Tabel!T705)</f>
        <v/>
      </c>
      <c r="F702" s="11" t="str">
        <f>IF(Tabel!P705="","",IF(Tabel!U705="","",Tabel!P705))</f>
        <v/>
      </c>
    </row>
    <row r="703" spans="1:6" x14ac:dyDescent="0.25">
      <c r="A703" s="22" t="str">
        <f>IF(Tabel!N706="","",Tabel!Q706)</f>
        <v/>
      </c>
      <c r="B703" s="11" t="str">
        <f>IF(Tabel!N706="","",IF(Tabel!Q706="","",Tabel!N706))</f>
        <v/>
      </c>
      <c r="C703" s="22" t="str">
        <f>IF(Tabel!O706="","",Tabel!S706)</f>
        <v/>
      </c>
      <c r="D703" s="11" t="str">
        <f>IF(Tabel!O706="","",IF(Tabel!S706="","",Tabel!O706))</f>
        <v/>
      </c>
      <c r="E703" s="22" t="str">
        <f>IF(Tabel!P706="","",Tabel!T706)</f>
        <v/>
      </c>
      <c r="F703" s="11" t="str">
        <f>IF(Tabel!P706="","",IF(Tabel!U706="","",Tabel!P706))</f>
        <v/>
      </c>
    </row>
    <row r="704" spans="1:6" x14ac:dyDescent="0.25">
      <c r="A704" s="22" t="str">
        <f>IF(Tabel!N707="","",Tabel!Q707)</f>
        <v/>
      </c>
      <c r="B704" s="11" t="str">
        <f>IF(Tabel!N707="","",IF(Tabel!Q707="","",Tabel!N707))</f>
        <v/>
      </c>
      <c r="C704" s="22" t="str">
        <f>IF(Tabel!O707="","",Tabel!S707)</f>
        <v/>
      </c>
      <c r="D704" s="11" t="str">
        <f>IF(Tabel!O707="","",IF(Tabel!S707="","",Tabel!O707))</f>
        <v/>
      </c>
      <c r="E704" s="22" t="str">
        <f>IF(Tabel!P707="","",Tabel!T707)</f>
        <v/>
      </c>
      <c r="F704" s="11" t="str">
        <f>IF(Tabel!P707="","",IF(Tabel!U707="","",Tabel!P707))</f>
        <v/>
      </c>
    </row>
    <row r="705" spans="1:6" x14ac:dyDescent="0.25">
      <c r="A705" s="22" t="str">
        <f>IF(Tabel!N708="","",Tabel!Q708)</f>
        <v/>
      </c>
      <c r="B705" s="11" t="str">
        <f>IF(Tabel!N708="","",IF(Tabel!Q708="","",Tabel!N708))</f>
        <v/>
      </c>
      <c r="C705" s="22" t="str">
        <f>IF(Tabel!O708="","",Tabel!S708)</f>
        <v/>
      </c>
      <c r="D705" s="11" t="str">
        <f>IF(Tabel!O708="","",IF(Tabel!S708="","",Tabel!O708))</f>
        <v/>
      </c>
      <c r="E705" s="22" t="str">
        <f>IF(Tabel!P708="","",Tabel!T708)</f>
        <v/>
      </c>
      <c r="F705" s="11" t="str">
        <f>IF(Tabel!P708="","",IF(Tabel!U708="","",Tabel!P708))</f>
        <v/>
      </c>
    </row>
    <row r="706" spans="1:6" x14ac:dyDescent="0.25">
      <c r="A706" s="22" t="str">
        <f>IF(Tabel!N709="","",Tabel!Q709)</f>
        <v/>
      </c>
      <c r="B706" s="11" t="str">
        <f>IF(Tabel!N709="","",IF(Tabel!Q709="","",Tabel!N709))</f>
        <v/>
      </c>
      <c r="C706" s="22" t="str">
        <f>IF(Tabel!O709="","",Tabel!S709)</f>
        <v/>
      </c>
      <c r="D706" s="11" t="str">
        <f>IF(Tabel!O709="","",IF(Tabel!S709="","",Tabel!O709))</f>
        <v/>
      </c>
      <c r="E706" s="22" t="str">
        <f>IF(Tabel!P709="","",Tabel!T709)</f>
        <v/>
      </c>
      <c r="F706" s="11" t="str">
        <f>IF(Tabel!P709="","",IF(Tabel!U709="","",Tabel!P709))</f>
        <v/>
      </c>
    </row>
    <row r="707" spans="1:6" x14ac:dyDescent="0.25">
      <c r="A707" s="22" t="str">
        <f>IF(Tabel!N710="","",Tabel!Q710)</f>
        <v/>
      </c>
      <c r="B707" s="11" t="str">
        <f>IF(Tabel!N710="","",IF(Tabel!Q710="","",Tabel!N710))</f>
        <v/>
      </c>
      <c r="C707" s="22" t="str">
        <f>IF(Tabel!O710="","",Tabel!S710)</f>
        <v/>
      </c>
      <c r="D707" s="11" t="str">
        <f>IF(Tabel!O710="","",IF(Tabel!S710="","",Tabel!O710))</f>
        <v/>
      </c>
      <c r="E707" s="22" t="str">
        <f>IF(Tabel!P710="","",Tabel!T710)</f>
        <v/>
      </c>
      <c r="F707" s="11" t="str">
        <f>IF(Tabel!P710="","",IF(Tabel!U710="","",Tabel!P710))</f>
        <v/>
      </c>
    </row>
    <row r="708" spans="1:6" x14ac:dyDescent="0.25">
      <c r="A708" s="22" t="str">
        <f>IF(Tabel!N711="","",Tabel!Q711)</f>
        <v/>
      </c>
      <c r="B708" s="11" t="str">
        <f>IF(Tabel!N711="","",IF(Tabel!Q711="","",Tabel!N711))</f>
        <v/>
      </c>
      <c r="C708" s="22" t="str">
        <f>IF(Tabel!O711="","",Tabel!S711)</f>
        <v/>
      </c>
      <c r="D708" s="11" t="str">
        <f>IF(Tabel!O711="","",IF(Tabel!S711="","",Tabel!O711))</f>
        <v/>
      </c>
      <c r="E708" s="22" t="str">
        <f>IF(Tabel!P711="","",Tabel!T711)</f>
        <v/>
      </c>
      <c r="F708" s="11" t="str">
        <f>IF(Tabel!P711="","",IF(Tabel!U711="","",Tabel!P711))</f>
        <v/>
      </c>
    </row>
    <row r="709" spans="1:6" x14ac:dyDescent="0.25">
      <c r="A709" s="22" t="str">
        <f>IF(Tabel!N712="","",Tabel!Q712)</f>
        <v/>
      </c>
      <c r="B709" s="11" t="str">
        <f>IF(Tabel!N712="","",IF(Tabel!Q712="","",Tabel!N712))</f>
        <v/>
      </c>
      <c r="C709" s="22" t="str">
        <f>IF(Tabel!O712="","",Tabel!S712)</f>
        <v/>
      </c>
      <c r="D709" s="11" t="str">
        <f>IF(Tabel!O712="","",IF(Tabel!S712="","",Tabel!O712))</f>
        <v/>
      </c>
      <c r="E709" s="22" t="str">
        <f>IF(Tabel!P712="","",Tabel!T712)</f>
        <v/>
      </c>
      <c r="F709" s="11" t="str">
        <f>IF(Tabel!P712="","",IF(Tabel!U712="","",Tabel!P712))</f>
        <v/>
      </c>
    </row>
    <row r="710" spans="1:6" x14ac:dyDescent="0.25">
      <c r="A710" s="22" t="str">
        <f>IF(Tabel!N713="","",Tabel!Q713)</f>
        <v/>
      </c>
      <c r="B710" s="11" t="str">
        <f>IF(Tabel!N713="","",IF(Tabel!Q713="","",Tabel!N713))</f>
        <v/>
      </c>
      <c r="C710" s="22" t="str">
        <f>IF(Tabel!O713="","",Tabel!S713)</f>
        <v/>
      </c>
      <c r="D710" s="11" t="str">
        <f>IF(Tabel!O713="","",IF(Tabel!S713="","",Tabel!O713))</f>
        <v/>
      </c>
      <c r="E710" s="22" t="str">
        <f>IF(Tabel!P713="","",Tabel!T713)</f>
        <v/>
      </c>
      <c r="F710" s="11" t="str">
        <f>IF(Tabel!P713="","",IF(Tabel!U713="","",Tabel!P713))</f>
        <v/>
      </c>
    </row>
    <row r="711" spans="1:6" x14ac:dyDescent="0.25">
      <c r="A711" s="22" t="str">
        <f>IF(Tabel!N714="","",Tabel!Q714)</f>
        <v/>
      </c>
      <c r="B711" s="11" t="str">
        <f>IF(Tabel!N714="","",IF(Tabel!Q714="","",Tabel!N714))</f>
        <v/>
      </c>
      <c r="C711" s="22" t="str">
        <f>IF(Tabel!O714="","",Tabel!S714)</f>
        <v/>
      </c>
      <c r="D711" s="11" t="str">
        <f>IF(Tabel!O714="","",IF(Tabel!S714="","",Tabel!O714))</f>
        <v/>
      </c>
      <c r="E711" s="22" t="str">
        <f>IF(Tabel!P714="","",Tabel!T714)</f>
        <v/>
      </c>
      <c r="F711" s="11" t="str">
        <f>IF(Tabel!P714="","",IF(Tabel!U714="","",Tabel!P714))</f>
        <v/>
      </c>
    </row>
    <row r="712" spans="1:6" x14ac:dyDescent="0.25">
      <c r="A712" s="22" t="str">
        <f>IF(Tabel!N715="","",Tabel!Q715)</f>
        <v/>
      </c>
      <c r="B712" s="11" t="str">
        <f>IF(Tabel!N715="","",IF(Tabel!Q715="","",Tabel!N715))</f>
        <v/>
      </c>
      <c r="C712" s="22" t="str">
        <f>IF(Tabel!O715="","",Tabel!S715)</f>
        <v/>
      </c>
      <c r="D712" s="11" t="str">
        <f>IF(Tabel!O715="","",IF(Tabel!S715="","",Tabel!O715))</f>
        <v/>
      </c>
      <c r="E712" s="22" t="str">
        <f>IF(Tabel!P715="","",Tabel!T715)</f>
        <v/>
      </c>
      <c r="F712" s="11" t="str">
        <f>IF(Tabel!P715="","",IF(Tabel!U715="","",Tabel!P715))</f>
        <v/>
      </c>
    </row>
    <row r="713" spans="1:6" x14ac:dyDescent="0.25">
      <c r="A713" s="22" t="str">
        <f>IF(Tabel!N716="","",Tabel!Q716)</f>
        <v/>
      </c>
      <c r="B713" s="11" t="str">
        <f>IF(Tabel!N716="","",IF(Tabel!Q716="","",Tabel!N716))</f>
        <v/>
      </c>
      <c r="C713" s="22" t="str">
        <f>IF(Tabel!O716="","",Tabel!S716)</f>
        <v/>
      </c>
      <c r="D713" s="11" t="str">
        <f>IF(Tabel!O716="","",IF(Tabel!S716="","",Tabel!O716))</f>
        <v/>
      </c>
      <c r="E713" s="22" t="str">
        <f>IF(Tabel!P716="","",Tabel!T716)</f>
        <v/>
      </c>
      <c r="F713" s="11" t="str">
        <f>IF(Tabel!P716="","",IF(Tabel!U716="","",Tabel!P716))</f>
        <v/>
      </c>
    </row>
    <row r="714" spans="1:6" x14ac:dyDescent="0.25">
      <c r="A714" s="22" t="str">
        <f>IF(Tabel!N717="","",Tabel!Q717)</f>
        <v/>
      </c>
      <c r="B714" s="11" t="str">
        <f>IF(Tabel!N717="","",IF(Tabel!Q717="","",Tabel!N717))</f>
        <v/>
      </c>
      <c r="C714" s="22" t="str">
        <f>IF(Tabel!O717="","",Tabel!S717)</f>
        <v/>
      </c>
      <c r="D714" s="11" t="str">
        <f>IF(Tabel!O717="","",IF(Tabel!S717="","",Tabel!O717))</f>
        <v/>
      </c>
      <c r="E714" s="22" t="str">
        <f>IF(Tabel!P717="","",Tabel!T717)</f>
        <v/>
      </c>
      <c r="F714" s="11" t="str">
        <f>IF(Tabel!P717="","",IF(Tabel!U717="","",Tabel!P717))</f>
        <v/>
      </c>
    </row>
    <row r="715" spans="1:6" x14ac:dyDescent="0.25">
      <c r="A715" s="22" t="str">
        <f>IF(Tabel!N718="","",Tabel!Q718)</f>
        <v/>
      </c>
      <c r="B715" s="11" t="str">
        <f>IF(Tabel!N718="","",IF(Tabel!Q718="","",Tabel!N718))</f>
        <v/>
      </c>
      <c r="C715" s="22" t="str">
        <f>IF(Tabel!O718="","",Tabel!S718)</f>
        <v/>
      </c>
      <c r="D715" s="11" t="str">
        <f>IF(Tabel!O718="","",IF(Tabel!S718="","",Tabel!O718))</f>
        <v/>
      </c>
      <c r="E715" s="22" t="str">
        <f>IF(Tabel!P718="","",Tabel!T718)</f>
        <v/>
      </c>
      <c r="F715" s="11" t="str">
        <f>IF(Tabel!P718="","",IF(Tabel!U718="","",Tabel!P718))</f>
        <v/>
      </c>
    </row>
    <row r="716" spans="1:6" x14ac:dyDescent="0.25">
      <c r="A716" s="22" t="str">
        <f>IF(Tabel!N719="","",Tabel!Q719)</f>
        <v/>
      </c>
      <c r="B716" s="11" t="str">
        <f>IF(Tabel!N719="","",IF(Tabel!Q719="","",Tabel!N719))</f>
        <v/>
      </c>
      <c r="C716" s="22" t="str">
        <f>IF(Tabel!O719="","",Tabel!S719)</f>
        <v/>
      </c>
      <c r="D716" s="11" t="str">
        <f>IF(Tabel!O719="","",IF(Tabel!S719="","",Tabel!O719))</f>
        <v/>
      </c>
      <c r="E716" s="22" t="str">
        <f>IF(Tabel!P719="","",Tabel!T719)</f>
        <v/>
      </c>
      <c r="F716" s="11" t="str">
        <f>IF(Tabel!P719="","",IF(Tabel!U719="","",Tabel!P719))</f>
        <v/>
      </c>
    </row>
    <row r="717" spans="1:6" x14ac:dyDescent="0.25">
      <c r="A717" s="22" t="str">
        <f>IF(Tabel!N720="","",Tabel!Q720)</f>
        <v/>
      </c>
      <c r="B717" s="11" t="str">
        <f>IF(Tabel!N720="","",IF(Tabel!Q720="","",Tabel!N720))</f>
        <v/>
      </c>
      <c r="C717" s="22" t="str">
        <f>IF(Tabel!O720="","",Tabel!S720)</f>
        <v/>
      </c>
      <c r="D717" s="11" t="str">
        <f>IF(Tabel!O720="","",IF(Tabel!S720="","",Tabel!O720))</f>
        <v/>
      </c>
      <c r="E717" s="22" t="str">
        <f>IF(Tabel!P720="","",Tabel!T720)</f>
        <v/>
      </c>
      <c r="F717" s="11" t="str">
        <f>IF(Tabel!P720="","",IF(Tabel!U720="","",Tabel!P720))</f>
        <v/>
      </c>
    </row>
    <row r="718" spans="1:6" x14ac:dyDescent="0.25">
      <c r="A718" s="22" t="str">
        <f>IF(Tabel!N721="","",Tabel!Q721)</f>
        <v/>
      </c>
      <c r="B718" s="11" t="str">
        <f>IF(Tabel!N721="","",IF(Tabel!Q721="","",Tabel!N721))</f>
        <v/>
      </c>
      <c r="C718" s="22" t="str">
        <f>IF(Tabel!O721="","",Tabel!S721)</f>
        <v/>
      </c>
      <c r="D718" s="11" t="str">
        <f>IF(Tabel!O721="","",IF(Tabel!S721="","",Tabel!O721))</f>
        <v/>
      </c>
      <c r="E718" s="22" t="str">
        <f>IF(Tabel!P721="","",Tabel!T721)</f>
        <v/>
      </c>
      <c r="F718" s="11" t="str">
        <f>IF(Tabel!P721="","",IF(Tabel!U721="","",Tabel!P721))</f>
        <v/>
      </c>
    </row>
    <row r="719" spans="1:6" x14ac:dyDescent="0.25">
      <c r="A719" s="22" t="str">
        <f>IF(Tabel!N722="","",Tabel!Q722)</f>
        <v/>
      </c>
      <c r="B719" s="11" t="str">
        <f>IF(Tabel!N722="","",IF(Tabel!Q722="","",Tabel!N722))</f>
        <v/>
      </c>
      <c r="C719" s="22" t="str">
        <f>IF(Tabel!O722="","",Tabel!S722)</f>
        <v/>
      </c>
      <c r="D719" s="11" t="str">
        <f>IF(Tabel!O722="","",IF(Tabel!S722="","",Tabel!O722))</f>
        <v/>
      </c>
      <c r="E719" s="22" t="str">
        <f>IF(Tabel!P722="","",Tabel!T722)</f>
        <v/>
      </c>
      <c r="F719" s="11" t="str">
        <f>IF(Tabel!P722="","",IF(Tabel!U722="","",Tabel!P722))</f>
        <v/>
      </c>
    </row>
    <row r="720" spans="1:6" x14ac:dyDescent="0.25">
      <c r="A720" s="22" t="str">
        <f>IF(Tabel!N723="","",Tabel!Q723)</f>
        <v/>
      </c>
      <c r="B720" s="11" t="str">
        <f>IF(Tabel!N723="","",IF(Tabel!Q723="","",Tabel!N723))</f>
        <v/>
      </c>
      <c r="C720" s="22" t="str">
        <f>IF(Tabel!O723="","",Tabel!S723)</f>
        <v/>
      </c>
      <c r="D720" s="11" t="str">
        <f>IF(Tabel!O723="","",IF(Tabel!S723="","",Tabel!O723))</f>
        <v/>
      </c>
      <c r="E720" s="22" t="str">
        <f>IF(Tabel!P723="","",Tabel!T723)</f>
        <v/>
      </c>
      <c r="F720" s="11" t="str">
        <f>IF(Tabel!P723="","",IF(Tabel!U723="","",Tabel!P723))</f>
        <v/>
      </c>
    </row>
    <row r="721" spans="1:6" x14ac:dyDescent="0.25">
      <c r="A721" s="22" t="str">
        <f>IF(Tabel!N724="","",Tabel!Q724)</f>
        <v/>
      </c>
      <c r="B721" s="11" t="str">
        <f>IF(Tabel!N724="","",IF(Tabel!Q724="","",Tabel!N724))</f>
        <v/>
      </c>
      <c r="C721" s="22" t="str">
        <f>IF(Tabel!O724="","",Tabel!S724)</f>
        <v/>
      </c>
      <c r="D721" s="11" t="str">
        <f>IF(Tabel!O724="","",IF(Tabel!S724="","",Tabel!O724))</f>
        <v/>
      </c>
      <c r="E721" s="22" t="str">
        <f>IF(Tabel!P724="","",Tabel!T724)</f>
        <v/>
      </c>
      <c r="F721" s="11" t="str">
        <f>IF(Tabel!P724="","",IF(Tabel!U724="","",Tabel!P724))</f>
        <v/>
      </c>
    </row>
    <row r="722" spans="1:6" x14ac:dyDescent="0.25">
      <c r="A722" s="22" t="str">
        <f>IF(Tabel!N725="","",Tabel!Q725)</f>
        <v/>
      </c>
      <c r="B722" s="11" t="str">
        <f>IF(Tabel!N725="","",IF(Tabel!Q725="","",Tabel!N725))</f>
        <v/>
      </c>
      <c r="C722" s="22" t="str">
        <f>IF(Tabel!O725="","",Tabel!S725)</f>
        <v/>
      </c>
      <c r="D722" s="11" t="str">
        <f>IF(Tabel!O725="","",IF(Tabel!S725="","",Tabel!O725))</f>
        <v/>
      </c>
      <c r="E722" s="22" t="str">
        <f>IF(Tabel!P725="","",Tabel!T725)</f>
        <v/>
      </c>
      <c r="F722" s="11" t="str">
        <f>IF(Tabel!P725="","",IF(Tabel!U725="","",Tabel!P725))</f>
        <v/>
      </c>
    </row>
    <row r="723" spans="1:6" x14ac:dyDescent="0.25">
      <c r="A723" s="22" t="str">
        <f>IF(Tabel!N726="","",Tabel!Q726)</f>
        <v/>
      </c>
      <c r="B723" s="11" t="str">
        <f>IF(Tabel!N726="","",IF(Tabel!Q726="","",Tabel!N726))</f>
        <v/>
      </c>
      <c r="C723" s="22" t="str">
        <f>IF(Tabel!O726="","",Tabel!S726)</f>
        <v/>
      </c>
      <c r="D723" s="11" t="str">
        <f>IF(Tabel!O726="","",IF(Tabel!S726="","",Tabel!O726))</f>
        <v/>
      </c>
      <c r="E723" s="22" t="str">
        <f>IF(Tabel!P726="","",Tabel!T726)</f>
        <v/>
      </c>
      <c r="F723" s="11" t="str">
        <f>IF(Tabel!P726="","",IF(Tabel!U726="","",Tabel!P726))</f>
        <v/>
      </c>
    </row>
    <row r="724" spans="1:6" x14ac:dyDescent="0.25">
      <c r="A724" s="22" t="str">
        <f>IF(Tabel!N727="","",Tabel!Q727)</f>
        <v/>
      </c>
      <c r="B724" s="11" t="str">
        <f>IF(Tabel!N727="","",IF(Tabel!Q727="","",Tabel!N727))</f>
        <v/>
      </c>
      <c r="C724" s="22" t="str">
        <f>IF(Tabel!O727="","",Tabel!S727)</f>
        <v/>
      </c>
      <c r="D724" s="11" t="str">
        <f>IF(Tabel!O727="","",IF(Tabel!S727="","",Tabel!O727))</f>
        <v/>
      </c>
      <c r="E724" s="22" t="str">
        <f>IF(Tabel!P727="","",Tabel!T727)</f>
        <v/>
      </c>
      <c r="F724" s="11" t="str">
        <f>IF(Tabel!P727="","",IF(Tabel!U727="","",Tabel!P727))</f>
        <v/>
      </c>
    </row>
    <row r="725" spans="1:6" x14ac:dyDescent="0.25">
      <c r="A725" s="22" t="str">
        <f>IF(Tabel!N728="","",Tabel!Q728)</f>
        <v/>
      </c>
      <c r="B725" s="11" t="str">
        <f>IF(Tabel!N728="","",IF(Tabel!Q728="","",Tabel!N728))</f>
        <v/>
      </c>
      <c r="C725" s="22" t="str">
        <f>IF(Tabel!O728="","",Tabel!S728)</f>
        <v/>
      </c>
      <c r="D725" s="11" t="str">
        <f>IF(Tabel!O728="","",IF(Tabel!S728="","",Tabel!O728))</f>
        <v/>
      </c>
      <c r="E725" s="22" t="str">
        <f>IF(Tabel!P728="","",Tabel!T728)</f>
        <v/>
      </c>
      <c r="F725" s="11" t="str">
        <f>IF(Tabel!P728="","",IF(Tabel!U728="","",Tabel!P728))</f>
        <v/>
      </c>
    </row>
    <row r="726" spans="1:6" x14ac:dyDescent="0.25">
      <c r="A726" s="22" t="str">
        <f>IF(Tabel!N729="","",Tabel!Q729)</f>
        <v/>
      </c>
      <c r="B726" s="11" t="str">
        <f>IF(Tabel!N729="","",IF(Tabel!Q729="","",Tabel!N729))</f>
        <v/>
      </c>
      <c r="C726" s="22" t="str">
        <f>IF(Tabel!O729="","",Tabel!S729)</f>
        <v/>
      </c>
      <c r="D726" s="11" t="str">
        <f>IF(Tabel!O729="","",IF(Tabel!S729="","",Tabel!O729))</f>
        <v/>
      </c>
      <c r="E726" s="22" t="str">
        <f>IF(Tabel!P729="","",Tabel!T729)</f>
        <v/>
      </c>
      <c r="F726" s="11" t="str">
        <f>IF(Tabel!P729="","",IF(Tabel!U729="","",Tabel!P729))</f>
        <v/>
      </c>
    </row>
    <row r="727" spans="1:6" x14ac:dyDescent="0.25">
      <c r="A727" s="22" t="str">
        <f>IF(Tabel!N730="","",Tabel!Q730)</f>
        <v/>
      </c>
      <c r="B727" s="11" t="str">
        <f>IF(Tabel!N730="","",IF(Tabel!Q730="","",Tabel!N730))</f>
        <v/>
      </c>
      <c r="C727" s="22" t="str">
        <f>IF(Tabel!O730="","",Tabel!S730)</f>
        <v/>
      </c>
      <c r="D727" s="11" t="str">
        <f>IF(Tabel!O730="","",IF(Tabel!S730="","",Tabel!O730))</f>
        <v/>
      </c>
      <c r="E727" s="22" t="str">
        <f>IF(Tabel!P730="","",Tabel!T730)</f>
        <v/>
      </c>
      <c r="F727" s="11" t="str">
        <f>IF(Tabel!P730="","",IF(Tabel!U730="","",Tabel!P730))</f>
        <v/>
      </c>
    </row>
    <row r="728" spans="1:6" x14ac:dyDescent="0.25">
      <c r="A728" s="22" t="str">
        <f>IF(Tabel!N731="","",Tabel!Q731)</f>
        <v/>
      </c>
      <c r="B728" s="11" t="str">
        <f>IF(Tabel!N731="","",IF(Tabel!Q731="","",Tabel!N731))</f>
        <v/>
      </c>
      <c r="C728" s="22" t="str">
        <f>IF(Tabel!O731="","",Tabel!S731)</f>
        <v/>
      </c>
      <c r="D728" s="11" t="str">
        <f>IF(Tabel!O731="","",IF(Tabel!S731="","",Tabel!O731))</f>
        <v/>
      </c>
      <c r="E728" s="22" t="str">
        <f>IF(Tabel!P731="","",Tabel!T731)</f>
        <v/>
      </c>
      <c r="F728" s="11" t="str">
        <f>IF(Tabel!P731="","",IF(Tabel!U731="","",Tabel!P731))</f>
        <v/>
      </c>
    </row>
    <row r="729" spans="1:6" x14ac:dyDescent="0.25">
      <c r="A729" s="22" t="str">
        <f>IF(Tabel!N732="","",Tabel!Q732)</f>
        <v/>
      </c>
      <c r="B729" s="11" t="str">
        <f>IF(Tabel!N732="","",IF(Tabel!Q732="","",Tabel!N732))</f>
        <v/>
      </c>
      <c r="C729" s="22" t="str">
        <f>IF(Tabel!O732="","",Tabel!S732)</f>
        <v/>
      </c>
      <c r="D729" s="11" t="str">
        <f>IF(Tabel!O732="","",IF(Tabel!S732="","",Tabel!O732))</f>
        <v/>
      </c>
      <c r="E729" s="22" t="str">
        <f>IF(Tabel!P732="","",Tabel!T732)</f>
        <v/>
      </c>
      <c r="F729" s="11" t="str">
        <f>IF(Tabel!P732="","",IF(Tabel!U732="","",Tabel!P732))</f>
        <v/>
      </c>
    </row>
    <row r="730" spans="1:6" x14ac:dyDescent="0.25">
      <c r="A730" s="22" t="str">
        <f>IF(Tabel!N733="","",Tabel!Q733)</f>
        <v/>
      </c>
      <c r="B730" s="11" t="str">
        <f>IF(Tabel!N733="","",IF(Tabel!Q733="","",Tabel!N733))</f>
        <v/>
      </c>
      <c r="C730" s="22" t="str">
        <f>IF(Tabel!O733="","",Tabel!S733)</f>
        <v/>
      </c>
      <c r="D730" s="11" t="str">
        <f>IF(Tabel!O733="","",IF(Tabel!S733="","",Tabel!O733))</f>
        <v/>
      </c>
      <c r="E730" s="22" t="str">
        <f>IF(Tabel!P733="","",Tabel!T733)</f>
        <v/>
      </c>
      <c r="F730" s="11" t="str">
        <f>IF(Tabel!P733="","",IF(Tabel!U733="","",Tabel!P733))</f>
        <v/>
      </c>
    </row>
    <row r="731" spans="1:6" x14ac:dyDescent="0.25">
      <c r="A731" s="22" t="str">
        <f>IF(Tabel!N734="","",Tabel!Q734)</f>
        <v/>
      </c>
      <c r="B731" s="11" t="str">
        <f>IF(Tabel!N734="","",IF(Tabel!Q734="","",Tabel!N734))</f>
        <v/>
      </c>
      <c r="C731" s="22" t="str">
        <f>IF(Tabel!O734="","",Tabel!S734)</f>
        <v/>
      </c>
      <c r="D731" s="11" t="str">
        <f>IF(Tabel!O734="","",IF(Tabel!S734="","",Tabel!O734))</f>
        <v/>
      </c>
      <c r="E731" s="22" t="str">
        <f>IF(Tabel!P734="","",Tabel!T734)</f>
        <v/>
      </c>
      <c r="F731" s="11" t="str">
        <f>IF(Tabel!P734="","",IF(Tabel!U734="","",Tabel!P734))</f>
        <v/>
      </c>
    </row>
    <row r="732" spans="1:6" x14ac:dyDescent="0.25">
      <c r="A732" s="22" t="str">
        <f>IF(Tabel!N735="","",Tabel!Q735)</f>
        <v/>
      </c>
      <c r="B732" s="11" t="str">
        <f>IF(Tabel!N735="","",IF(Tabel!Q735="","",Tabel!N735))</f>
        <v/>
      </c>
      <c r="C732" s="22" t="str">
        <f>IF(Tabel!O735="","",Tabel!S735)</f>
        <v/>
      </c>
      <c r="D732" s="11" t="str">
        <f>IF(Tabel!O735="","",IF(Tabel!S735="","",Tabel!O735))</f>
        <v/>
      </c>
      <c r="E732" s="22" t="str">
        <f>IF(Tabel!P735="","",Tabel!T735)</f>
        <v/>
      </c>
      <c r="F732" s="11" t="str">
        <f>IF(Tabel!P735="","",IF(Tabel!U735="","",Tabel!P735))</f>
        <v/>
      </c>
    </row>
    <row r="733" spans="1:6" x14ac:dyDescent="0.25">
      <c r="A733" s="22" t="str">
        <f>IF(Tabel!N736="","",Tabel!Q736)</f>
        <v/>
      </c>
      <c r="B733" s="11" t="str">
        <f>IF(Tabel!N736="","",IF(Tabel!Q736="","",Tabel!N736))</f>
        <v/>
      </c>
      <c r="C733" s="22" t="str">
        <f>IF(Tabel!O736="","",Tabel!S736)</f>
        <v/>
      </c>
      <c r="D733" s="11" t="str">
        <f>IF(Tabel!O736="","",IF(Tabel!S736="","",Tabel!O736))</f>
        <v/>
      </c>
      <c r="E733" s="22" t="str">
        <f>IF(Tabel!P736="","",Tabel!T736)</f>
        <v/>
      </c>
      <c r="F733" s="11" t="str">
        <f>IF(Tabel!P736="","",IF(Tabel!U736="","",Tabel!P736))</f>
        <v/>
      </c>
    </row>
    <row r="734" spans="1:6" x14ac:dyDescent="0.25">
      <c r="A734" s="22" t="str">
        <f>IF(Tabel!N737="","",Tabel!Q737)</f>
        <v/>
      </c>
      <c r="B734" s="11" t="str">
        <f>IF(Tabel!N737="","",IF(Tabel!Q737="","",Tabel!N737))</f>
        <v/>
      </c>
      <c r="C734" s="22" t="str">
        <f>IF(Tabel!O737="","",Tabel!S737)</f>
        <v/>
      </c>
      <c r="D734" s="11" t="str">
        <f>IF(Tabel!O737="","",IF(Tabel!S737="","",Tabel!O737))</f>
        <v/>
      </c>
      <c r="E734" s="22" t="str">
        <f>IF(Tabel!P737="","",Tabel!T737)</f>
        <v/>
      </c>
      <c r="F734" s="11" t="str">
        <f>IF(Tabel!P737="","",IF(Tabel!U737="","",Tabel!P737))</f>
        <v/>
      </c>
    </row>
    <row r="735" spans="1:6" x14ac:dyDescent="0.25">
      <c r="A735" s="22" t="str">
        <f>IF(Tabel!N738="","",Tabel!Q738)</f>
        <v/>
      </c>
      <c r="B735" s="11" t="str">
        <f>IF(Tabel!N738="","",IF(Tabel!Q738="","",Tabel!N738))</f>
        <v/>
      </c>
      <c r="C735" s="22" t="str">
        <f>IF(Tabel!O738="","",Tabel!S738)</f>
        <v/>
      </c>
      <c r="D735" s="11" t="str">
        <f>IF(Tabel!O738="","",IF(Tabel!S738="","",Tabel!O738))</f>
        <v/>
      </c>
      <c r="E735" s="22" t="str">
        <f>IF(Tabel!P738="","",Tabel!T738)</f>
        <v/>
      </c>
      <c r="F735" s="11" t="str">
        <f>IF(Tabel!P738="","",IF(Tabel!U738="","",Tabel!P738))</f>
        <v/>
      </c>
    </row>
    <row r="736" spans="1:6" x14ac:dyDescent="0.25">
      <c r="A736" s="22" t="str">
        <f>IF(Tabel!N739="","",Tabel!Q739)</f>
        <v/>
      </c>
      <c r="B736" s="11" t="str">
        <f>IF(Tabel!N739="","",IF(Tabel!Q739="","",Tabel!N739))</f>
        <v/>
      </c>
      <c r="C736" s="22" t="str">
        <f>IF(Tabel!O739="","",Tabel!S739)</f>
        <v/>
      </c>
      <c r="D736" s="11" t="str">
        <f>IF(Tabel!O739="","",IF(Tabel!S739="","",Tabel!O739))</f>
        <v/>
      </c>
      <c r="E736" s="22" t="str">
        <f>IF(Tabel!P739="","",Tabel!T739)</f>
        <v/>
      </c>
      <c r="F736" s="11" t="str">
        <f>IF(Tabel!P739="","",IF(Tabel!U739="","",Tabel!P739))</f>
        <v/>
      </c>
    </row>
    <row r="737" spans="1:6" x14ac:dyDescent="0.25">
      <c r="A737" s="22" t="str">
        <f>IF(Tabel!N740="","",Tabel!Q740)</f>
        <v/>
      </c>
      <c r="B737" s="11" t="str">
        <f>IF(Tabel!N740="","",IF(Tabel!Q740="","",Tabel!N740))</f>
        <v/>
      </c>
      <c r="C737" s="22" t="str">
        <f>IF(Tabel!O740="","",Tabel!S740)</f>
        <v/>
      </c>
      <c r="D737" s="11" t="str">
        <f>IF(Tabel!O740="","",IF(Tabel!S740="","",Tabel!O740))</f>
        <v/>
      </c>
      <c r="E737" s="22" t="str">
        <f>IF(Tabel!P740="","",Tabel!T740)</f>
        <v/>
      </c>
      <c r="F737" s="11" t="str">
        <f>IF(Tabel!P740="","",IF(Tabel!U740="","",Tabel!P740))</f>
        <v/>
      </c>
    </row>
    <row r="738" spans="1:6" x14ac:dyDescent="0.25">
      <c r="A738" s="22" t="str">
        <f>IF(Tabel!N741="","",Tabel!Q741)</f>
        <v/>
      </c>
      <c r="B738" s="11" t="str">
        <f>IF(Tabel!N741="","",IF(Tabel!Q741="","",Tabel!N741))</f>
        <v/>
      </c>
      <c r="C738" s="22" t="str">
        <f>IF(Tabel!O741="","",Tabel!S741)</f>
        <v/>
      </c>
      <c r="D738" s="11" t="str">
        <f>IF(Tabel!O741="","",IF(Tabel!S741="","",Tabel!O741))</f>
        <v/>
      </c>
      <c r="E738" s="22" t="str">
        <f>IF(Tabel!P741="","",Tabel!T741)</f>
        <v/>
      </c>
      <c r="F738" s="11" t="str">
        <f>IF(Tabel!P741="","",IF(Tabel!U741="","",Tabel!P741))</f>
        <v/>
      </c>
    </row>
    <row r="739" spans="1:6" x14ac:dyDescent="0.25">
      <c r="A739" s="22" t="str">
        <f>IF(Tabel!N742="","",Tabel!Q742)</f>
        <v/>
      </c>
      <c r="B739" s="11" t="str">
        <f>IF(Tabel!N742="","",IF(Tabel!Q742="","",Tabel!N742))</f>
        <v/>
      </c>
      <c r="C739" s="22" t="str">
        <f>IF(Tabel!O742="","",Tabel!S742)</f>
        <v/>
      </c>
      <c r="D739" s="11" t="str">
        <f>IF(Tabel!O742="","",IF(Tabel!S742="","",Tabel!O742))</f>
        <v/>
      </c>
      <c r="E739" s="22" t="str">
        <f>IF(Tabel!P742="","",Tabel!T742)</f>
        <v/>
      </c>
      <c r="F739" s="11" t="str">
        <f>IF(Tabel!P742="","",IF(Tabel!U742="","",Tabel!P742))</f>
        <v/>
      </c>
    </row>
    <row r="740" spans="1:6" x14ac:dyDescent="0.25">
      <c r="A740" s="22" t="str">
        <f>IF(Tabel!N743="","",Tabel!Q743)</f>
        <v/>
      </c>
      <c r="B740" s="11" t="str">
        <f>IF(Tabel!N743="","",IF(Tabel!Q743="","",Tabel!N743))</f>
        <v/>
      </c>
      <c r="C740" s="22" t="str">
        <f>IF(Tabel!O743="","",Tabel!S743)</f>
        <v/>
      </c>
      <c r="D740" s="11" t="str">
        <f>IF(Tabel!O743="","",IF(Tabel!S743="","",Tabel!O743))</f>
        <v/>
      </c>
      <c r="E740" s="22" t="str">
        <f>IF(Tabel!P743="","",Tabel!T743)</f>
        <v/>
      </c>
      <c r="F740" s="11" t="str">
        <f>IF(Tabel!P743="","",IF(Tabel!U743="","",Tabel!P743))</f>
        <v/>
      </c>
    </row>
    <row r="741" spans="1:6" x14ac:dyDescent="0.25">
      <c r="A741" s="22" t="str">
        <f>IF(Tabel!N744="","",Tabel!Q744)</f>
        <v/>
      </c>
      <c r="B741" s="11" t="str">
        <f>IF(Tabel!N744="","",IF(Tabel!Q744="","",Tabel!N744))</f>
        <v/>
      </c>
      <c r="C741" s="22" t="str">
        <f>IF(Tabel!O744="","",Tabel!S744)</f>
        <v/>
      </c>
      <c r="D741" s="11" t="str">
        <f>IF(Tabel!O744="","",IF(Tabel!S744="","",Tabel!O744))</f>
        <v/>
      </c>
      <c r="E741" s="22" t="str">
        <f>IF(Tabel!P744="","",Tabel!T744)</f>
        <v/>
      </c>
      <c r="F741" s="11" t="str">
        <f>IF(Tabel!P744="","",IF(Tabel!U744="","",Tabel!P744))</f>
        <v/>
      </c>
    </row>
    <row r="742" spans="1:6" x14ac:dyDescent="0.25">
      <c r="A742" s="22" t="str">
        <f>IF(Tabel!N745="","",Tabel!Q745)</f>
        <v/>
      </c>
      <c r="B742" s="11" t="str">
        <f>IF(Tabel!N745="","",IF(Tabel!Q745="","",Tabel!N745))</f>
        <v/>
      </c>
      <c r="C742" s="22" t="str">
        <f>IF(Tabel!O745="","",Tabel!S745)</f>
        <v/>
      </c>
      <c r="D742" s="11" t="str">
        <f>IF(Tabel!O745="","",IF(Tabel!S745="","",Tabel!O745))</f>
        <v/>
      </c>
      <c r="E742" s="22" t="str">
        <f>IF(Tabel!P745="","",Tabel!T745)</f>
        <v/>
      </c>
      <c r="F742" s="11" t="str">
        <f>IF(Tabel!P745="","",IF(Tabel!U745="","",Tabel!P745))</f>
        <v/>
      </c>
    </row>
    <row r="743" spans="1:6" x14ac:dyDescent="0.25">
      <c r="A743" s="22" t="str">
        <f>IF(Tabel!N746="","",Tabel!Q746)</f>
        <v/>
      </c>
      <c r="B743" s="11" t="str">
        <f>IF(Tabel!N746="","",IF(Tabel!Q746="","",Tabel!N746))</f>
        <v/>
      </c>
      <c r="C743" s="22" t="str">
        <f>IF(Tabel!O746="","",Tabel!S746)</f>
        <v/>
      </c>
      <c r="D743" s="11" t="str">
        <f>IF(Tabel!O746="","",IF(Tabel!S746="","",Tabel!O746))</f>
        <v/>
      </c>
      <c r="E743" s="22" t="str">
        <f>IF(Tabel!P746="","",Tabel!T746)</f>
        <v/>
      </c>
      <c r="F743" s="11" t="str">
        <f>IF(Tabel!P746="","",IF(Tabel!U746="","",Tabel!P746))</f>
        <v/>
      </c>
    </row>
    <row r="744" spans="1:6" x14ac:dyDescent="0.25">
      <c r="A744" s="22" t="str">
        <f>IF(Tabel!N747="","",Tabel!Q747)</f>
        <v/>
      </c>
      <c r="B744" s="11" t="str">
        <f>IF(Tabel!N747="","",IF(Tabel!Q747="","",Tabel!N747))</f>
        <v/>
      </c>
      <c r="C744" s="22" t="str">
        <f>IF(Tabel!O747="","",Tabel!S747)</f>
        <v/>
      </c>
      <c r="D744" s="11" t="str">
        <f>IF(Tabel!O747="","",IF(Tabel!S747="","",Tabel!O747))</f>
        <v/>
      </c>
      <c r="E744" s="22" t="str">
        <f>IF(Tabel!P747="","",Tabel!T747)</f>
        <v/>
      </c>
      <c r="F744" s="11" t="str">
        <f>IF(Tabel!P747="","",IF(Tabel!U747="","",Tabel!P747))</f>
        <v/>
      </c>
    </row>
    <row r="745" spans="1:6" x14ac:dyDescent="0.25">
      <c r="A745" s="22" t="str">
        <f>IF(Tabel!N748="","",Tabel!Q748)</f>
        <v/>
      </c>
      <c r="B745" s="11" t="str">
        <f>IF(Tabel!N748="","",IF(Tabel!Q748="","",Tabel!N748))</f>
        <v/>
      </c>
      <c r="C745" s="22" t="str">
        <f>IF(Tabel!O748="","",Tabel!S748)</f>
        <v/>
      </c>
      <c r="D745" s="11" t="str">
        <f>IF(Tabel!O748="","",IF(Tabel!S748="","",Tabel!O748))</f>
        <v/>
      </c>
      <c r="E745" s="22" t="str">
        <f>IF(Tabel!P748="","",Tabel!T748)</f>
        <v/>
      </c>
      <c r="F745" s="11" t="str">
        <f>IF(Tabel!P748="","",IF(Tabel!U748="","",Tabel!P748))</f>
        <v/>
      </c>
    </row>
    <row r="746" spans="1:6" x14ac:dyDescent="0.25">
      <c r="A746" s="22" t="str">
        <f>IF(Tabel!N749="","",Tabel!Q749)</f>
        <v/>
      </c>
      <c r="B746" s="11" t="str">
        <f>IF(Tabel!N749="","",IF(Tabel!Q749="","",Tabel!N749))</f>
        <v/>
      </c>
      <c r="C746" s="22" t="str">
        <f>IF(Tabel!O749="","",Tabel!S749)</f>
        <v/>
      </c>
      <c r="D746" s="11" t="str">
        <f>IF(Tabel!O749="","",IF(Tabel!S749="","",Tabel!O749))</f>
        <v/>
      </c>
      <c r="E746" s="22" t="str">
        <f>IF(Tabel!P749="","",Tabel!T749)</f>
        <v/>
      </c>
      <c r="F746" s="11" t="str">
        <f>IF(Tabel!P749="","",IF(Tabel!U749="","",Tabel!P749))</f>
        <v/>
      </c>
    </row>
    <row r="747" spans="1:6" x14ac:dyDescent="0.25">
      <c r="A747" s="22" t="str">
        <f>IF(Tabel!N750="","",Tabel!Q750)</f>
        <v/>
      </c>
      <c r="B747" s="11" t="str">
        <f>IF(Tabel!N750="","",IF(Tabel!Q750="","",Tabel!N750))</f>
        <v/>
      </c>
      <c r="C747" s="22" t="str">
        <f>IF(Tabel!O750="","",Tabel!S750)</f>
        <v/>
      </c>
      <c r="D747" s="11" t="str">
        <f>IF(Tabel!O750="","",IF(Tabel!S750="","",Tabel!O750))</f>
        <v/>
      </c>
      <c r="E747" s="22" t="str">
        <f>IF(Tabel!P750="","",Tabel!T750)</f>
        <v/>
      </c>
      <c r="F747" s="11" t="str">
        <f>IF(Tabel!P750="","",IF(Tabel!U750="","",Tabel!P750))</f>
        <v/>
      </c>
    </row>
    <row r="748" spans="1:6" x14ac:dyDescent="0.25">
      <c r="A748" s="22" t="str">
        <f>IF(Tabel!N751="","",Tabel!Q751)</f>
        <v/>
      </c>
      <c r="B748" s="11" t="str">
        <f>IF(Tabel!N751="","",IF(Tabel!Q751="","",Tabel!N751))</f>
        <v/>
      </c>
      <c r="C748" s="22" t="str">
        <f>IF(Tabel!O751="","",Tabel!S751)</f>
        <v/>
      </c>
      <c r="D748" s="11" t="str">
        <f>IF(Tabel!O751="","",IF(Tabel!S751="","",Tabel!O751))</f>
        <v/>
      </c>
      <c r="E748" s="22" t="str">
        <f>IF(Tabel!P751="","",Tabel!T751)</f>
        <v/>
      </c>
      <c r="F748" s="11" t="str">
        <f>IF(Tabel!P751="","",IF(Tabel!U751="","",Tabel!P751))</f>
        <v/>
      </c>
    </row>
    <row r="749" spans="1:6" x14ac:dyDescent="0.25">
      <c r="A749" s="22" t="str">
        <f>IF(Tabel!N752="","",Tabel!Q752)</f>
        <v/>
      </c>
      <c r="B749" s="11" t="str">
        <f>IF(Tabel!N752="","",IF(Tabel!Q752="","",Tabel!N752))</f>
        <v/>
      </c>
      <c r="C749" s="22" t="str">
        <f>IF(Tabel!O752="","",Tabel!S752)</f>
        <v/>
      </c>
      <c r="D749" s="11" t="str">
        <f>IF(Tabel!O752="","",IF(Tabel!S752="","",Tabel!O752))</f>
        <v/>
      </c>
      <c r="E749" s="22" t="str">
        <f>IF(Tabel!P752="","",Tabel!T752)</f>
        <v/>
      </c>
      <c r="F749" s="11" t="str">
        <f>IF(Tabel!P752="","",IF(Tabel!U752="","",Tabel!P752))</f>
        <v/>
      </c>
    </row>
    <row r="750" spans="1:6" x14ac:dyDescent="0.25">
      <c r="A750" s="22" t="str">
        <f>IF(Tabel!N753="","",Tabel!Q753)</f>
        <v/>
      </c>
      <c r="B750" s="11" t="str">
        <f>IF(Tabel!N753="","",IF(Tabel!Q753="","",Tabel!N753))</f>
        <v/>
      </c>
      <c r="C750" s="22" t="str">
        <f>IF(Tabel!O753="","",Tabel!S753)</f>
        <v/>
      </c>
      <c r="D750" s="11" t="str">
        <f>IF(Tabel!O753="","",IF(Tabel!S753="","",Tabel!O753))</f>
        <v/>
      </c>
      <c r="E750" s="22" t="str">
        <f>IF(Tabel!P753="","",Tabel!T753)</f>
        <v/>
      </c>
      <c r="F750" s="11" t="str">
        <f>IF(Tabel!P753="","",IF(Tabel!U753="","",Tabel!P753))</f>
        <v/>
      </c>
    </row>
    <row r="751" spans="1:6" x14ac:dyDescent="0.25">
      <c r="A751" s="22" t="str">
        <f>IF(Tabel!N754="","",Tabel!Q754)</f>
        <v/>
      </c>
      <c r="B751" s="11" t="str">
        <f>IF(Tabel!N754="","",IF(Tabel!Q754="","",Tabel!N754))</f>
        <v/>
      </c>
      <c r="C751" s="22" t="str">
        <f>IF(Tabel!O754="","",Tabel!S754)</f>
        <v/>
      </c>
      <c r="D751" s="11" t="str">
        <f>IF(Tabel!O754="","",IF(Tabel!S754="","",Tabel!O754))</f>
        <v/>
      </c>
      <c r="E751" s="22" t="str">
        <f>IF(Tabel!P754="","",Tabel!T754)</f>
        <v/>
      </c>
      <c r="F751" s="11" t="str">
        <f>IF(Tabel!P754="","",IF(Tabel!U754="","",Tabel!P754))</f>
        <v/>
      </c>
    </row>
    <row r="752" spans="1:6" x14ac:dyDescent="0.25">
      <c r="A752" s="22" t="str">
        <f>IF(Tabel!N755="","",Tabel!Q755)</f>
        <v/>
      </c>
      <c r="B752" s="11" t="str">
        <f>IF(Tabel!N755="","",IF(Tabel!Q755="","",Tabel!N755))</f>
        <v/>
      </c>
      <c r="C752" s="22" t="str">
        <f>IF(Tabel!O755="","",Tabel!S755)</f>
        <v/>
      </c>
      <c r="D752" s="11" t="str">
        <f>IF(Tabel!O755="","",IF(Tabel!S755="","",Tabel!O755))</f>
        <v/>
      </c>
      <c r="E752" s="22" t="str">
        <f>IF(Tabel!P755="","",Tabel!T755)</f>
        <v/>
      </c>
      <c r="F752" s="11" t="str">
        <f>IF(Tabel!P755="","",IF(Tabel!U755="","",Tabel!P755))</f>
        <v/>
      </c>
    </row>
    <row r="753" spans="1:6" x14ac:dyDescent="0.25">
      <c r="A753" s="22" t="str">
        <f>IF(Tabel!N756="","",Tabel!Q756)</f>
        <v/>
      </c>
      <c r="B753" s="11" t="str">
        <f>IF(Tabel!N756="","",IF(Tabel!Q756="","",Tabel!N756))</f>
        <v/>
      </c>
      <c r="C753" s="22" t="str">
        <f>IF(Tabel!O756="","",Tabel!S756)</f>
        <v/>
      </c>
      <c r="D753" s="11" t="str">
        <f>IF(Tabel!O756="","",IF(Tabel!S756="","",Tabel!O756))</f>
        <v/>
      </c>
      <c r="E753" s="22" t="str">
        <f>IF(Tabel!P756="","",Tabel!T756)</f>
        <v/>
      </c>
      <c r="F753" s="11" t="str">
        <f>IF(Tabel!P756="","",IF(Tabel!U756="","",Tabel!P756))</f>
        <v/>
      </c>
    </row>
    <row r="754" spans="1:6" x14ac:dyDescent="0.25">
      <c r="A754" s="22" t="str">
        <f>IF(Tabel!N757="","",Tabel!Q757)</f>
        <v/>
      </c>
      <c r="B754" s="11" t="str">
        <f>IF(Tabel!N757="","",IF(Tabel!Q757="","",Tabel!N757))</f>
        <v/>
      </c>
      <c r="C754" s="22" t="str">
        <f>IF(Tabel!O757="","",Tabel!S757)</f>
        <v/>
      </c>
      <c r="D754" s="11" t="str">
        <f>IF(Tabel!O757="","",IF(Tabel!S757="","",Tabel!O757))</f>
        <v/>
      </c>
      <c r="E754" s="22" t="str">
        <f>IF(Tabel!P757="","",Tabel!T757)</f>
        <v/>
      </c>
      <c r="F754" s="11" t="str">
        <f>IF(Tabel!P757="","",IF(Tabel!U757="","",Tabel!P757))</f>
        <v/>
      </c>
    </row>
    <row r="755" spans="1:6" x14ac:dyDescent="0.25">
      <c r="A755" s="22" t="str">
        <f>IF(Tabel!N758="","",Tabel!Q758)</f>
        <v/>
      </c>
      <c r="B755" s="11" t="str">
        <f>IF(Tabel!N758="","",IF(Tabel!Q758="","",Tabel!N758))</f>
        <v/>
      </c>
      <c r="C755" s="22" t="str">
        <f>IF(Tabel!O758="","",Tabel!S758)</f>
        <v/>
      </c>
      <c r="D755" s="11" t="str">
        <f>IF(Tabel!O758="","",IF(Tabel!S758="","",Tabel!O758))</f>
        <v/>
      </c>
      <c r="E755" s="22" t="str">
        <f>IF(Tabel!P758="","",Tabel!T758)</f>
        <v/>
      </c>
      <c r="F755" s="11" t="str">
        <f>IF(Tabel!P758="","",IF(Tabel!U758="","",Tabel!P758))</f>
        <v/>
      </c>
    </row>
    <row r="756" spans="1:6" x14ac:dyDescent="0.25">
      <c r="A756" s="22" t="str">
        <f>IF(Tabel!N759="","",Tabel!Q759)</f>
        <v/>
      </c>
      <c r="B756" s="11" t="str">
        <f>IF(Tabel!N759="","",IF(Tabel!Q759="","",Tabel!N759))</f>
        <v/>
      </c>
      <c r="C756" s="22" t="str">
        <f>IF(Tabel!O759="","",Tabel!S759)</f>
        <v/>
      </c>
      <c r="D756" s="11" t="str">
        <f>IF(Tabel!O759="","",IF(Tabel!S759="","",Tabel!O759))</f>
        <v/>
      </c>
      <c r="E756" s="22" t="str">
        <f>IF(Tabel!P759="","",Tabel!T759)</f>
        <v/>
      </c>
      <c r="F756" s="11" t="str">
        <f>IF(Tabel!P759="","",IF(Tabel!U759="","",Tabel!P759))</f>
        <v/>
      </c>
    </row>
    <row r="757" spans="1:6" x14ac:dyDescent="0.25">
      <c r="A757" s="22" t="str">
        <f>IF(Tabel!N760="","",Tabel!Q760)</f>
        <v/>
      </c>
      <c r="B757" s="11" t="str">
        <f>IF(Tabel!N760="","",IF(Tabel!Q760="","",Tabel!N760))</f>
        <v/>
      </c>
      <c r="C757" s="22" t="str">
        <f>IF(Tabel!O760="","",Tabel!S760)</f>
        <v/>
      </c>
      <c r="D757" s="11" t="str">
        <f>IF(Tabel!O760="","",IF(Tabel!S760="","",Tabel!O760))</f>
        <v/>
      </c>
      <c r="E757" s="22" t="str">
        <f>IF(Tabel!P760="","",Tabel!T760)</f>
        <v/>
      </c>
      <c r="F757" s="11" t="str">
        <f>IF(Tabel!P760="","",IF(Tabel!U760="","",Tabel!P760))</f>
        <v/>
      </c>
    </row>
    <row r="758" spans="1:6" x14ac:dyDescent="0.25">
      <c r="A758" s="22" t="str">
        <f>IF(Tabel!N761="","",Tabel!Q761)</f>
        <v/>
      </c>
      <c r="B758" s="11" t="str">
        <f>IF(Tabel!N761="","",IF(Tabel!Q761="","",Tabel!N761))</f>
        <v/>
      </c>
      <c r="C758" s="22" t="str">
        <f>IF(Tabel!O761="","",Tabel!S761)</f>
        <v/>
      </c>
      <c r="D758" s="11" t="str">
        <f>IF(Tabel!O761="","",IF(Tabel!S761="","",Tabel!O761))</f>
        <v/>
      </c>
      <c r="E758" s="22" t="str">
        <f>IF(Tabel!P761="","",Tabel!T761)</f>
        <v/>
      </c>
      <c r="F758" s="11" t="str">
        <f>IF(Tabel!P761="","",IF(Tabel!U761="","",Tabel!P761))</f>
        <v/>
      </c>
    </row>
    <row r="759" spans="1:6" x14ac:dyDescent="0.25">
      <c r="A759" s="22" t="str">
        <f>IF(Tabel!N762="","",Tabel!Q762)</f>
        <v/>
      </c>
      <c r="B759" s="11" t="str">
        <f>IF(Tabel!N762="","",IF(Tabel!Q762="","",Tabel!N762))</f>
        <v/>
      </c>
      <c r="C759" s="22" t="str">
        <f>IF(Tabel!O762="","",Tabel!S762)</f>
        <v/>
      </c>
      <c r="D759" s="11" t="str">
        <f>IF(Tabel!O762="","",IF(Tabel!S762="","",Tabel!O762))</f>
        <v/>
      </c>
      <c r="E759" s="22" t="str">
        <f>IF(Tabel!P762="","",Tabel!T762)</f>
        <v/>
      </c>
      <c r="F759" s="11" t="str">
        <f>IF(Tabel!P762="","",IF(Tabel!U762="","",Tabel!P762))</f>
        <v/>
      </c>
    </row>
    <row r="760" spans="1:6" x14ac:dyDescent="0.25">
      <c r="A760" s="22" t="str">
        <f>IF(Tabel!N763="","",Tabel!Q763)</f>
        <v/>
      </c>
      <c r="B760" s="11" t="str">
        <f>IF(Tabel!N763="","",IF(Tabel!Q763="","",Tabel!N763))</f>
        <v/>
      </c>
      <c r="C760" s="22" t="str">
        <f>IF(Tabel!O763="","",Tabel!S763)</f>
        <v/>
      </c>
      <c r="D760" s="11" t="str">
        <f>IF(Tabel!O763="","",IF(Tabel!S763="","",Tabel!O763))</f>
        <v/>
      </c>
      <c r="E760" s="22" t="str">
        <f>IF(Tabel!P763="","",Tabel!T763)</f>
        <v/>
      </c>
      <c r="F760" s="11" t="str">
        <f>IF(Tabel!P763="","",IF(Tabel!U763="","",Tabel!P763))</f>
        <v/>
      </c>
    </row>
    <row r="761" spans="1:6" x14ac:dyDescent="0.25">
      <c r="A761" s="22" t="str">
        <f>IF(Tabel!N764="","",Tabel!Q764)</f>
        <v/>
      </c>
      <c r="B761" s="11" t="str">
        <f>IF(Tabel!N764="","",IF(Tabel!Q764="","",Tabel!N764))</f>
        <v/>
      </c>
      <c r="C761" s="22" t="str">
        <f>IF(Tabel!O764="","",Tabel!S764)</f>
        <v/>
      </c>
      <c r="D761" s="11" t="str">
        <f>IF(Tabel!O764="","",IF(Tabel!S764="","",Tabel!O764))</f>
        <v/>
      </c>
      <c r="E761" s="22" t="str">
        <f>IF(Tabel!P764="","",Tabel!T764)</f>
        <v/>
      </c>
      <c r="F761" s="11" t="str">
        <f>IF(Tabel!P764="","",IF(Tabel!U764="","",Tabel!P764))</f>
        <v/>
      </c>
    </row>
    <row r="762" spans="1:6" x14ac:dyDescent="0.25">
      <c r="A762" s="22" t="str">
        <f>IF(Tabel!N765="","",Tabel!Q765)</f>
        <v/>
      </c>
      <c r="B762" s="11" t="str">
        <f>IF(Tabel!N765="","",IF(Tabel!Q765="","",Tabel!N765))</f>
        <v/>
      </c>
      <c r="C762" s="22" t="str">
        <f>IF(Tabel!O765="","",Tabel!S765)</f>
        <v/>
      </c>
      <c r="D762" s="11" t="str">
        <f>IF(Tabel!O765="","",IF(Tabel!S765="","",Tabel!O765))</f>
        <v/>
      </c>
      <c r="E762" s="22" t="str">
        <f>IF(Tabel!P765="","",Tabel!T765)</f>
        <v/>
      </c>
      <c r="F762" s="11" t="str">
        <f>IF(Tabel!P765="","",IF(Tabel!U765="","",Tabel!P765))</f>
        <v/>
      </c>
    </row>
    <row r="763" spans="1:6" x14ac:dyDescent="0.25">
      <c r="A763" s="22" t="str">
        <f>IF(Tabel!N766="","",Tabel!Q766)</f>
        <v/>
      </c>
      <c r="B763" s="11" t="str">
        <f>IF(Tabel!N766="","",IF(Tabel!Q766="","",Tabel!N766))</f>
        <v/>
      </c>
      <c r="C763" s="22" t="str">
        <f>IF(Tabel!O766="","",Tabel!S766)</f>
        <v/>
      </c>
      <c r="D763" s="11" t="str">
        <f>IF(Tabel!O766="","",IF(Tabel!S766="","",Tabel!O766))</f>
        <v/>
      </c>
      <c r="E763" s="22" t="str">
        <f>IF(Tabel!P766="","",Tabel!T766)</f>
        <v/>
      </c>
      <c r="F763" s="11" t="str">
        <f>IF(Tabel!P766="","",IF(Tabel!U766="","",Tabel!P766))</f>
        <v/>
      </c>
    </row>
    <row r="764" spans="1:6" x14ac:dyDescent="0.25">
      <c r="A764" s="22" t="str">
        <f>IF(Tabel!N767="","",Tabel!Q767)</f>
        <v/>
      </c>
      <c r="B764" s="11" t="str">
        <f>IF(Tabel!N767="","",IF(Tabel!Q767="","",Tabel!N767))</f>
        <v/>
      </c>
      <c r="C764" s="22" t="str">
        <f>IF(Tabel!O767="","",Tabel!S767)</f>
        <v/>
      </c>
      <c r="D764" s="11" t="str">
        <f>IF(Tabel!O767="","",IF(Tabel!S767="","",Tabel!O767))</f>
        <v/>
      </c>
      <c r="E764" s="22" t="str">
        <f>IF(Tabel!P767="","",Tabel!T767)</f>
        <v/>
      </c>
      <c r="F764" s="11" t="str">
        <f>IF(Tabel!P767="","",IF(Tabel!U767="","",Tabel!P767))</f>
        <v/>
      </c>
    </row>
    <row r="765" spans="1:6" x14ac:dyDescent="0.25">
      <c r="A765" s="22" t="str">
        <f>IF(Tabel!N768="","",Tabel!Q768)</f>
        <v/>
      </c>
      <c r="B765" s="11" t="str">
        <f>IF(Tabel!N768="","",IF(Tabel!Q768="","",Tabel!N768))</f>
        <v/>
      </c>
      <c r="C765" s="22" t="str">
        <f>IF(Tabel!O768="","",Tabel!S768)</f>
        <v/>
      </c>
      <c r="D765" s="11" t="str">
        <f>IF(Tabel!O768="","",IF(Tabel!S768="","",Tabel!O768))</f>
        <v/>
      </c>
      <c r="E765" s="22" t="str">
        <f>IF(Tabel!P768="","",Tabel!T768)</f>
        <v/>
      </c>
      <c r="F765" s="11" t="str">
        <f>IF(Tabel!P768="","",IF(Tabel!U768="","",Tabel!P768))</f>
        <v/>
      </c>
    </row>
    <row r="766" spans="1:6" x14ac:dyDescent="0.25">
      <c r="A766" s="22" t="str">
        <f>IF(Tabel!N769="","",Tabel!Q769)</f>
        <v/>
      </c>
      <c r="B766" s="11" t="str">
        <f>IF(Tabel!N769="","",IF(Tabel!Q769="","",Tabel!N769))</f>
        <v/>
      </c>
      <c r="C766" s="22" t="str">
        <f>IF(Tabel!O769="","",Tabel!S769)</f>
        <v/>
      </c>
      <c r="D766" s="11" t="str">
        <f>IF(Tabel!O769="","",IF(Tabel!S769="","",Tabel!O769))</f>
        <v/>
      </c>
      <c r="E766" s="22" t="str">
        <f>IF(Tabel!P769="","",Tabel!T769)</f>
        <v/>
      </c>
      <c r="F766" s="11" t="str">
        <f>IF(Tabel!P769="","",IF(Tabel!U769="","",Tabel!P769))</f>
        <v/>
      </c>
    </row>
    <row r="767" spans="1:6" x14ac:dyDescent="0.25">
      <c r="A767" s="22" t="str">
        <f>IF(Tabel!N770="","",Tabel!Q770)</f>
        <v/>
      </c>
      <c r="B767" s="11" t="str">
        <f>IF(Tabel!N770="","",IF(Tabel!Q770="","",Tabel!N770))</f>
        <v/>
      </c>
      <c r="C767" s="22" t="str">
        <f>IF(Tabel!O770="","",Tabel!S770)</f>
        <v/>
      </c>
      <c r="D767" s="11" t="str">
        <f>IF(Tabel!O770="","",IF(Tabel!S770="","",Tabel!O770))</f>
        <v/>
      </c>
      <c r="E767" s="22" t="str">
        <f>IF(Tabel!P770="","",Tabel!T770)</f>
        <v/>
      </c>
      <c r="F767" s="11" t="str">
        <f>IF(Tabel!P770="","",IF(Tabel!U770="","",Tabel!P770))</f>
        <v/>
      </c>
    </row>
    <row r="768" spans="1:6" x14ac:dyDescent="0.25">
      <c r="A768" s="22" t="str">
        <f>IF(Tabel!N771="","",Tabel!Q771)</f>
        <v/>
      </c>
      <c r="B768" s="11" t="str">
        <f>IF(Tabel!N771="","",IF(Tabel!Q771="","",Tabel!N771))</f>
        <v/>
      </c>
      <c r="C768" s="22" t="str">
        <f>IF(Tabel!O771="","",Tabel!S771)</f>
        <v/>
      </c>
      <c r="D768" s="11" t="str">
        <f>IF(Tabel!O771="","",IF(Tabel!S771="","",Tabel!O771))</f>
        <v/>
      </c>
      <c r="E768" s="22" t="str">
        <f>IF(Tabel!P771="","",Tabel!T771)</f>
        <v/>
      </c>
      <c r="F768" s="11" t="str">
        <f>IF(Tabel!P771="","",IF(Tabel!U771="","",Tabel!P771))</f>
        <v/>
      </c>
    </row>
    <row r="769" spans="1:6" x14ac:dyDescent="0.25">
      <c r="A769" s="22" t="str">
        <f>IF(Tabel!N772="","",Tabel!Q772)</f>
        <v/>
      </c>
      <c r="B769" s="11" t="str">
        <f>IF(Tabel!N772="","",IF(Tabel!Q772="","",Tabel!N772))</f>
        <v/>
      </c>
      <c r="C769" s="22" t="str">
        <f>IF(Tabel!O772="","",Tabel!S772)</f>
        <v/>
      </c>
      <c r="D769" s="11" t="str">
        <f>IF(Tabel!O772="","",IF(Tabel!S772="","",Tabel!O772))</f>
        <v/>
      </c>
      <c r="E769" s="22" t="str">
        <f>IF(Tabel!P772="","",Tabel!T772)</f>
        <v/>
      </c>
      <c r="F769" s="11" t="str">
        <f>IF(Tabel!P772="","",IF(Tabel!U772="","",Tabel!P772))</f>
        <v/>
      </c>
    </row>
    <row r="770" spans="1:6" x14ac:dyDescent="0.25">
      <c r="A770" s="22" t="str">
        <f>IF(Tabel!N773="","",Tabel!Q773)</f>
        <v/>
      </c>
      <c r="B770" s="11" t="str">
        <f>IF(Tabel!N773="","",IF(Tabel!Q773="","",Tabel!N773))</f>
        <v/>
      </c>
      <c r="C770" s="22" t="str">
        <f>IF(Tabel!O773="","",Tabel!S773)</f>
        <v/>
      </c>
      <c r="D770" s="11" t="str">
        <f>IF(Tabel!O773="","",IF(Tabel!S773="","",Tabel!O773))</f>
        <v/>
      </c>
      <c r="E770" s="22" t="str">
        <f>IF(Tabel!P773="","",Tabel!T773)</f>
        <v/>
      </c>
      <c r="F770" s="11" t="str">
        <f>IF(Tabel!P773="","",IF(Tabel!U773="","",Tabel!P773))</f>
        <v/>
      </c>
    </row>
    <row r="771" spans="1:6" x14ac:dyDescent="0.25">
      <c r="A771" s="22" t="str">
        <f>IF(Tabel!N774="","",Tabel!Q774)</f>
        <v/>
      </c>
      <c r="B771" s="11" t="str">
        <f>IF(Tabel!N774="","",IF(Tabel!Q774="","",Tabel!N774))</f>
        <v/>
      </c>
      <c r="C771" s="22" t="str">
        <f>IF(Tabel!O774="","",Tabel!S774)</f>
        <v/>
      </c>
      <c r="D771" s="11" t="str">
        <f>IF(Tabel!O774="","",IF(Tabel!S774="","",Tabel!O774))</f>
        <v/>
      </c>
      <c r="E771" s="22" t="str">
        <f>IF(Tabel!P774="","",Tabel!T774)</f>
        <v/>
      </c>
      <c r="F771" s="11" t="str">
        <f>IF(Tabel!P774="","",IF(Tabel!U774="","",Tabel!P774))</f>
        <v/>
      </c>
    </row>
    <row r="772" spans="1:6" x14ac:dyDescent="0.25">
      <c r="A772" s="22" t="str">
        <f>IF(Tabel!N775="","",Tabel!Q775)</f>
        <v/>
      </c>
      <c r="B772" s="11" t="str">
        <f>IF(Tabel!N775="","",IF(Tabel!Q775="","",Tabel!N775))</f>
        <v/>
      </c>
      <c r="C772" s="22" t="str">
        <f>IF(Tabel!O775="","",Tabel!S775)</f>
        <v/>
      </c>
      <c r="D772" s="11" t="str">
        <f>IF(Tabel!O775="","",IF(Tabel!S775="","",Tabel!O775))</f>
        <v/>
      </c>
      <c r="E772" s="22" t="str">
        <f>IF(Tabel!P775="","",Tabel!T775)</f>
        <v/>
      </c>
      <c r="F772" s="11" t="str">
        <f>IF(Tabel!P775="","",IF(Tabel!U775="","",Tabel!P775))</f>
        <v/>
      </c>
    </row>
    <row r="773" spans="1:6" x14ac:dyDescent="0.25">
      <c r="A773" s="22" t="str">
        <f>IF(Tabel!N776="","",Tabel!Q776)</f>
        <v/>
      </c>
      <c r="B773" s="11" t="str">
        <f>IF(Tabel!N776="","",IF(Tabel!Q776="","",Tabel!N776))</f>
        <v/>
      </c>
      <c r="C773" s="22" t="str">
        <f>IF(Tabel!O776="","",Tabel!S776)</f>
        <v/>
      </c>
      <c r="D773" s="11" t="str">
        <f>IF(Tabel!O776="","",IF(Tabel!S776="","",Tabel!O776))</f>
        <v/>
      </c>
      <c r="E773" s="22" t="str">
        <f>IF(Tabel!P776="","",Tabel!T776)</f>
        <v/>
      </c>
      <c r="F773" s="11" t="str">
        <f>IF(Tabel!P776="","",IF(Tabel!U776="","",Tabel!P776))</f>
        <v/>
      </c>
    </row>
    <row r="774" spans="1:6" x14ac:dyDescent="0.25">
      <c r="A774" s="22" t="str">
        <f>IF(Tabel!N777="","",Tabel!Q777)</f>
        <v/>
      </c>
      <c r="B774" s="11" t="str">
        <f>IF(Tabel!N777="","",IF(Tabel!Q777="","",Tabel!N777))</f>
        <v/>
      </c>
      <c r="C774" s="22" t="str">
        <f>IF(Tabel!O777="","",Tabel!S777)</f>
        <v/>
      </c>
      <c r="D774" s="11" t="str">
        <f>IF(Tabel!O777="","",IF(Tabel!S777="","",Tabel!O777))</f>
        <v/>
      </c>
      <c r="E774" s="22" t="str">
        <f>IF(Tabel!P777="","",Tabel!T777)</f>
        <v/>
      </c>
      <c r="F774" s="11" t="str">
        <f>IF(Tabel!P777="","",IF(Tabel!U777="","",Tabel!P777))</f>
        <v/>
      </c>
    </row>
    <row r="775" spans="1:6" x14ac:dyDescent="0.25">
      <c r="A775" s="22" t="str">
        <f>IF(Tabel!N778="","",Tabel!Q778)</f>
        <v/>
      </c>
      <c r="B775" s="11" t="str">
        <f>IF(Tabel!N778="","",IF(Tabel!Q778="","",Tabel!N778))</f>
        <v/>
      </c>
      <c r="C775" s="22" t="str">
        <f>IF(Tabel!O778="","",Tabel!S778)</f>
        <v/>
      </c>
      <c r="D775" s="11" t="str">
        <f>IF(Tabel!O778="","",IF(Tabel!S778="","",Tabel!O778))</f>
        <v/>
      </c>
      <c r="E775" s="22" t="str">
        <f>IF(Tabel!P778="","",Tabel!T778)</f>
        <v/>
      </c>
      <c r="F775" s="11" t="str">
        <f>IF(Tabel!P778="","",IF(Tabel!U778="","",Tabel!P778))</f>
        <v/>
      </c>
    </row>
    <row r="776" spans="1:6" x14ac:dyDescent="0.25">
      <c r="A776" s="22" t="str">
        <f>IF(Tabel!N779="","",Tabel!Q779)</f>
        <v/>
      </c>
      <c r="B776" s="11" t="str">
        <f>IF(Tabel!N779="","",IF(Tabel!Q779="","",Tabel!N779))</f>
        <v/>
      </c>
      <c r="C776" s="22" t="str">
        <f>IF(Tabel!O779="","",Tabel!S779)</f>
        <v/>
      </c>
      <c r="D776" s="11" t="str">
        <f>IF(Tabel!O779="","",IF(Tabel!S779="","",Tabel!O779))</f>
        <v/>
      </c>
      <c r="E776" s="22" t="str">
        <f>IF(Tabel!P779="","",Tabel!T779)</f>
        <v/>
      </c>
      <c r="F776" s="11" t="str">
        <f>IF(Tabel!P779="","",IF(Tabel!U779="","",Tabel!P779))</f>
        <v/>
      </c>
    </row>
    <row r="777" spans="1:6" x14ac:dyDescent="0.25">
      <c r="A777" s="22" t="str">
        <f>IF(Tabel!N780="","",Tabel!Q780)</f>
        <v/>
      </c>
      <c r="B777" s="11" t="str">
        <f>IF(Tabel!N780="","",IF(Tabel!Q780="","",Tabel!N780))</f>
        <v/>
      </c>
      <c r="C777" s="22" t="str">
        <f>IF(Tabel!O780="","",Tabel!S780)</f>
        <v/>
      </c>
      <c r="D777" s="11" t="str">
        <f>IF(Tabel!O780="","",IF(Tabel!S780="","",Tabel!O780))</f>
        <v/>
      </c>
      <c r="E777" s="22" t="str">
        <f>IF(Tabel!P780="","",Tabel!T780)</f>
        <v/>
      </c>
      <c r="F777" s="11" t="str">
        <f>IF(Tabel!P780="","",IF(Tabel!U780="","",Tabel!P780))</f>
        <v/>
      </c>
    </row>
    <row r="778" spans="1:6" x14ac:dyDescent="0.25">
      <c r="A778" s="22" t="str">
        <f>IF(Tabel!N781="","",Tabel!Q781)</f>
        <v/>
      </c>
      <c r="B778" s="11" t="str">
        <f>IF(Tabel!N781="","",IF(Tabel!Q781="","",Tabel!N781))</f>
        <v/>
      </c>
      <c r="C778" s="22" t="str">
        <f>IF(Tabel!O781="","",Tabel!S781)</f>
        <v/>
      </c>
      <c r="D778" s="11" t="str">
        <f>IF(Tabel!O781="","",IF(Tabel!S781="","",Tabel!O781))</f>
        <v/>
      </c>
      <c r="E778" s="22" t="str">
        <f>IF(Tabel!P781="","",Tabel!T781)</f>
        <v/>
      </c>
      <c r="F778" s="11" t="str">
        <f>IF(Tabel!P781="","",IF(Tabel!U781="","",Tabel!P781))</f>
        <v/>
      </c>
    </row>
    <row r="779" spans="1:6" x14ac:dyDescent="0.25">
      <c r="A779" s="22" t="str">
        <f>IF(Tabel!N782="","",Tabel!Q782)</f>
        <v/>
      </c>
      <c r="B779" s="11" t="str">
        <f>IF(Tabel!N782="","",IF(Tabel!Q782="","",Tabel!N782))</f>
        <v/>
      </c>
      <c r="C779" s="22" t="str">
        <f>IF(Tabel!O782="","",Tabel!S782)</f>
        <v/>
      </c>
      <c r="D779" s="11" t="str">
        <f>IF(Tabel!O782="","",IF(Tabel!S782="","",Tabel!O782))</f>
        <v/>
      </c>
      <c r="E779" s="22" t="str">
        <f>IF(Tabel!P782="","",Tabel!T782)</f>
        <v/>
      </c>
      <c r="F779" s="11" t="str">
        <f>IF(Tabel!P782="","",IF(Tabel!U782="","",Tabel!P782))</f>
        <v/>
      </c>
    </row>
    <row r="780" spans="1:6" x14ac:dyDescent="0.25">
      <c r="A780" s="22" t="str">
        <f>IF(Tabel!N783="","",Tabel!Q783)</f>
        <v/>
      </c>
      <c r="B780" s="11" t="str">
        <f>IF(Tabel!N783="","",IF(Tabel!Q783="","",Tabel!N783))</f>
        <v/>
      </c>
      <c r="C780" s="22" t="str">
        <f>IF(Tabel!O783="","",Tabel!S783)</f>
        <v/>
      </c>
      <c r="D780" s="11" t="str">
        <f>IF(Tabel!O783="","",IF(Tabel!S783="","",Tabel!O783))</f>
        <v/>
      </c>
      <c r="E780" s="22" t="str">
        <f>IF(Tabel!P783="","",Tabel!T783)</f>
        <v/>
      </c>
      <c r="F780" s="11" t="str">
        <f>IF(Tabel!P783="","",IF(Tabel!U783="","",Tabel!P783))</f>
        <v/>
      </c>
    </row>
    <row r="781" spans="1:6" x14ac:dyDescent="0.25">
      <c r="A781" s="22" t="str">
        <f>IF(Tabel!N784="","",Tabel!Q784)</f>
        <v/>
      </c>
      <c r="B781" s="11" t="str">
        <f>IF(Tabel!N784="","",IF(Tabel!Q784="","",Tabel!N784))</f>
        <v/>
      </c>
      <c r="C781" s="22" t="str">
        <f>IF(Tabel!O784="","",Tabel!S784)</f>
        <v/>
      </c>
      <c r="D781" s="11" t="str">
        <f>IF(Tabel!O784="","",IF(Tabel!S784="","",Tabel!O784))</f>
        <v/>
      </c>
      <c r="E781" s="22" t="str">
        <f>IF(Tabel!P784="","",Tabel!T784)</f>
        <v/>
      </c>
      <c r="F781" s="11" t="str">
        <f>IF(Tabel!P784="","",IF(Tabel!U784="","",Tabel!P784))</f>
        <v/>
      </c>
    </row>
    <row r="782" spans="1:6" x14ac:dyDescent="0.25">
      <c r="A782" s="22" t="str">
        <f>IF(Tabel!N785="","",Tabel!Q785)</f>
        <v/>
      </c>
      <c r="B782" s="11" t="str">
        <f>IF(Tabel!N785="","",IF(Tabel!Q785="","",Tabel!N785))</f>
        <v/>
      </c>
      <c r="C782" s="22" t="str">
        <f>IF(Tabel!O785="","",Tabel!S785)</f>
        <v/>
      </c>
      <c r="D782" s="11" t="str">
        <f>IF(Tabel!O785="","",IF(Tabel!S785="","",Tabel!O785))</f>
        <v/>
      </c>
      <c r="E782" s="22" t="str">
        <f>IF(Tabel!P785="","",Tabel!T785)</f>
        <v/>
      </c>
      <c r="F782" s="11" t="str">
        <f>IF(Tabel!P785="","",IF(Tabel!U785="","",Tabel!P785))</f>
        <v/>
      </c>
    </row>
    <row r="783" spans="1:6" x14ac:dyDescent="0.25">
      <c r="A783" s="22" t="str">
        <f>IF(Tabel!N786="","",Tabel!Q786)</f>
        <v/>
      </c>
      <c r="B783" s="11" t="str">
        <f>IF(Tabel!N786="","",IF(Tabel!Q786="","",Tabel!N786))</f>
        <v/>
      </c>
      <c r="C783" s="22" t="str">
        <f>IF(Tabel!O786="","",Tabel!S786)</f>
        <v/>
      </c>
      <c r="D783" s="11" t="str">
        <f>IF(Tabel!O786="","",IF(Tabel!S786="","",Tabel!O786))</f>
        <v/>
      </c>
      <c r="E783" s="22" t="str">
        <f>IF(Tabel!P786="","",Tabel!T786)</f>
        <v/>
      </c>
      <c r="F783" s="11" t="str">
        <f>IF(Tabel!P786="","",IF(Tabel!U786="","",Tabel!P786))</f>
        <v/>
      </c>
    </row>
    <row r="784" spans="1:6" x14ac:dyDescent="0.25">
      <c r="A784" s="22" t="str">
        <f>IF(Tabel!N787="","",Tabel!Q787)</f>
        <v/>
      </c>
      <c r="B784" s="11" t="str">
        <f>IF(Tabel!N787="","",IF(Tabel!Q787="","",Tabel!N787))</f>
        <v/>
      </c>
      <c r="C784" s="22" t="str">
        <f>IF(Tabel!O787="","",Tabel!S787)</f>
        <v/>
      </c>
      <c r="D784" s="11" t="str">
        <f>IF(Tabel!O787="","",IF(Tabel!S787="","",Tabel!O787))</f>
        <v/>
      </c>
      <c r="E784" s="22" t="str">
        <f>IF(Tabel!P787="","",Tabel!T787)</f>
        <v/>
      </c>
      <c r="F784" s="11" t="str">
        <f>IF(Tabel!P787="","",IF(Tabel!U787="","",Tabel!P787))</f>
        <v/>
      </c>
    </row>
    <row r="785" spans="1:6" x14ac:dyDescent="0.25">
      <c r="A785" s="22" t="str">
        <f>IF(Tabel!N788="","",Tabel!Q788)</f>
        <v/>
      </c>
      <c r="B785" s="11" t="str">
        <f>IF(Tabel!N788="","",IF(Tabel!Q788="","",Tabel!N788))</f>
        <v/>
      </c>
      <c r="C785" s="22" t="str">
        <f>IF(Tabel!O788="","",Tabel!S788)</f>
        <v/>
      </c>
      <c r="D785" s="11" t="str">
        <f>IF(Tabel!O788="","",IF(Tabel!S788="","",Tabel!O788))</f>
        <v/>
      </c>
      <c r="E785" s="22" t="str">
        <f>IF(Tabel!P788="","",Tabel!T788)</f>
        <v/>
      </c>
      <c r="F785" s="11" t="str">
        <f>IF(Tabel!P788="","",IF(Tabel!U788="","",Tabel!P788))</f>
        <v/>
      </c>
    </row>
    <row r="786" spans="1:6" x14ac:dyDescent="0.25">
      <c r="A786" s="22" t="str">
        <f>IF(Tabel!N789="","",Tabel!Q789)</f>
        <v/>
      </c>
      <c r="B786" s="11" t="str">
        <f>IF(Tabel!N789="","",IF(Tabel!Q789="","",Tabel!N789))</f>
        <v/>
      </c>
      <c r="C786" s="22" t="str">
        <f>IF(Tabel!O789="","",Tabel!S789)</f>
        <v/>
      </c>
      <c r="D786" s="11" t="str">
        <f>IF(Tabel!O789="","",IF(Tabel!S789="","",Tabel!O789))</f>
        <v/>
      </c>
      <c r="E786" s="22" t="str">
        <f>IF(Tabel!P789="","",Tabel!T789)</f>
        <v/>
      </c>
      <c r="F786" s="11" t="str">
        <f>IF(Tabel!P789="","",IF(Tabel!U789="","",Tabel!P789))</f>
        <v/>
      </c>
    </row>
    <row r="787" spans="1:6" x14ac:dyDescent="0.25">
      <c r="A787" s="22" t="str">
        <f>IF(Tabel!N790="","",Tabel!Q790)</f>
        <v/>
      </c>
      <c r="B787" s="11" t="str">
        <f>IF(Tabel!N790="","",IF(Tabel!Q790="","",Tabel!N790))</f>
        <v/>
      </c>
      <c r="C787" s="22" t="str">
        <f>IF(Tabel!O790="","",Tabel!S790)</f>
        <v/>
      </c>
      <c r="D787" s="11" t="str">
        <f>IF(Tabel!O790="","",IF(Tabel!S790="","",Tabel!O790))</f>
        <v/>
      </c>
      <c r="E787" s="22" t="str">
        <f>IF(Tabel!P790="","",Tabel!T790)</f>
        <v/>
      </c>
      <c r="F787" s="11" t="str">
        <f>IF(Tabel!P790="","",IF(Tabel!U790="","",Tabel!P790))</f>
        <v/>
      </c>
    </row>
    <row r="788" spans="1:6" x14ac:dyDescent="0.25">
      <c r="A788" s="22" t="str">
        <f>IF(Tabel!N791="","",Tabel!Q791)</f>
        <v/>
      </c>
      <c r="B788" s="11" t="str">
        <f>IF(Tabel!N791="","",IF(Tabel!Q791="","",Tabel!N791))</f>
        <v/>
      </c>
      <c r="C788" s="22" t="str">
        <f>IF(Tabel!O791="","",Tabel!S791)</f>
        <v/>
      </c>
      <c r="D788" s="11" t="str">
        <f>IF(Tabel!O791="","",IF(Tabel!S791="","",Tabel!O791))</f>
        <v/>
      </c>
      <c r="E788" s="22" t="str">
        <f>IF(Tabel!P791="","",Tabel!T791)</f>
        <v/>
      </c>
      <c r="F788" s="11" t="str">
        <f>IF(Tabel!P791="","",IF(Tabel!U791="","",Tabel!P791))</f>
        <v/>
      </c>
    </row>
    <row r="789" spans="1:6" x14ac:dyDescent="0.25">
      <c r="A789" s="22" t="str">
        <f>IF(Tabel!N792="","",Tabel!Q792)</f>
        <v/>
      </c>
      <c r="B789" s="11" t="str">
        <f>IF(Tabel!N792="","",IF(Tabel!Q792="","",Tabel!N792))</f>
        <v/>
      </c>
      <c r="C789" s="22" t="str">
        <f>IF(Tabel!O792="","",Tabel!S792)</f>
        <v/>
      </c>
      <c r="D789" s="11" t="str">
        <f>IF(Tabel!O792="","",IF(Tabel!S792="","",Tabel!O792))</f>
        <v/>
      </c>
      <c r="E789" s="22" t="str">
        <f>IF(Tabel!P792="","",Tabel!T792)</f>
        <v/>
      </c>
      <c r="F789" s="11" t="str">
        <f>IF(Tabel!P792="","",IF(Tabel!U792="","",Tabel!P792))</f>
        <v/>
      </c>
    </row>
    <row r="790" spans="1:6" x14ac:dyDescent="0.25">
      <c r="A790" s="22" t="str">
        <f>IF(Tabel!N793="","",Tabel!Q793)</f>
        <v/>
      </c>
      <c r="B790" s="11" t="str">
        <f>IF(Tabel!N793="","",IF(Tabel!Q793="","",Tabel!N793))</f>
        <v/>
      </c>
      <c r="C790" s="22" t="str">
        <f>IF(Tabel!O793="","",Tabel!S793)</f>
        <v/>
      </c>
      <c r="D790" s="11" t="str">
        <f>IF(Tabel!O793="","",IF(Tabel!S793="","",Tabel!O793))</f>
        <v/>
      </c>
      <c r="E790" s="22" t="str">
        <f>IF(Tabel!P793="","",Tabel!T793)</f>
        <v/>
      </c>
      <c r="F790" s="11" t="str">
        <f>IF(Tabel!P793="","",IF(Tabel!U793="","",Tabel!P793))</f>
        <v/>
      </c>
    </row>
    <row r="791" spans="1:6" x14ac:dyDescent="0.25">
      <c r="A791" s="22" t="str">
        <f>IF(Tabel!N794="","",Tabel!Q794)</f>
        <v/>
      </c>
      <c r="B791" s="11" t="str">
        <f>IF(Tabel!N794="","",IF(Tabel!Q794="","",Tabel!N794))</f>
        <v/>
      </c>
      <c r="C791" s="22" t="str">
        <f>IF(Tabel!O794="","",Tabel!S794)</f>
        <v/>
      </c>
      <c r="D791" s="11" t="str">
        <f>IF(Tabel!O794="","",IF(Tabel!S794="","",Tabel!O794))</f>
        <v/>
      </c>
      <c r="E791" s="22" t="str">
        <f>IF(Tabel!P794="","",Tabel!T794)</f>
        <v/>
      </c>
      <c r="F791" s="11" t="str">
        <f>IF(Tabel!P794="","",IF(Tabel!U794="","",Tabel!P794))</f>
        <v/>
      </c>
    </row>
    <row r="792" spans="1:6" x14ac:dyDescent="0.25">
      <c r="A792" s="22" t="str">
        <f>IF(Tabel!N795="","",Tabel!Q795)</f>
        <v/>
      </c>
      <c r="B792" s="11" t="str">
        <f>IF(Tabel!N795="","",IF(Tabel!Q795="","",Tabel!N795))</f>
        <v/>
      </c>
      <c r="C792" s="22" t="str">
        <f>IF(Tabel!O795="","",Tabel!S795)</f>
        <v/>
      </c>
      <c r="D792" s="11" t="str">
        <f>IF(Tabel!O795="","",IF(Tabel!S795="","",Tabel!O795))</f>
        <v/>
      </c>
      <c r="E792" s="22" t="str">
        <f>IF(Tabel!P795="","",Tabel!T795)</f>
        <v/>
      </c>
      <c r="F792" s="11" t="str">
        <f>IF(Tabel!P795="","",IF(Tabel!U795="","",Tabel!P795))</f>
        <v/>
      </c>
    </row>
    <row r="793" spans="1:6" x14ac:dyDescent="0.25">
      <c r="A793" s="22" t="str">
        <f>IF(Tabel!N796="","",Tabel!Q796)</f>
        <v/>
      </c>
      <c r="B793" s="11" t="str">
        <f>IF(Tabel!N796="","",IF(Tabel!Q796="","",Tabel!N796))</f>
        <v/>
      </c>
      <c r="C793" s="22" t="str">
        <f>IF(Tabel!O796="","",Tabel!S796)</f>
        <v/>
      </c>
      <c r="D793" s="11" t="str">
        <f>IF(Tabel!O796="","",IF(Tabel!S796="","",Tabel!O796))</f>
        <v/>
      </c>
      <c r="E793" s="22" t="str">
        <f>IF(Tabel!P796="","",Tabel!T796)</f>
        <v/>
      </c>
      <c r="F793" s="11" t="str">
        <f>IF(Tabel!P796="","",IF(Tabel!U796="","",Tabel!P796))</f>
        <v/>
      </c>
    </row>
    <row r="794" spans="1:6" x14ac:dyDescent="0.25">
      <c r="A794" s="22" t="str">
        <f>IF(Tabel!N797="","",Tabel!Q797)</f>
        <v/>
      </c>
      <c r="B794" s="11" t="str">
        <f>IF(Tabel!N797="","",IF(Tabel!Q797="","",Tabel!N797))</f>
        <v/>
      </c>
      <c r="C794" s="22" t="str">
        <f>IF(Tabel!O797="","",Tabel!S797)</f>
        <v/>
      </c>
      <c r="D794" s="11" t="str">
        <f>IF(Tabel!O797="","",IF(Tabel!S797="","",Tabel!O797))</f>
        <v/>
      </c>
      <c r="E794" s="22" t="str">
        <f>IF(Tabel!P797="","",Tabel!T797)</f>
        <v/>
      </c>
      <c r="F794" s="11" t="str">
        <f>IF(Tabel!P797="","",IF(Tabel!U797="","",Tabel!P797))</f>
        <v/>
      </c>
    </row>
    <row r="795" spans="1:6" x14ac:dyDescent="0.25">
      <c r="A795" s="22" t="str">
        <f>IF(Tabel!N798="","",Tabel!Q798)</f>
        <v/>
      </c>
      <c r="B795" s="11" t="str">
        <f>IF(Tabel!N798="","",IF(Tabel!Q798="","",Tabel!N798))</f>
        <v/>
      </c>
      <c r="C795" s="22" t="str">
        <f>IF(Tabel!O798="","",Tabel!S798)</f>
        <v/>
      </c>
      <c r="D795" s="11" t="str">
        <f>IF(Tabel!O798="","",IF(Tabel!S798="","",Tabel!O798))</f>
        <v/>
      </c>
      <c r="E795" s="22" t="str">
        <f>IF(Tabel!P798="","",Tabel!T798)</f>
        <v/>
      </c>
      <c r="F795" s="11" t="str">
        <f>IF(Tabel!P798="","",IF(Tabel!U798="","",Tabel!P798))</f>
        <v/>
      </c>
    </row>
    <row r="796" spans="1:6" x14ac:dyDescent="0.25">
      <c r="A796" s="22" t="str">
        <f>IF(Tabel!N799="","",Tabel!Q799)</f>
        <v/>
      </c>
      <c r="B796" s="11" t="str">
        <f>IF(Tabel!N799="","",IF(Tabel!Q799="","",Tabel!N799))</f>
        <v/>
      </c>
      <c r="C796" s="22" t="str">
        <f>IF(Tabel!O799="","",Tabel!S799)</f>
        <v/>
      </c>
      <c r="D796" s="11" t="str">
        <f>IF(Tabel!O799="","",IF(Tabel!S799="","",Tabel!O799))</f>
        <v/>
      </c>
      <c r="E796" s="22" t="str">
        <f>IF(Tabel!P799="","",Tabel!T799)</f>
        <v/>
      </c>
      <c r="F796" s="11" t="str">
        <f>IF(Tabel!P799="","",IF(Tabel!U799="","",Tabel!P799))</f>
        <v/>
      </c>
    </row>
    <row r="797" spans="1:6" x14ac:dyDescent="0.25">
      <c r="A797" s="22" t="str">
        <f>IF(Tabel!N800="","",Tabel!Q800)</f>
        <v/>
      </c>
      <c r="B797" s="11" t="str">
        <f>IF(Tabel!N800="","",IF(Tabel!Q800="","",Tabel!N800))</f>
        <v/>
      </c>
      <c r="C797" s="22" t="str">
        <f>IF(Tabel!O800="","",Tabel!S800)</f>
        <v/>
      </c>
      <c r="D797" s="11" t="str">
        <f>IF(Tabel!O800="","",IF(Tabel!S800="","",Tabel!O800))</f>
        <v/>
      </c>
      <c r="E797" s="22" t="str">
        <f>IF(Tabel!P800="","",Tabel!T800)</f>
        <v/>
      </c>
      <c r="F797" s="11" t="str">
        <f>IF(Tabel!P800="","",IF(Tabel!U800="","",Tabel!P800))</f>
        <v/>
      </c>
    </row>
    <row r="798" spans="1:6" x14ac:dyDescent="0.25">
      <c r="A798" s="22" t="str">
        <f>IF(Tabel!N801="","",Tabel!Q801)</f>
        <v/>
      </c>
      <c r="B798" s="11" t="str">
        <f>IF(Tabel!N801="","",IF(Tabel!Q801="","",Tabel!N801))</f>
        <v/>
      </c>
      <c r="C798" s="22" t="str">
        <f>IF(Tabel!O801="","",Tabel!S801)</f>
        <v/>
      </c>
      <c r="D798" s="11" t="str">
        <f>IF(Tabel!O801="","",IF(Tabel!S801="","",Tabel!O801))</f>
        <v/>
      </c>
      <c r="E798" s="22" t="str">
        <f>IF(Tabel!P801="","",Tabel!T801)</f>
        <v/>
      </c>
      <c r="F798" s="11" t="str">
        <f>IF(Tabel!P801="","",IF(Tabel!U801="","",Tabel!P801))</f>
        <v/>
      </c>
    </row>
    <row r="799" spans="1:6" x14ac:dyDescent="0.25">
      <c r="A799" s="22" t="str">
        <f>IF(Tabel!N802="","",Tabel!Q802)</f>
        <v/>
      </c>
      <c r="B799" s="11" t="str">
        <f>IF(Tabel!N802="","",IF(Tabel!Q802="","",Tabel!N802))</f>
        <v/>
      </c>
      <c r="C799" s="22" t="str">
        <f>IF(Tabel!O802="","",Tabel!S802)</f>
        <v/>
      </c>
      <c r="D799" s="11" t="str">
        <f>IF(Tabel!O802="","",IF(Tabel!S802="","",Tabel!O802))</f>
        <v/>
      </c>
      <c r="E799" s="22" t="str">
        <f>IF(Tabel!P802="","",Tabel!T802)</f>
        <v/>
      </c>
      <c r="F799" s="11" t="str">
        <f>IF(Tabel!P802="","",IF(Tabel!U802="","",Tabel!P802))</f>
        <v/>
      </c>
    </row>
    <row r="800" spans="1:6" x14ac:dyDescent="0.25">
      <c r="A800" s="22" t="str">
        <f>IF(Tabel!N803="","",Tabel!Q803)</f>
        <v/>
      </c>
      <c r="B800" s="11" t="str">
        <f>IF(Tabel!N803="","",IF(Tabel!Q803="","",Tabel!N803))</f>
        <v/>
      </c>
      <c r="C800" s="22" t="str">
        <f>IF(Tabel!O803="","",Tabel!S803)</f>
        <v/>
      </c>
      <c r="D800" s="11" t="str">
        <f>IF(Tabel!O803="","",IF(Tabel!S803="","",Tabel!O803))</f>
        <v/>
      </c>
      <c r="E800" s="22" t="str">
        <f>IF(Tabel!P803="","",Tabel!T803)</f>
        <v/>
      </c>
      <c r="F800" s="11" t="str">
        <f>IF(Tabel!P803="","",IF(Tabel!U803="","",Tabel!P803))</f>
        <v/>
      </c>
    </row>
    <row r="801" spans="1:6" x14ac:dyDescent="0.25">
      <c r="A801" s="22" t="str">
        <f>IF(Tabel!N804="","",Tabel!Q804)</f>
        <v/>
      </c>
      <c r="B801" s="11" t="str">
        <f>IF(Tabel!N804="","",IF(Tabel!Q804="","",Tabel!N804))</f>
        <v/>
      </c>
      <c r="C801" s="22" t="str">
        <f>IF(Tabel!O804="","",Tabel!S804)</f>
        <v/>
      </c>
      <c r="D801" s="11" t="str">
        <f>IF(Tabel!O804="","",IF(Tabel!S804="","",Tabel!O804))</f>
        <v/>
      </c>
      <c r="E801" s="22" t="str">
        <f>IF(Tabel!P804="","",Tabel!T804)</f>
        <v/>
      </c>
      <c r="F801" s="11" t="str">
        <f>IF(Tabel!P804="","",IF(Tabel!U804="","",Tabel!P804))</f>
        <v/>
      </c>
    </row>
    <row r="802" spans="1:6" x14ac:dyDescent="0.25">
      <c r="A802" s="22" t="str">
        <f>IF(Tabel!N805="","",Tabel!Q805)</f>
        <v/>
      </c>
      <c r="B802" s="11" t="str">
        <f>IF(Tabel!N805="","",IF(Tabel!Q805="","",Tabel!N805))</f>
        <v/>
      </c>
      <c r="C802" s="22" t="str">
        <f>IF(Tabel!O805="","",Tabel!S805)</f>
        <v/>
      </c>
      <c r="D802" s="11" t="str">
        <f>IF(Tabel!O805="","",IF(Tabel!S805="","",Tabel!O805))</f>
        <v/>
      </c>
      <c r="E802" s="22" t="str">
        <f>IF(Tabel!P805="","",Tabel!T805)</f>
        <v/>
      </c>
      <c r="F802" s="11" t="str">
        <f>IF(Tabel!P805="","",IF(Tabel!U805="","",Tabel!P805))</f>
        <v/>
      </c>
    </row>
    <row r="803" spans="1:6" x14ac:dyDescent="0.25">
      <c r="A803" s="22" t="str">
        <f>IF(Tabel!N806="","",Tabel!Q806)</f>
        <v/>
      </c>
      <c r="B803" s="11" t="str">
        <f>IF(Tabel!N806="","",IF(Tabel!Q806="","",Tabel!N806))</f>
        <v/>
      </c>
      <c r="C803" s="22" t="str">
        <f>IF(Tabel!O806="","",Tabel!S806)</f>
        <v/>
      </c>
      <c r="D803" s="11" t="str">
        <f>IF(Tabel!O806="","",IF(Tabel!S806="","",Tabel!O806))</f>
        <v/>
      </c>
      <c r="E803" s="22" t="str">
        <f>IF(Tabel!P806="","",Tabel!T806)</f>
        <v/>
      </c>
      <c r="F803" s="11" t="str">
        <f>IF(Tabel!P806="","",IF(Tabel!U806="","",Tabel!P806))</f>
        <v/>
      </c>
    </row>
    <row r="804" spans="1:6" x14ac:dyDescent="0.25">
      <c r="A804" s="22" t="str">
        <f>IF(Tabel!N807="","",Tabel!Q807)</f>
        <v/>
      </c>
      <c r="B804" s="11" t="str">
        <f>IF(Tabel!N807="","",IF(Tabel!Q807="","",Tabel!N807))</f>
        <v/>
      </c>
      <c r="C804" s="22" t="str">
        <f>IF(Tabel!O807="","",Tabel!S807)</f>
        <v/>
      </c>
      <c r="D804" s="11" t="str">
        <f>IF(Tabel!O807="","",IF(Tabel!S807="","",Tabel!O807))</f>
        <v/>
      </c>
      <c r="E804" s="22" t="str">
        <f>IF(Tabel!P807="","",Tabel!T807)</f>
        <v/>
      </c>
      <c r="F804" s="11" t="str">
        <f>IF(Tabel!P807="","",IF(Tabel!U807="","",Tabel!P807))</f>
        <v/>
      </c>
    </row>
    <row r="805" spans="1:6" x14ac:dyDescent="0.25">
      <c r="A805" s="22" t="str">
        <f>IF(Tabel!N808="","",Tabel!Q808)</f>
        <v/>
      </c>
      <c r="B805" s="11" t="str">
        <f>IF(Tabel!N808="","",IF(Tabel!Q808="","",Tabel!N808))</f>
        <v/>
      </c>
      <c r="C805" s="22" t="str">
        <f>IF(Tabel!O808="","",Tabel!S808)</f>
        <v/>
      </c>
      <c r="D805" s="11" t="str">
        <f>IF(Tabel!O808="","",IF(Tabel!S808="","",Tabel!O808))</f>
        <v/>
      </c>
      <c r="E805" s="22" t="str">
        <f>IF(Tabel!P808="","",Tabel!T808)</f>
        <v/>
      </c>
      <c r="F805" s="11" t="str">
        <f>IF(Tabel!P808="","",IF(Tabel!U808="","",Tabel!P808))</f>
        <v/>
      </c>
    </row>
    <row r="806" spans="1:6" x14ac:dyDescent="0.25">
      <c r="A806" s="22" t="str">
        <f>IF(Tabel!N809="","",Tabel!Q809)</f>
        <v/>
      </c>
      <c r="B806" s="11" t="str">
        <f>IF(Tabel!N809="","",IF(Tabel!Q809="","",Tabel!N809))</f>
        <v/>
      </c>
      <c r="C806" s="22" t="str">
        <f>IF(Tabel!O809="","",Tabel!S809)</f>
        <v/>
      </c>
      <c r="D806" s="11" t="str">
        <f>IF(Tabel!O809="","",IF(Tabel!S809="","",Tabel!O809))</f>
        <v/>
      </c>
      <c r="E806" s="22" t="str">
        <f>IF(Tabel!P809="","",Tabel!T809)</f>
        <v/>
      </c>
      <c r="F806" s="11" t="str">
        <f>IF(Tabel!P809="","",IF(Tabel!U809="","",Tabel!P809))</f>
        <v/>
      </c>
    </row>
    <row r="807" spans="1:6" x14ac:dyDescent="0.25">
      <c r="A807" s="22" t="str">
        <f>IF(Tabel!N810="","",Tabel!Q810)</f>
        <v/>
      </c>
      <c r="B807" s="11" t="str">
        <f>IF(Tabel!N810="","",IF(Tabel!Q810="","",Tabel!N810))</f>
        <v/>
      </c>
      <c r="C807" s="22" t="str">
        <f>IF(Tabel!O810="","",Tabel!S810)</f>
        <v/>
      </c>
      <c r="D807" s="11" t="str">
        <f>IF(Tabel!O810="","",IF(Tabel!S810="","",Tabel!O810))</f>
        <v/>
      </c>
      <c r="E807" s="22" t="str">
        <f>IF(Tabel!P810="","",Tabel!T810)</f>
        <v/>
      </c>
      <c r="F807" s="11" t="str">
        <f>IF(Tabel!P810="","",IF(Tabel!U810="","",Tabel!P810))</f>
        <v/>
      </c>
    </row>
    <row r="808" spans="1:6" x14ac:dyDescent="0.25">
      <c r="A808" s="22" t="str">
        <f>IF(Tabel!N811="","",Tabel!Q811)</f>
        <v/>
      </c>
      <c r="B808" s="11" t="str">
        <f>IF(Tabel!N811="","",IF(Tabel!Q811="","",Tabel!N811))</f>
        <v/>
      </c>
      <c r="C808" s="22" t="str">
        <f>IF(Tabel!O811="","",Tabel!S811)</f>
        <v/>
      </c>
      <c r="D808" s="11" t="str">
        <f>IF(Tabel!O811="","",IF(Tabel!S811="","",Tabel!O811))</f>
        <v/>
      </c>
      <c r="E808" s="22" t="str">
        <f>IF(Tabel!P811="","",Tabel!T811)</f>
        <v/>
      </c>
      <c r="F808" s="11" t="str">
        <f>IF(Tabel!P811="","",IF(Tabel!U811="","",Tabel!P811))</f>
        <v/>
      </c>
    </row>
    <row r="809" spans="1:6" x14ac:dyDescent="0.25">
      <c r="A809" s="22" t="str">
        <f>IF(Tabel!N812="","",Tabel!Q812)</f>
        <v/>
      </c>
      <c r="B809" s="11" t="str">
        <f>IF(Tabel!N812="","",IF(Tabel!Q812="","",Tabel!N812))</f>
        <v/>
      </c>
      <c r="C809" s="22" t="str">
        <f>IF(Tabel!O812="","",Tabel!S812)</f>
        <v/>
      </c>
      <c r="D809" s="11" t="str">
        <f>IF(Tabel!O812="","",IF(Tabel!S812="","",Tabel!O812))</f>
        <v/>
      </c>
      <c r="E809" s="22" t="str">
        <f>IF(Tabel!P812="","",Tabel!T812)</f>
        <v/>
      </c>
      <c r="F809" s="11" t="str">
        <f>IF(Tabel!P812="","",IF(Tabel!U812="","",Tabel!P812))</f>
        <v/>
      </c>
    </row>
    <row r="810" spans="1:6" x14ac:dyDescent="0.25">
      <c r="A810" s="22" t="str">
        <f>IF(Tabel!N813="","",Tabel!Q813)</f>
        <v/>
      </c>
      <c r="B810" s="11" t="str">
        <f>IF(Tabel!N813="","",IF(Tabel!Q813="","",Tabel!N813))</f>
        <v/>
      </c>
      <c r="C810" s="22" t="str">
        <f>IF(Tabel!O813="","",Tabel!S813)</f>
        <v/>
      </c>
      <c r="D810" s="11" t="str">
        <f>IF(Tabel!O813="","",IF(Tabel!S813="","",Tabel!O813))</f>
        <v/>
      </c>
      <c r="E810" s="22" t="str">
        <f>IF(Tabel!P813="","",Tabel!T813)</f>
        <v/>
      </c>
      <c r="F810" s="11" t="str">
        <f>IF(Tabel!P813="","",IF(Tabel!U813="","",Tabel!P813))</f>
        <v/>
      </c>
    </row>
    <row r="811" spans="1:6" x14ac:dyDescent="0.25">
      <c r="A811" s="22" t="str">
        <f>IF(Tabel!N814="","",Tabel!Q814)</f>
        <v/>
      </c>
      <c r="B811" s="11" t="str">
        <f>IF(Tabel!N814="","",IF(Tabel!Q814="","",Tabel!N814))</f>
        <v/>
      </c>
      <c r="C811" s="22" t="str">
        <f>IF(Tabel!O814="","",Tabel!S814)</f>
        <v/>
      </c>
      <c r="D811" s="11" t="str">
        <f>IF(Tabel!O814="","",IF(Tabel!S814="","",Tabel!O814))</f>
        <v/>
      </c>
      <c r="E811" s="22" t="str">
        <f>IF(Tabel!P814="","",Tabel!T814)</f>
        <v/>
      </c>
      <c r="F811" s="11" t="str">
        <f>IF(Tabel!P814="","",IF(Tabel!U814="","",Tabel!P814))</f>
        <v/>
      </c>
    </row>
    <row r="812" spans="1:6" x14ac:dyDescent="0.25">
      <c r="A812" s="22" t="str">
        <f>IF(Tabel!N815="","",Tabel!Q815)</f>
        <v/>
      </c>
      <c r="B812" s="11" t="str">
        <f>IF(Tabel!N815="","",IF(Tabel!Q815="","",Tabel!N815))</f>
        <v/>
      </c>
      <c r="C812" s="22" t="str">
        <f>IF(Tabel!O815="","",Tabel!S815)</f>
        <v/>
      </c>
      <c r="D812" s="11" t="str">
        <f>IF(Tabel!O815="","",IF(Tabel!S815="","",Tabel!O815))</f>
        <v/>
      </c>
      <c r="E812" s="22" t="str">
        <f>IF(Tabel!P815="","",Tabel!T815)</f>
        <v/>
      </c>
      <c r="F812" s="11" t="str">
        <f>IF(Tabel!P815="","",IF(Tabel!U815="","",Tabel!P815))</f>
        <v/>
      </c>
    </row>
    <row r="813" spans="1:6" x14ac:dyDescent="0.25">
      <c r="A813" s="22" t="str">
        <f>IF(Tabel!N816="","",Tabel!Q816)</f>
        <v/>
      </c>
      <c r="B813" s="11" t="str">
        <f>IF(Tabel!N816="","",IF(Tabel!Q816="","",Tabel!N816))</f>
        <v/>
      </c>
      <c r="C813" s="22" t="str">
        <f>IF(Tabel!O816="","",Tabel!S816)</f>
        <v/>
      </c>
      <c r="D813" s="11" t="str">
        <f>IF(Tabel!O816="","",IF(Tabel!S816="","",Tabel!O816))</f>
        <v/>
      </c>
      <c r="E813" s="22" t="str">
        <f>IF(Tabel!P816="","",Tabel!T816)</f>
        <v/>
      </c>
      <c r="F813" s="11" t="str">
        <f>IF(Tabel!P816="","",IF(Tabel!U816="","",Tabel!P816))</f>
        <v/>
      </c>
    </row>
    <row r="814" spans="1:6" x14ac:dyDescent="0.25">
      <c r="A814" s="22" t="str">
        <f>IF(Tabel!N817="","",Tabel!Q817)</f>
        <v/>
      </c>
      <c r="B814" s="11" t="str">
        <f>IF(Tabel!N817="","",IF(Tabel!Q817="","",Tabel!N817))</f>
        <v/>
      </c>
      <c r="C814" s="22" t="str">
        <f>IF(Tabel!O817="","",Tabel!S817)</f>
        <v/>
      </c>
      <c r="D814" s="11" t="str">
        <f>IF(Tabel!O817="","",IF(Tabel!S817="","",Tabel!O817))</f>
        <v/>
      </c>
      <c r="E814" s="22" t="str">
        <f>IF(Tabel!P817="","",Tabel!T817)</f>
        <v/>
      </c>
      <c r="F814" s="11" t="str">
        <f>IF(Tabel!P817="","",IF(Tabel!U817="","",Tabel!P817))</f>
        <v/>
      </c>
    </row>
    <row r="815" spans="1:6" x14ac:dyDescent="0.25">
      <c r="A815" s="22" t="str">
        <f>IF(Tabel!N818="","",Tabel!Q818)</f>
        <v/>
      </c>
      <c r="B815" s="11" t="str">
        <f>IF(Tabel!N818="","",IF(Tabel!Q818="","",Tabel!N818))</f>
        <v/>
      </c>
      <c r="C815" s="22" t="str">
        <f>IF(Tabel!O818="","",Tabel!S818)</f>
        <v/>
      </c>
      <c r="D815" s="11" t="str">
        <f>IF(Tabel!O818="","",IF(Tabel!S818="","",Tabel!O818))</f>
        <v/>
      </c>
      <c r="E815" s="22" t="str">
        <f>IF(Tabel!P818="","",Tabel!T818)</f>
        <v/>
      </c>
      <c r="F815" s="11" t="str">
        <f>IF(Tabel!P818="","",IF(Tabel!U818="","",Tabel!P818))</f>
        <v/>
      </c>
    </row>
    <row r="816" spans="1:6" x14ac:dyDescent="0.25">
      <c r="A816" s="22" t="str">
        <f>IF(Tabel!N819="","",Tabel!Q819)</f>
        <v/>
      </c>
      <c r="B816" s="11" t="str">
        <f>IF(Tabel!N819="","",IF(Tabel!Q819="","",Tabel!N819))</f>
        <v/>
      </c>
      <c r="C816" s="22" t="str">
        <f>IF(Tabel!O819="","",Tabel!S819)</f>
        <v/>
      </c>
      <c r="D816" s="11" t="str">
        <f>IF(Tabel!O819="","",IF(Tabel!S819="","",Tabel!O819))</f>
        <v/>
      </c>
      <c r="E816" s="22" t="str">
        <f>IF(Tabel!P819="","",Tabel!T819)</f>
        <v/>
      </c>
      <c r="F816" s="11" t="str">
        <f>IF(Tabel!P819="","",IF(Tabel!U819="","",Tabel!P819))</f>
        <v/>
      </c>
    </row>
    <row r="817" spans="1:6" x14ac:dyDescent="0.25">
      <c r="A817" s="22" t="str">
        <f>IF(Tabel!N820="","",Tabel!Q820)</f>
        <v/>
      </c>
      <c r="B817" s="11" t="str">
        <f>IF(Tabel!N820="","",IF(Tabel!Q820="","",Tabel!N820))</f>
        <v/>
      </c>
      <c r="C817" s="22" t="str">
        <f>IF(Tabel!O820="","",Tabel!S820)</f>
        <v/>
      </c>
      <c r="D817" s="11" t="str">
        <f>IF(Tabel!O820="","",IF(Tabel!S820="","",Tabel!O820))</f>
        <v/>
      </c>
      <c r="E817" s="22" t="str">
        <f>IF(Tabel!P820="","",Tabel!T820)</f>
        <v/>
      </c>
      <c r="F817" s="11" t="str">
        <f>IF(Tabel!P820="","",IF(Tabel!U820="","",Tabel!P820))</f>
        <v/>
      </c>
    </row>
    <row r="818" spans="1:6" x14ac:dyDescent="0.25">
      <c r="A818" s="22" t="str">
        <f>IF(Tabel!N821="","",Tabel!Q821)</f>
        <v/>
      </c>
      <c r="B818" s="11" t="str">
        <f>IF(Tabel!N821="","",IF(Tabel!Q821="","",Tabel!N821))</f>
        <v/>
      </c>
      <c r="C818" s="22" t="str">
        <f>IF(Tabel!O821="","",Tabel!S821)</f>
        <v/>
      </c>
      <c r="D818" s="11" t="str">
        <f>IF(Tabel!O821="","",IF(Tabel!S821="","",Tabel!O821))</f>
        <v/>
      </c>
      <c r="E818" s="22" t="str">
        <f>IF(Tabel!P821="","",Tabel!T821)</f>
        <v/>
      </c>
      <c r="F818" s="11" t="str">
        <f>IF(Tabel!P821="","",IF(Tabel!U821="","",Tabel!P821))</f>
        <v/>
      </c>
    </row>
    <row r="819" spans="1:6" x14ac:dyDescent="0.25">
      <c r="A819" s="22" t="str">
        <f>IF(Tabel!N822="","",Tabel!Q822)</f>
        <v/>
      </c>
      <c r="B819" s="11" t="str">
        <f>IF(Tabel!N822="","",IF(Tabel!Q822="","",Tabel!N822))</f>
        <v/>
      </c>
      <c r="C819" s="22" t="str">
        <f>IF(Tabel!O822="","",Tabel!S822)</f>
        <v/>
      </c>
      <c r="D819" s="11" t="str">
        <f>IF(Tabel!O822="","",IF(Tabel!S822="","",Tabel!O822))</f>
        <v/>
      </c>
      <c r="E819" s="22" t="str">
        <f>IF(Tabel!P822="","",Tabel!T822)</f>
        <v/>
      </c>
      <c r="F819" s="11" t="str">
        <f>IF(Tabel!P822="","",IF(Tabel!U822="","",Tabel!P822))</f>
        <v/>
      </c>
    </row>
    <row r="820" spans="1:6" x14ac:dyDescent="0.25">
      <c r="A820" s="22" t="str">
        <f>IF(Tabel!N823="","",Tabel!Q823)</f>
        <v/>
      </c>
      <c r="B820" s="11" t="str">
        <f>IF(Tabel!N823="","",IF(Tabel!Q823="","",Tabel!N823))</f>
        <v/>
      </c>
      <c r="C820" s="22" t="str">
        <f>IF(Tabel!O823="","",Tabel!S823)</f>
        <v/>
      </c>
      <c r="D820" s="11" t="str">
        <f>IF(Tabel!O823="","",IF(Tabel!S823="","",Tabel!O823))</f>
        <v/>
      </c>
      <c r="E820" s="22" t="str">
        <f>IF(Tabel!P823="","",Tabel!T823)</f>
        <v/>
      </c>
      <c r="F820" s="11" t="str">
        <f>IF(Tabel!P823="","",IF(Tabel!U823="","",Tabel!P823))</f>
        <v/>
      </c>
    </row>
    <row r="821" spans="1:6" x14ac:dyDescent="0.25">
      <c r="A821" s="22" t="str">
        <f>IF(Tabel!N824="","",Tabel!Q824)</f>
        <v/>
      </c>
      <c r="B821" s="11" t="str">
        <f>IF(Tabel!N824="","",IF(Tabel!Q824="","",Tabel!N824))</f>
        <v/>
      </c>
      <c r="C821" s="22" t="str">
        <f>IF(Tabel!O824="","",Tabel!S824)</f>
        <v/>
      </c>
      <c r="D821" s="11" t="str">
        <f>IF(Tabel!O824="","",IF(Tabel!S824="","",Tabel!O824))</f>
        <v/>
      </c>
      <c r="E821" s="22" t="str">
        <f>IF(Tabel!P824="","",Tabel!T824)</f>
        <v/>
      </c>
      <c r="F821" s="11" t="str">
        <f>IF(Tabel!P824="","",IF(Tabel!U824="","",Tabel!P824))</f>
        <v/>
      </c>
    </row>
    <row r="822" spans="1:6" x14ac:dyDescent="0.25">
      <c r="A822" s="22" t="str">
        <f>IF(Tabel!N825="","",Tabel!Q825)</f>
        <v/>
      </c>
      <c r="B822" s="11" t="str">
        <f>IF(Tabel!N825="","",IF(Tabel!Q825="","",Tabel!N825))</f>
        <v/>
      </c>
      <c r="C822" s="22" t="str">
        <f>IF(Tabel!O825="","",Tabel!S825)</f>
        <v/>
      </c>
      <c r="D822" s="11" t="str">
        <f>IF(Tabel!O825="","",IF(Tabel!S825="","",Tabel!O825))</f>
        <v/>
      </c>
      <c r="E822" s="22" t="str">
        <f>IF(Tabel!P825="","",Tabel!T825)</f>
        <v/>
      </c>
      <c r="F822" s="11" t="str">
        <f>IF(Tabel!P825="","",IF(Tabel!U825="","",Tabel!P825))</f>
        <v/>
      </c>
    </row>
    <row r="823" spans="1:6" x14ac:dyDescent="0.25">
      <c r="A823" s="22" t="str">
        <f>IF(Tabel!N826="","",Tabel!Q826)</f>
        <v/>
      </c>
      <c r="B823" s="11" t="str">
        <f>IF(Tabel!N826="","",IF(Tabel!Q826="","",Tabel!N826))</f>
        <v/>
      </c>
      <c r="C823" s="22" t="str">
        <f>IF(Tabel!O826="","",Tabel!S826)</f>
        <v/>
      </c>
      <c r="D823" s="11" t="str">
        <f>IF(Tabel!O826="","",IF(Tabel!S826="","",Tabel!O826))</f>
        <v/>
      </c>
      <c r="E823" s="22" t="str">
        <f>IF(Tabel!P826="","",Tabel!T826)</f>
        <v/>
      </c>
      <c r="F823" s="11" t="str">
        <f>IF(Tabel!P826="","",IF(Tabel!U826="","",Tabel!P826))</f>
        <v/>
      </c>
    </row>
    <row r="824" spans="1:6" x14ac:dyDescent="0.25">
      <c r="A824" s="22" t="str">
        <f>IF(Tabel!N827="","",Tabel!Q827)</f>
        <v/>
      </c>
      <c r="B824" s="11" t="str">
        <f>IF(Tabel!N827="","",IF(Tabel!Q827="","",Tabel!N827))</f>
        <v/>
      </c>
      <c r="C824" s="22" t="str">
        <f>IF(Tabel!O827="","",Tabel!S827)</f>
        <v/>
      </c>
      <c r="D824" s="11" t="str">
        <f>IF(Tabel!O827="","",IF(Tabel!S827="","",Tabel!O827))</f>
        <v/>
      </c>
      <c r="E824" s="22" t="str">
        <f>IF(Tabel!P827="","",Tabel!T827)</f>
        <v/>
      </c>
      <c r="F824" s="11" t="str">
        <f>IF(Tabel!P827="","",IF(Tabel!U827="","",Tabel!P827))</f>
        <v/>
      </c>
    </row>
    <row r="825" spans="1:6" x14ac:dyDescent="0.25">
      <c r="A825" s="22" t="str">
        <f>IF(Tabel!N828="","",Tabel!Q828)</f>
        <v/>
      </c>
      <c r="B825" s="11" t="str">
        <f>IF(Tabel!N828="","",IF(Tabel!Q828="","",Tabel!N828))</f>
        <v/>
      </c>
      <c r="C825" s="22" t="str">
        <f>IF(Tabel!O828="","",Tabel!S828)</f>
        <v/>
      </c>
      <c r="D825" s="11" t="str">
        <f>IF(Tabel!O828="","",IF(Tabel!S828="","",Tabel!O828))</f>
        <v/>
      </c>
      <c r="E825" s="22" t="str">
        <f>IF(Tabel!P828="","",Tabel!T828)</f>
        <v/>
      </c>
      <c r="F825" s="11" t="str">
        <f>IF(Tabel!P828="","",IF(Tabel!U828="","",Tabel!P828))</f>
        <v/>
      </c>
    </row>
    <row r="826" spans="1:6" x14ac:dyDescent="0.25">
      <c r="A826" s="22" t="str">
        <f>IF(Tabel!N829="","",Tabel!Q829)</f>
        <v/>
      </c>
      <c r="B826" s="11" t="str">
        <f>IF(Tabel!N829="","",IF(Tabel!Q829="","",Tabel!N829))</f>
        <v/>
      </c>
      <c r="C826" s="22" t="str">
        <f>IF(Tabel!O829="","",Tabel!S829)</f>
        <v/>
      </c>
      <c r="D826" s="11" t="str">
        <f>IF(Tabel!O829="","",IF(Tabel!S829="","",Tabel!O829))</f>
        <v/>
      </c>
      <c r="E826" s="22" t="str">
        <f>IF(Tabel!P829="","",Tabel!T829)</f>
        <v/>
      </c>
      <c r="F826" s="11" t="str">
        <f>IF(Tabel!P829="","",IF(Tabel!U829="","",Tabel!P829))</f>
        <v/>
      </c>
    </row>
    <row r="827" spans="1:6" x14ac:dyDescent="0.25">
      <c r="A827" s="22" t="str">
        <f>IF(Tabel!N830="","",Tabel!Q830)</f>
        <v/>
      </c>
      <c r="B827" s="11" t="str">
        <f>IF(Tabel!N830="","",IF(Tabel!Q830="","",Tabel!N830))</f>
        <v/>
      </c>
      <c r="C827" s="22" t="str">
        <f>IF(Tabel!O830="","",Tabel!S830)</f>
        <v/>
      </c>
      <c r="D827" s="11" t="str">
        <f>IF(Tabel!O830="","",IF(Tabel!S830="","",Tabel!O830))</f>
        <v/>
      </c>
      <c r="E827" s="22" t="str">
        <f>IF(Tabel!P830="","",Tabel!T830)</f>
        <v/>
      </c>
      <c r="F827" s="11" t="str">
        <f>IF(Tabel!P830="","",IF(Tabel!U830="","",Tabel!P830))</f>
        <v/>
      </c>
    </row>
    <row r="828" spans="1:6" x14ac:dyDescent="0.25">
      <c r="A828" s="22" t="str">
        <f>IF(Tabel!N831="","",Tabel!Q831)</f>
        <v/>
      </c>
      <c r="B828" s="11" t="str">
        <f>IF(Tabel!N831="","",IF(Tabel!Q831="","",Tabel!N831))</f>
        <v/>
      </c>
      <c r="C828" s="22" t="str">
        <f>IF(Tabel!O831="","",Tabel!S831)</f>
        <v/>
      </c>
      <c r="D828" s="11" t="str">
        <f>IF(Tabel!O831="","",IF(Tabel!S831="","",Tabel!O831))</f>
        <v/>
      </c>
      <c r="E828" s="22" t="str">
        <f>IF(Tabel!P831="","",Tabel!T831)</f>
        <v/>
      </c>
      <c r="F828" s="11" t="str">
        <f>IF(Tabel!P831="","",IF(Tabel!U831="","",Tabel!P831))</f>
        <v/>
      </c>
    </row>
    <row r="829" spans="1:6" x14ac:dyDescent="0.25">
      <c r="A829" s="22" t="str">
        <f>IF(Tabel!N832="","",Tabel!Q832)</f>
        <v/>
      </c>
      <c r="B829" s="11" t="str">
        <f>IF(Tabel!N832="","",IF(Tabel!Q832="","",Tabel!N832))</f>
        <v/>
      </c>
      <c r="C829" s="22" t="str">
        <f>IF(Tabel!O832="","",Tabel!S832)</f>
        <v/>
      </c>
      <c r="D829" s="11" t="str">
        <f>IF(Tabel!O832="","",IF(Tabel!S832="","",Tabel!O832))</f>
        <v/>
      </c>
      <c r="E829" s="22" t="str">
        <f>IF(Tabel!P832="","",Tabel!T832)</f>
        <v/>
      </c>
      <c r="F829" s="11" t="str">
        <f>IF(Tabel!P832="","",IF(Tabel!U832="","",Tabel!P832))</f>
        <v/>
      </c>
    </row>
    <row r="830" spans="1:6" x14ac:dyDescent="0.25">
      <c r="A830" s="22" t="str">
        <f>IF(Tabel!N833="","",Tabel!Q833)</f>
        <v/>
      </c>
      <c r="B830" s="11" t="str">
        <f>IF(Tabel!N833="","",IF(Tabel!Q833="","",Tabel!N833))</f>
        <v/>
      </c>
      <c r="C830" s="22" t="str">
        <f>IF(Tabel!O833="","",Tabel!S833)</f>
        <v/>
      </c>
      <c r="D830" s="11" t="str">
        <f>IF(Tabel!O833="","",IF(Tabel!S833="","",Tabel!O833))</f>
        <v/>
      </c>
      <c r="E830" s="22" t="str">
        <f>IF(Tabel!P833="","",Tabel!T833)</f>
        <v/>
      </c>
      <c r="F830" s="11" t="str">
        <f>IF(Tabel!P833="","",IF(Tabel!U833="","",Tabel!P833))</f>
        <v/>
      </c>
    </row>
    <row r="831" spans="1:6" x14ac:dyDescent="0.25">
      <c r="A831" s="22" t="str">
        <f>IF(Tabel!N834="","",Tabel!Q834)</f>
        <v/>
      </c>
      <c r="B831" s="11" t="str">
        <f>IF(Tabel!N834="","",IF(Tabel!Q834="","",Tabel!N834))</f>
        <v/>
      </c>
      <c r="C831" s="22" t="str">
        <f>IF(Tabel!O834="","",Tabel!S834)</f>
        <v/>
      </c>
      <c r="D831" s="11" t="str">
        <f>IF(Tabel!O834="","",IF(Tabel!S834="","",Tabel!O834))</f>
        <v/>
      </c>
      <c r="E831" s="22" t="str">
        <f>IF(Tabel!P834="","",Tabel!T834)</f>
        <v/>
      </c>
      <c r="F831" s="11" t="str">
        <f>IF(Tabel!P834="","",IF(Tabel!U834="","",Tabel!P834))</f>
        <v/>
      </c>
    </row>
    <row r="832" spans="1:6" x14ac:dyDescent="0.25">
      <c r="A832" s="22" t="str">
        <f>IF(Tabel!N835="","",Tabel!Q835)</f>
        <v/>
      </c>
      <c r="B832" s="11" t="str">
        <f>IF(Tabel!N835="","",IF(Tabel!Q835="","",Tabel!N835))</f>
        <v/>
      </c>
      <c r="C832" s="22" t="str">
        <f>IF(Tabel!O835="","",Tabel!S835)</f>
        <v/>
      </c>
      <c r="D832" s="11" t="str">
        <f>IF(Tabel!O835="","",IF(Tabel!S835="","",Tabel!O835))</f>
        <v/>
      </c>
      <c r="E832" s="22" t="str">
        <f>IF(Tabel!P835="","",Tabel!T835)</f>
        <v/>
      </c>
      <c r="F832" s="11" t="str">
        <f>IF(Tabel!P835="","",IF(Tabel!U835="","",Tabel!P835))</f>
        <v/>
      </c>
    </row>
    <row r="833" spans="1:6" x14ac:dyDescent="0.25">
      <c r="A833" s="22" t="str">
        <f>IF(Tabel!N836="","",Tabel!Q836)</f>
        <v/>
      </c>
      <c r="B833" s="11" t="str">
        <f>IF(Tabel!N836="","",IF(Tabel!Q836="","",Tabel!N836))</f>
        <v/>
      </c>
      <c r="C833" s="22" t="str">
        <f>IF(Tabel!O836="","",Tabel!S836)</f>
        <v/>
      </c>
      <c r="D833" s="11" t="str">
        <f>IF(Tabel!O836="","",IF(Tabel!S836="","",Tabel!O836))</f>
        <v/>
      </c>
      <c r="E833" s="22" t="str">
        <f>IF(Tabel!P836="","",Tabel!T836)</f>
        <v/>
      </c>
      <c r="F833" s="11" t="str">
        <f>IF(Tabel!P836="","",IF(Tabel!U836="","",Tabel!P836))</f>
        <v/>
      </c>
    </row>
    <row r="834" spans="1:6" x14ac:dyDescent="0.25">
      <c r="A834" s="22" t="str">
        <f>IF(Tabel!N837="","",Tabel!Q837)</f>
        <v/>
      </c>
      <c r="B834" s="11" t="str">
        <f>IF(Tabel!N837="","",IF(Tabel!Q837="","",Tabel!N837))</f>
        <v/>
      </c>
      <c r="C834" s="22" t="str">
        <f>IF(Tabel!O837="","",Tabel!S837)</f>
        <v/>
      </c>
      <c r="D834" s="11" t="str">
        <f>IF(Tabel!O837="","",IF(Tabel!S837="","",Tabel!O837))</f>
        <v/>
      </c>
      <c r="E834" s="22" t="str">
        <f>IF(Tabel!P837="","",Tabel!T837)</f>
        <v/>
      </c>
      <c r="F834" s="11" t="str">
        <f>IF(Tabel!P837="","",IF(Tabel!U837="","",Tabel!P837))</f>
        <v/>
      </c>
    </row>
    <row r="835" spans="1:6" x14ac:dyDescent="0.25">
      <c r="A835" s="22" t="str">
        <f>IF(Tabel!N838="","",Tabel!Q838)</f>
        <v/>
      </c>
      <c r="B835" s="11" t="str">
        <f>IF(Tabel!N838="","",IF(Tabel!Q838="","",Tabel!N838))</f>
        <v/>
      </c>
      <c r="C835" s="22" t="str">
        <f>IF(Tabel!O838="","",Tabel!S838)</f>
        <v/>
      </c>
      <c r="D835" s="11" t="str">
        <f>IF(Tabel!O838="","",IF(Tabel!S838="","",Tabel!O838))</f>
        <v/>
      </c>
      <c r="E835" s="22" t="str">
        <f>IF(Tabel!P838="","",Tabel!T838)</f>
        <v/>
      </c>
      <c r="F835" s="11" t="str">
        <f>IF(Tabel!P838="","",IF(Tabel!U838="","",Tabel!P838))</f>
        <v/>
      </c>
    </row>
    <row r="836" spans="1:6" x14ac:dyDescent="0.25">
      <c r="A836" s="22" t="str">
        <f>IF(Tabel!N839="","",Tabel!Q839)</f>
        <v/>
      </c>
      <c r="B836" s="11" t="str">
        <f>IF(Tabel!N839="","",IF(Tabel!Q839="","",Tabel!N839))</f>
        <v/>
      </c>
      <c r="C836" s="22" t="str">
        <f>IF(Tabel!O839="","",Tabel!S839)</f>
        <v/>
      </c>
      <c r="D836" s="11" t="str">
        <f>IF(Tabel!O839="","",IF(Tabel!S839="","",Tabel!O839))</f>
        <v/>
      </c>
      <c r="E836" s="22" t="str">
        <f>IF(Tabel!P839="","",Tabel!T839)</f>
        <v/>
      </c>
      <c r="F836" s="11" t="str">
        <f>IF(Tabel!P839="","",IF(Tabel!U839="","",Tabel!P839))</f>
        <v/>
      </c>
    </row>
    <row r="837" spans="1:6" x14ac:dyDescent="0.25">
      <c r="A837" s="22" t="str">
        <f>IF(Tabel!N840="","",Tabel!Q840)</f>
        <v/>
      </c>
      <c r="B837" s="11" t="str">
        <f>IF(Tabel!N840="","",IF(Tabel!Q840="","",Tabel!N840))</f>
        <v/>
      </c>
      <c r="C837" s="22" t="str">
        <f>IF(Tabel!O840="","",Tabel!S840)</f>
        <v/>
      </c>
      <c r="D837" s="11" t="str">
        <f>IF(Tabel!O840="","",IF(Tabel!S840="","",Tabel!O840))</f>
        <v/>
      </c>
      <c r="E837" s="22" t="str">
        <f>IF(Tabel!P840="","",Tabel!T840)</f>
        <v/>
      </c>
      <c r="F837" s="11" t="str">
        <f>IF(Tabel!P840="","",IF(Tabel!U840="","",Tabel!P840))</f>
        <v/>
      </c>
    </row>
    <row r="838" spans="1:6" x14ac:dyDescent="0.25">
      <c r="A838" s="22" t="str">
        <f>IF(Tabel!N841="","",Tabel!Q841)</f>
        <v/>
      </c>
      <c r="B838" s="11" t="str">
        <f>IF(Tabel!N841="","",IF(Tabel!Q841="","",Tabel!N841))</f>
        <v/>
      </c>
      <c r="C838" s="22" t="str">
        <f>IF(Tabel!O841="","",Tabel!S841)</f>
        <v/>
      </c>
      <c r="D838" s="11" t="str">
        <f>IF(Tabel!O841="","",IF(Tabel!S841="","",Tabel!O841))</f>
        <v/>
      </c>
      <c r="E838" s="22" t="str">
        <f>IF(Tabel!P841="","",Tabel!T841)</f>
        <v/>
      </c>
      <c r="F838" s="11" t="str">
        <f>IF(Tabel!P841="","",IF(Tabel!U841="","",Tabel!P841))</f>
        <v/>
      </c>
    </row>
    <row r="839" spans="1:6" x14ac:dyDescent="0.25">
      <c r="A839" s="22" t="str">
        <f>IF(Tabel!N842="","",Tabel!Q842)</f>
        <v/>
      </c>
      <c r="B839" s="11" t="str">
        <f>IF(Tabel!N842="","",IF(Tabel!Q842="","",Tabel!N842))</f>
        <v/>
      </c>
      <c r="C839" s="22" t="str">
        <f>IF(Tabel!O842="","",Tabel!S842)</f>
        <v/>
      </c>
      <c r="D839" s="11" t="str">
        <f>IF(Tabel!O842="","",IF(Tabel!S842="","",Tabel!O842))</f>
        <v/>
      </c>
      <c r="E839" s="22" t="str">
        <f>IF(Tabel!P842="","",Tabel!T842)</f>
        <v/>
      </c>
      <c r="F839" s="11" t="str">
        <f>IF(Tabel!P842="","",IF(Tabel!U842="","",Tabel!P842))</f>
        <v/>
      </c>
    </row>
    <row r="840" spans="1:6" x14ac:dyDescent="0.25">
      <c r="A840" s="22" t="str">
        <f>IF(Tabel!N843="","",Tabel!Q843)</f>
        <v/>
      </c>
      <c r="B840" s="11" t="str">
        <f>IF(Tabel!N843="","",IF(Tabel!Q843="","",Tabel!N843))</f>
        <v/>
      </c>
      <c r="C840" s="22" t="str">
        <f>IF(Tabel!O843="","",Tabel!S843)</f>
        <v/>
      </c>
      <c r="D840" s="11" t="str">
        <f>IF(Tabel!O843="","",IF(Tabel!S843="","",Tabel!O843))</f>
        <v/>
      </c>
      <c r="E840" s="22" t="str">
        <f>IF(Tabel!P843="","",Tabel!T843)</f>
        <v/>
      </c>
      <c r="F840" s="11" t="str">
        <f>IF(Tabel!P843="","",IF(Tabel!U843="","",Tabel!P843))</f>
        <v/>
      </c>
    </row>
    <row r="841" spans="1:6" x14ac:dyDescent="0.25">
      <c r="A841" s="22" t="str">
        <f>IF(Tabel!N844="","",Tabel!Q844)</f>
        <v/>
      </c>
      <c r="B841" s="11" t="str">
        <f>IF(Tabel!N844="","",IF(Tabel!Q844="","",Tabel!N844))</f>
        <v/>
      </c>
      <c r="C841" s="22" t="str">
        <f>IF(Tabel!O844="","",Tabel!S844)</f>
        <v/>
      </c>
      <c r="D841" s="11" t="str">
        <f>IF(Tabel!O844="","",IF(Tabel!S844="","",Tabel!O844))</f>
        <v/>
      </c>
      <c r="E841" s="22" t="str">
        <f>IF(Tabel!P844="","",Tabel!T844)</f>
        <v/>
      </c>
      <c r="F841" s="11" t="str">
        <f>IF(Tabel!P844="","",IF(Tabel!U844="","",Tabel!P844))</f>
        <v/>
      </c>
    </row>
    <row r="842" spans="1:6" x14ac:dyDescent="0.25">
      <c r="A842" s="22" t="str">
        <f>IF(Tabel!N845="","",Tabel!Q845)</f>
        <v/>
      </c>
      <c r="B842" s="11" t="str">
        <f>IF(Tabel!N845="","",IF(Tabel!Q845="","",Tabel!N845))</f>
        <v/>
      </c>
      <c r="C842" s="22" t="str">
        <f>IF(Tabel!O845="","",Tabel!S845)</f>
        <v/>
      </c>
      <c r="D842" s="11" t="str">
        <f>IF(Tabel!O845="","",IF(Tabel!S845="","",Tabel!O845))</f>
        <v/>
      </c>
      <c r="E842" s="22" t="str">
        <f>IF(Tabel!P845="","",Tabel!T845)</f>
        <v/>
      </c>
      <c r="F842" s="11" t="str">
        <f>IF(Tabel!P845="","",IF(Tabel!U845="","",Tabel!P845))</f>
        <v/>
      </c>
    </row>
    <row r="843" spans="1:6" x14ac:dyDescent="0.25">
      <c r="A843" s="22" t="str">
        <f>IF(Tabel!N846="","",Tabel!Q846)</f>
        <v/>
      </c>
      <c r="B843" s="11" t="str">
        <f>IF(Tabel!N846="","",IF(Tabel!Q846="","",Tabel!N846))</f>
        <v/>
      </c>
      <c r="C843" s="22" t="str">
        <f>IF(Tabel!O846="","",Tabel!S846)</f>
        <v/>
      </c>
      <c r="D843" s="11" t="str">
        <f>IF(Tabel!O846="","",IF(Tabel!S846="","",Tabel!O846))</f>
        <v/>
      </c>
      <c r="E843" s="22" t="str">
        <f>IF(Tabel!P846="","",Tabel!T846)</f>
        <v/>
      </c>
      <c r="F843" s="11" t="str">
        <f>IF(Tabel!P846="","",IF(Tabel!U846="","",Tabel!P846))</f>
        <v/>
      </c>
    </row>
    <row r="844" spans="1:6" x14ac:dyDescent="0.25">
      <c r="A844" s="22" t="str">
        <f>IF(Tabel!N847="","",Tabel!Q847)</f>
        <v/>
      </c>
      <c r="B844" s="11" t="str">
        <f>IF(Tabel!N847="","",IF(Tabel!Q847="","",Tabel!N847))</f>
        <v/>
      </c>
      <c r="C844" s="22" t="str">
        <f>IF(Tabel!O847="","",Tabel!S847)</f>
        <v/>
      </c>
      <c r="D844" s="11" t="str">
        <f>IF(Tabel!O847="","",IF(Tabel!S847="","",Tabel!O847))</f>
        <v/>
      </c>
      <c r="E844" s="22" t="str">
        <f>IF(Tabel!P847="","",Tabel!T847)</f>
        <v/>
      </c>
      <c r="F844" s="11" t="str">
        <f>IF(Tabel!P847="","",IF(Tabel!U847="","",Tabel!P847))</f>
        <v/>
      </c>
    </row>
    <row r="845" spans="1:6" x14ac:dyDescent="0.25">
      <c r="A845" s="22" t="str">
        <f>IF(Tabel!N848="","",Tabel!Q848)</f>
        <v/>
      </c>
      <c r="B845" s="11" t="str">
        <f>IF(Tabel!N848="","",IF(Tabel!Q848="","",Tabel!N848))</f>
        <v/>
      </c>
      <c r="C845" s="22" t="str">
        <f>IF(Tabel!O848="","",Tabel!S848)</f>
        <v/>
      </c>
      <c r="D845" s="11" t="str">
        <f>IF(Tabel!O848="","",IF(Tabel!S848="","",Tabel!O848))</f>
        <v/>
      </c>
      <c r="E845" s="22" t="str">
        <f>IF(Tabel!P848="","",Tabel!T848)</f>
        <v/>
      </c>
      <c r="F845" s="11" t="str">
        <f>IF(Tabel!P848="","",IF(Tabel!U848="","",Tabel!P848))</f>
        <v/>
      </c>
    </row>
    <row r="846" spans="1:6" x14ac:dyDescent="0.25">
      <c r="A846" s="22" t="str">
        <f>IF(Tabel!N849="","",Tabel!Q849)</f>
        <v/>
      </c>
      <c r="B846" s="11" t="str">
        <f>IF(Tabel!N849="","",IF(Tabel!Q849="","",Tabel!N849))</f>
        <v/>
      </c>
      <c r="C846" s="22" t="str">
        <f>IF(Tabel!O849="","",Tabel!S849)</f>
        <v/>
      </c>
      <c r="D846" s="11" t="str">
        <f>IF(Tabel!O849="","",IF(Tabel!S849="","",Tabel!O849))</f>
        <v/>
      </c>
      <c r="E846" s="22" t="str">
        <f>IF(Tabel!P849="","",Tabel!T849)</f>
        <v/>
      </c>
      <c r="F846" s="11" t="str">
        <f>IF(Tabel!P849="","",IF(Tabel!U849="","",Tabel!P849))</f>
        <v/>
      </c>
    </row>
    <row r="847" spans="1:6" x14ac:dyDescent="0.25">
      <c r="A847" s="22" t="str">
        <f>IF(Tabel!N850="","",Tabel!Q850)</f>
        <v/>
      </c>
      <c r="B847" s="11" t="str">
        <f>IF(Tabel!N850="","",IF(Tabel!Q850="","",Tabel!N850))</f>
        <v/>
      </c>
      <c r="C847" s="22" t="str">
        <f>IF(Tabel!O850="","",Tabel!S850)</f>
        <v/>
      </c>
      <c r="D847" s="11" t="str">
        <f>IF(Tabel!O850="","",IF(Tabel!S850="","",Tabel!O850))</f>
        <v/>
      </c>
      <c r="E847" s="22" t="str">
        <f>IF(Tabel!P850="","",Tabel!T850)</f>
        <v/>
      </c>
      <c r="F847" s="11" t="str">
        <f>IF(Tabel!P850="","",IF(Tabel!U850="","",Tabel!P850))</f>
        <v/>
      </c>
    </row>
    <row r="848" spans="1:6" x14ac:dyDescent="0.25">
      <c r="A848" s="22" t="str">
        <f>IF(Tabel!N851="","",Tabel!Q851)</f>
        <v/>
      </c>
      <c r="B848" s="11" t="str">
        <f>IF(Tabel!N851="","",IF(Tabel!Q851="","",Tabel!N851))</f>
        <v/>
      </c>
      <c r="C848" s="22" t="str">
        <f>IF(Tabel!O851="","",Tabel!S851)</f>
        <v/>
      </c>
      <c r="D848" s="11" t="str">
        <f>IF(Tabel!O851="","",IF(Tabel!S851="","",Tabel!O851))</f>
        <v/>
      </c>
      <c r="E848" s="22" t="str">
        <f>IF(Tabel!P851="","",Tabel!T851)</f>
        <v/>
      </c>
      <c r="F848" s="11" t="str">
        <f>IF(Tabel!P851="","",IF(Tabel!U851="","",Tabel!P851))</f>
        <v/>
      </c>
    </row>
    <row r="849" spans="1:6" x14ac:dyDescent="0.25">
      <c r="A849" s="22" t="str">
        <f>IF(Tabel!N852="","",Tabel!Q852)</f>
        <v/>
      </c>
      <c r="B849" s="11" t="str">
        <f>IF(Tabel!N852="","",IF(Tabel!Q852="","",Tabel!N852))</f>
        <v/>
      </c>
      <c r="C849" s="22" t="str">
        <f>IF(Tabel!O852="","",Tabel!S852)</f>
        <v/>
      </c>
      <c r="D849" s="11" t="str">
        <f>IF(Tabel!O852="","",IF(Tabel!S852="","",Tabel!O852))</f>
        <v/>
      </c>
      <c r="E849" s="22" t="str">
        <f>IF(Tabel!P852="","",Tabel!T852)</f>
        <v/>
      </c>
      <c r="F849" s="11" t="str">
        <f>IF(Tabel!P852="","",IF(Tabel!U852="","",Tabel!P852))</f>
        <v/>
      </c>
    </row>
    <row r="850" spans="1:6" x14ac:dyDescent="0.25">
      <c r="A850" s="22" t="str">
        <f>IF(Tabel!N853="","",Tabel!Q853)</f>
        <v/>
      </c>
      <c r="B850" s="11" t="str">
        <f>IF(Tabel!N853="","",IF(Tabel!Q853="","",Tabel!N853))</f>
        <v/>
      </c>
      <c r="C850" s="22" t="str">
        <f>IF(Tabel!O853="","",Tabel!S853)</f>
        <v/>
      </c>
      <c r="D850" s="11" t="str">
        <f>IF(Tabel!O853="","",IF(Tabel!S853="","",Tabel!O853))</f>
        <v/>
      </c>
      <c r="E850" s="22" t="str">
        <f>IF(Tabel!P853="","",Tabel!T853)</f>
        <v/>
      </c>
      <c r="F850" s="11" t="str">
        <f>IF(Tabel!P853="","",IF(Tabel!U853="","",Tabel!P853))</f>
        <v/>
      </c>
    </row>
    <row r="851" spans="1:6" x14ac:dyDescent="0.25">
      <c r="A851" s="22" t="str">
        <f>IF(Tabel!N854="","",Tabel!Q854)</f>
        <v/>
      </c>
      <c r="B851" s="11" t="str">
        <f>IF(Tabel!N854="","",IF(Tabel!Q854="","",Tabel!N854))</f>
        <v/>
      </c>
      <c r="C851" s="22" t="str">
        <f>IF(Tabel!O854="","",Tabel!S854)</f>
        <v/>
      </c>
      <c r="D851" s="11" t="str">
        <f>IF(Tabel!O854="","",IF(Tabel!S854="","",Tabel!O854))</f>
        <v/>
      </c>
      <c r="E851" s="22" t="str">
        <f>IF(Tabel!P854="","",Tabel!T854)</f>
        <v/>
      </c>
      <c r="F851" s="11" t="str">
        <f>IF(Tabel!P854="","",IF(Tabel!U854="","",Tabel!P854))</f>
        <v/>
      </c>
    </row>
    <row r="852" spans="1:6" x14ac:dyDescent="0.25">
      <c r="A852" s="22" t="str">
        <f>IF(Tabel!N855="","",Tabel!Q855)</f>
        <v/>
      </c>
      <c r="B852" s="11" t="str">
        <f>IF(Tabel!N855="","",IF(Tabel!Q855="","",Tabel!N855))</f>
        <v/>
      </c>
      <c r="C852" s="22" t="str">
        <f>IF(Tabel!O855="","",Tabel!S855)</f>
        <v/>
      </c>
      <c r="D852" s="11" t="str">
        <f>IF(Tabel!O855="","",IF(Tabel!S855="","",Tabel!O855))</f>
        <v/>
      </c>
      <c r="E852" s="22" t="str">
        <f>IF(Tabel!P855="","",Tabel!T855)</f>
        <v/>
      </c>
      <c r="F852" s="11" t="str">
        <f>IF(Tabel!P855="","",IF(Tabel!U855="","",Tabel!P855))</f>
        <v/>
      </c>
    </row>
    <row r="853" spans="1:6" x14ac:dyDescent="0.25">
      <c r="A853" s="22" t="str">
        <f>IF(Tabel!N856="","",Tabel!Q856)</f>
        <v/>
      </c>
      <c r="B853" s="11" t="str">
        <f>IF(Tabel!N856="","",IF(Tabel!Q856="","",Tabel!N856))</f>
        <v/>
      </c>
      <c r="C853" s="22" t="str">
        <f>IF(Tabel!O856="","",Tabel!S856)</f>
        <v/>
      </c>
      <c r="D853" s="11" t="str">
        <f>IF(Tabel!O856="","",IF(Tabel!S856="","",Tabel!O856))</f>
        <v/>
      </c>
      <c r="E853" s="22" t="str">
        <f>IF(Tabel!P856="","",Tabel!T856)</f>
        <v/>
      </c>
      <c r="F853" s="11" t="str">
        <f>IF(Tabel!P856="","",IF(Tabel!U856="","",Tabel!P856))</f>
        <v/>
      </c>
    </row>
    <row r="854" spans="1:6" x14ac:dyDescent="0.25">
      <c r="A854" s="22" t="str">
        <f>IF(Tabel!N857="","",Tabel!Q857)</f>
        <v/>
      </c>
      <c r="B854" s="11" t="str">
        <f>IF(Tabel!N857="","",IF(Tabel!Q857="","",Tabel!N857))</f>
        <v/>
      </c>
      <c r="C854" s="22" t="str">
        <f>IF(Tabel!O857="","",Tabel!S857)</f>
        <v/>
      </c>
      <c r="D854" s="11" t="str">
        <f>IF(Tabel!O857="","",IF(Tabel!S857="","",Tabel!O857))</f>
        <v/>
      </c>
      <c r="E854" s="22" t="str">
        <f>IF(Tabel!P857="","",Tabel!T857)</f>
        <v/>
      </c>
      <c r="F854" s="11" t="str">
        <f>IF(Tabel!P857="","",IF(Tabel!U857="","",Tabel!P857))</f>
        <v/>
      </c>
    </row>
    <row r="855" spans="1:6" x14ac:dyDescent="0.25">
      <c r="A855" s="22" t="str">
        <f>IF(Tabel!N858="","",Tabel!Q858)</f>
        <v/>
      </c>
      <c r="B855" s="11" t="str">
        <f>IF(Tabel!N858="","",IF(Tabel!Q858="","",Tabel!N858))</f>
        <v/>
      </c>
      <c r="C855" s="22" t="str">
        <f>IF(Tabel!O858="","",Tabel!S858)</f>
        <v/>
      </c>
      <c r="D855" s="11" t="str">
        <f>IF(Tabel!O858="","",IF(Tabel!S858="","",Tabel!O858))</f>
        <v/>
      </c>
      <c r="E855" s="22" t="str">
        <f>IF(Tabel!P858="","",Tabel!T858)</f>
        <v/>
      </c>
      <c r="F855" s="11" t="str">
        <f>IF(Tabel!P858="","",IF(Tabel!U858="","",Tabel!P858))</f>
        <v/>
      </c>
    </row>
    <row r="856" spans="1:6" x14ac:dyDescent="0.25">
      <c r="A856" s="22" t="str">
        <f>IF(Tabel!N859="","",Tabel!Q859)</f>
        <v/>
      </c>
      <c r="B856" s="11" t="str">
        <f>IF(Tabel!N859="","",IF(Tabel!Q859="","",Tabel!N859))</f>
        <v/>
      </c>
      <c r="C856" s="22" t="str">
        <f>IF(Tabel!O859="","",Tabel!S859)</f>
        <v/>
      </c>
      <c r="D856" s="11" t="str">
        <f>IF(Tabel!O859="","",IF(Tabel!S859="","",Tabel!O859))</f>
        <v/>
      </c>
      <c r="E856" s="22" t="str">
        <f>IF(Tabel!P859="","",Tabel!T859)</f>
        <v/>
      </c>
      <c r="F856" s="11" t="str">
        <f>IF(Tabel!P859="","",IF(Tabel!U859="","",Tabel!P859))</f>
        <v/>
      </c>
    </row>
    <row r="857" spans="1:6" x14ac:dyDescent="0.25">
      <c r="A857" s="22" t="str">
        <f>IF(Tabel!N860="","",Tabel!Q860)</f>
        <v/>
      </c>
      <c r="B857" s="11" t="str">
        <f>IF(Tabel!N860="","",IF(Tabel!Q860="","",Tabel!N860))</f>
        <v/>
      </c>
      <c r="C857" s="22" t="str">
        <f>IF(Tabel!O860="","",Tabel!S860)</f>
        <v/>
      </c>
      <c r="D857" s="11" t="str">
        <f>IF(Tabel!O860="","",IF(Tabel!S860="","",Tabel!O860))</f>
        <v/>
      </c>
      <c r="E857" s="22" t="str">
        <f>IF(Tabel!P860="","",Tabel!T860)</f>
        <v/>
      </c>
      <c r="F857" s="11" t="str">
        <f>IF(Tabel!P860="","",IF(Tabel!U860="","",Tabel!P860))</f>
        <v/>
      </c>
    </row>
    <row r="858" spans="1:6" x14ac:dyDescent="0.25">
      <c r="A858" s="22" t="str">
        <f>IF(Tabel!N861="","",Tabel!Q861)</f>
        <v/>
      </c>
      <c r="B858" s="11" t="str">
        <f>IF(Tabel!N861="","",IF(Tabel!Q861="","",Tabel!N861))</f>
        <v/>
      </c>
      <c r="C858" s="22" t="str">
        <f>IF(Tabel!O861="","",Tabel!S861)</f>
        <v/>
      </c>
      <c r="D858" s="11" t="str">
        <f>IF(Tabel!O861="","",IF(Tabel!S861="","",Tabel!O861))</f>
        <v/>
      </c>
      <c r="E858" s="22" t="str">
        <f>IF(Tabel!P861="","",Tabel!T861)</f>
        <v/>
      </c>
      <c r="F858" s="11" t="str">
        <f>IF(Tabel!P861="","",IF(Tabel!U861="","",Tabel!P861))</f>
        <v/>
      </c>
    </row>
    <row r="859" spans="1:6" x14ac:dyDescent="0.25">
      <c r="A859" s="22" t="str">
        <f>IF(Tabel!N862="","",Tabel!Q862)</f>
        <v/>
      </c>
      <c r="B859" s="11" t="str">
        <f>IF(Tabel!N862="","",IF(Tabel!Q862="","",Tabel!N862))</f>
        <v/>
      </c>
      <c r="C859" s="22" t="str">
        <f>IF(Tabel!O862="","",Tabel!S862)</f>
        <v/>
      </c>
      <c r="D859" s="11" t="str">
        <f>IF(Tabel!O862="","",IF(Tabel!S862="","",Tabel!O862))</f>
        <v/>
      </c>
      <c r="E859" s="22" t="str">
        <f>IF(Tabel!P862="","",Tabel!T862)</f>
        <v/>
      </c>
      <c r="F859" s="11" t="str">
        <f>IF(Tabel!P862="","",IF(Tabel!U862="","",Tabel!P862))</f>
        <v/>
      </c>
    </row>
    <row r="860" spans="1:6" x14ac:dyDescent="0.25">
      <c r="A860" s="22" t="str">
        <f>IF(Tabel!N863="","",Tabel!Q863)</f>
        <v/>
      </c>
      <c r="B860" s="11" t="str">
        <f>IF(Tabel!N863="","",IF(Tabel!Q863="","",Tabel!N863))</f>
        <v/>
      </c>
      <c r="C860" s="22" t="str">
        <f>IF(Tabel!O863="","",Tabel!S863)</f>
        <v/>
      </c>
      <c r="D860" s="11" t="str">
        <f>IF(Tabel!O863="","",IF(Tabel!S863="","",Tabel!O863))</f>
        <v/>
      </c>
      <c r="E860" s="22" t="str">
        <f>IF(Tabel!P863="","",Tabel!T863)</f>
        <v/>
      </c>
      <c r="F860" s="11" t="str">
        <f>IF(Tabel!P863="","",IF(Tabel!U863="","",Tabel!P863))</f>
        <v/>
      </c>
    </row>
    <row r="861" spans="1:6" x14ac:dyDescent="0.25">
      <c r="A861" s="22" t="str">
        <f>IF(Tabel!N864="","",Tabel!Q864)</f>
        <v/>
      </c>
      <c r="B861" s="11" t="str">
        <f>IF(Tabel!N864="","",IF(Tabel!Q864="","",Tabel!N864))</f>
        <v/>
      </c>
      <c r="C861" s="22" t="str">
        <f>IF(Tabel!O864="","",Tabel!S864)</f>
        <v/>
      </c>
      <c r="D861" s="11" t="str">
        <f>IF(Tabel!O864="","",IF(Tabel!S864="","",Tabel!O864))</f>
        <v/>
      </c>
      <c r="E861" s="22" t="str">
        <f>IF(Tabel!P864="","",Tabel!T864)</f>
        <v/>
      </c>
      <c r="F861" s="11" t="str">
        <f>IF(Tabel!P864="","",IF(Tabel!U864="","",Tabel!P864))</f>
        <v/>
      </c>
    </row>
    <row r="862" spans="1:6" x14ac:dyDescent="0.25">
      <c r="A862" s="22" t="str">
        <f>IF(Tabel!N865="","",Tabel!Q865)</f>
        <v/>
      </c>
      <c r="B862" s="11" t="str">
        <f>IF(Tabel!N865="","",IF(Tabel!Q865="","",Tabel!N865))</f>
        <v/>
      </c>
      <c r="C862" s="22" t="str">
        <f>IF(Tabel!O865="","",Tabel!S865)</f>
        <v/>
      </c>
      <c r="D862" s="11" t="str">
        <f>IF(Tabel!O865="","",IF(Tabel!S865="","",Tabel!O865))</f>
        <v/>
      </c>
      <c r="E862" s="22" t="str">
        <f>IF(Tabel!P865="","",Tabel!T865)</f>
        <v/>
      </c>
      <c r="F862" s="11" t="str">
        <f>IF(Tabel!P865="","",IF(Tabel!U865="","",Tabel!P865))</f>
        <v/>
      </c>
    </row>
    <row r="863" spans="1:6" x14ac:dyDescent="0.25">
      <c r="A863" s="22" t="str">
        <f>IF(Tabel!N866="","",Tabel!Q866)</f>
        <v/>
      </c>
      <c r="B863" s="11" t="str">
        <f>IF(Tabel!N866="","",IF(Tabel!Q866="","",Tabel!N866))</f>
        <v/>
      </c>
      <c r="C863" s="22" t="str">
        <f>IF(Tabel!O866="","",Tabel!S866)</f>
        <v/>
      </c>
      <c r="D863" s="11" t="str">
        <f>IF(Tabel!O866="","",IF(Tabel!S866="","",Tabel!O866))</f>
        <v/>
      </c>
      <c r="E863" s="22" t="str">
        <f>IF(Tabel!P866="","",Tabel!T866)</f>
        <v/>
      </c>
      <c r="F863" s="11" t="str">
        <f>IF(Tabel!P866="","",IF(Tabel!U866="","",Tabel!P866))</f>
        <v/>
      </c>
    </row>
    <row r="864" spans="1:6" x14ac:dyDescent="0.25">
      <c r="A864" s="22" t="str">
        <f>IF(Tabel!N867="","",Tabel!Q867)</f>
        <v/>
      </c>
      <c r="B864" s="11" t="str">
        <f>IF(Tabel!N867="","",IF(Tabel!Q867="","",Tabel!N867))</f>
        <v/>
      </c>
      <c r="C864" s="22" t="str">
        <f>IF(Tabel!O867="","",Tabel!S867)</f>
        <v/>
      </c>
      <c r="D864" s="11" t="str">
        <f>IF(Tabel!O867="","",IF(Tabel!S867="","",Tabel!O867))</f>
        <v/>
      </c>
      <c r="E864" s="22" t="str">
        <f>IF(Tabel!P867="","",Tabel!T867)</f>
        <v/>
      </c>
      <c r="F864" s="11" t="str">
        <f>IF(Tabel!P867="","",IF(Tabel!U867="","",Tabel!P867))</f>
        <v/>
      </c>
    </row>
    <row r="865" spans="1:6" x14ac:dyDescent="0.25">
      <c r="A865" s="22" t="str">
        <f>IF(Tabel!N868="","",Tabel!Q868)</f>
        <v/>
      </c>
      <c r="B865" s="11" t="str">
        <f>IF(Tabel!N868="","",IF(Tabel!Q868="","",Tabel!N868))</f>
        <v/>
      </c>
      <c r="C865" s="22" t="str">
        <f>IF(Tabel!O868="","",Tabel!S868)</f>
        <v/>
      </c>
      <c r="D865" s="11" t="str">
        <f>IF(Tabel!O868="","",IF(Tabel!S868="","",Tabel!O868))</f>
        <v/>
      </c>
      <c r="E865" s="22" t="str">
        <f>IF(Tabel!P868="","",Tabel!T868)</f>
        <v/>
      </c>
      <c r="F865" s="11" t="str">
        <f>IF(Tabel!P868="","",IF(Tabel!U868="","",Tabel!P868))</f>
        <v/>
      </c>
    </row>
    <row r="866" spans="1:6" x14ac:dyDescent="0.25">
      <c r="A866" s="22" t="str">
        <f>IF(Tabel!N869="","",Tabel!Q869)</f>
        <v/>
      </c>
      <c r="B866" s="11" t="str">
        <f>IF(Tabel!N869="","",IF(Tabel!Q869="","",Tabel!N869))</f>
        <v/>
      </c>
      <c r="C866" s="22" t="str">
        <f>IF(Tabel!O869="","",Tabel!S869)</f>
        <v/>
      </c>
      <c r="D866" s="11" t="str">
        <f>IF(Tabel!O869="","",IF(Tabel!S869="","",Tabel!O869))</f>
        <v/>
      </c>
      <c r="E866" s="22" t="str">
        <f>IF(Tabel!P869="","",Tabel!T869)</f>
        <v/>
      </c>
      <c r="F866" s="11" t="str">
        <f>IF(Tabel!P869="","",IF(Tabel!U869="","",Tabel!P869))</f>
        <v/>
      </c>
    </row>
    <row r="867" spans="1:6" x14ac:dyDescent="0.25">
      <c r="A867" s="22" t="str">
        <f>IF(Tabel!N870="","",Tabel!Q870)</f>
        <v/>
      </c>
      <c r="B867" s="11" t="str">
        <f>IF(Tabel!N870="","",IF(Tabel!Q870="","",Tabel!N870))</f>
        <v/>
      </c>
      <c r="C867" s="22" t="str">
        <f>IF(Tabel!O870="","",Tabel!S870)</f>
        <v/>
      </c>
      <c r="D867" s="11" t="str">
        <f>IF(Tabel!O870="","",IF(Tabel!S870="","",Tabel!O870))</f>
        <v/>
      </c>
      <c r="E867" s="22" t="str">
        <f>IF(Tabel!P870="","",Tabel!T870)</f>
        <v/>
      </c>
      <c r="F867" s="11" t="str">
        <f>IF(Tabel!P870="","",IF(Tabel!U870="","",Tabel!P870))</f>
        <v/>
      </c>
    </row>
    <row r="868" spans="1:6" x14ac:dyDescent="0.25">
      <c r="A868" s="22" t="str">
        <f>IF(Tabel!N871="","",Tabel!Q871)</f>
        <v/>
      </c>
      <c r="B868" s="11" t="str">
        <f>IF(Tabel!N871="","",IF(Tabel!Q871="","",Tabel!N871))</f>
        <v/>
      </c>
      <c r="C868" s="22" t="str">
        <f>IF(Tabel!O871="","",Tabel!S871)</f>
        <v/>
      </c>
      <c r="D868" s="11" t="str">
        <f>IF(Tabel!O871="","",IF(Tabel!S871="","",Tabel!O871))</f>
        <v/>
      </c>
      <c r="E868" s="22" t="str">
        <f>IF(Tabel!P871="","",Tabel!T871)</f>
        <v/>
      </c>
      <c r="F868" s="11" t="str">
        <f>IF(Tabel!P871="","",IF(Tabel!U871="","",Tabel!P871))</f>
        <v/>
      </c>
    </row>
    <row r="869" spans="1:6" x14ac:dyDescent="0.25">
      <c r="A869" s="22" t="str">
        <f>IF(Tabel!N872="","",Tabel!Q872)</f>
        <v/>
      </c>
      <c r="B869" s="11" t="str">
        <f>IF(Tabel!N872="","",IF(Tabel!Q872="","",Tabel!N872))</f>
        <v/>
      </c>
      <c r="C869" s="22" t="str">
        <f>IF(Tabel!O872="","",Tabel!S872)</f>
        <v/>
      </c>
      <c r="D869" s="11" t="str">
        <f>IF(Tabel!O872="","",IF(Tabel!S872="","",Tabel!O872))</f>
        <v/>
      </c>
      <c r="E869" s="22" t="str">
        <f>IF(Tabel!P872="","",Tabel!T872)</f>
        <v/>
      </c>
      <c r="F869" s="11" t="str">
        <f>IF(Tabel!P872="","",IF(Tabel!U872="","",Tabel!P872))</f>
        <v/>
      </c>
    </row>
    <row r="870" spans="1:6" x14ac:dyDescent="0.25">
      <c r="A870" s="22" t="str">
        <f>IF(Tabel!N873="","",Tabel!Q873)</f>
        <v/>
      </c>
      <c r="B870" s="11" t="str">
        <f>IF(Tabel!N873="","",IF(Tabel!Q873="","",Tabel!N873))</f>
        <v/>
      </c>
      <c r="C870" s="22" t="str">
        <f>IF(Tabel!O873="","",Tabel!S873)</f>
        <v/>
      </c>
      <c r="D870" s="11" t="str">
        <f>IF(Tabel!O873="","",IF(Tabel!S873="","",Tabel!O873))</f>
        <v/>
      </c>
      <c r="E870" s="22" t="str">
        <f>IF(Tabel!P873="","",Tabel!T873)</f>
        <v/>
      </c>
      <c r="F870" s="11" t="str">
        <f>IF(Tabel!P873="","",IF(Tabel!U873="","",Tabel!P873))</f>
        <v/>
      </c>
    </row>
    <row r="871" spans="1:6" x14ac:dyDescent="0.25">
      <c r="A871" s="22" t="str">
        <f>IF(Tabel!N874="","",Tabel!Q874)</f>
        <v/>
      </c>
      <c r="B871" s="11" t="str">
        <f>IF(Tabel!N874="","",IF(Tabel!Q874="","",Tabel!N874))</f>
        <v/>
      </c>
      <c r="C871" s="22" t="str">
        <f>IF(Tabel!O874="","",Tabel!S874)</f>
        <v/>
      </c>
      <c r="D871" s="11" t="str">
        <f>IF(Tabel!O874="","",IF(Tabel!S874="","",Tabel!O874))</f>
        <v/>
      </c>
      <c r="E871" s="22" t="str">
        <f>IF(Tabel!P874="","",Tabel!T874)</f>
        <v/>
      </c>
      <c r="F871" s="11" t="str">
        <f>IF(Tabel!P874="","",IF(Tabel!U874="","",Tabel!P874))</f>
        <v/>
      </c>
    </row>
    <row r="872" spans="1:6" x14ac:dyDescent="0.25">
      <c r="A872" s="22" t="str">
        <f>IF(Tabel!N875="","",Tabel!Q875)</f>
        <v/>
      </c>
      <c r="B872" s="11" t="str">
        <f>IF(Tabel!N875="","",IF(Tabel!Q875="","",Tabel!N875))</f>
        <v/>
      </c>
      <c r="C872" s="22" t="str">
        <f>IF(Tabel!O875="","",Tabel!S875)</f>
        <v/>
      </c>
      <c r="D872" s="11" t="str">
        <f>IF(Tabel!O875="","",IF(Tabel!S875="","",Tabel!O875))</f>
        <v/>
      </c>
      <c r="E872" s="22" t="str">
        <f>IF(Tabel!P875="","",Tabel!T875)</f>
        <v/>
      </c>
      <c r="F872" s="11" t="str">
        <f>IF(Tabel!P875="","",IF(Tabel!U875="","",Tabel!P875))</f>
        <v/>
      </c>
    </row>
    <row r="873" spans="1:6" x14ac:dyDescent="0.25">
      <c r="A873" s="22" t="str">
        <f>IF(Tabel!N876="","",Tabel!Q876)</f>
        <v/>
      </c>
      <c r="B873" s="11" t="str">
        <f>IF(Tabel!N876="","",IF(Tabel!Q876="","",Tabel!N876))</f>
        <v/>
      </c>
      <c r="C873" s="22" t="str">
        <f>IF(Tabel!O876="","",Tabel!S876)</f>
        <v/>
      </c>
      <c r="D873" s="11" t="str">
        <f>IF(Tabel!O876="","",IF(Tabel!S876="","",Tabel!O876))</f>
        <v/>
      </c>
      <c r="E873" s="22" t="str">
        <f>IF(Tabel!P876="","",Tabel!T876)</f>
        <v/>
      </c>
      <c r="F873" s="11" t="str">
        <f>IF(Tabel!P876="","",IF(Tabel!U876="","",Tabel!P876))</f>
        <v/>
      </c>
    </row>
    <row r="874" spans="1:6" x14ac:dyDescent="0.25">
      <c r="A874" s="22" t="str">
        <f>IF(Tabel!N877="","",Tabel!Q877)</f>
        <v/>
      </c>
      <c r="B874" s="11" t="str">
        <f>IF(Tabel!N877="","",IF(Tabel!Q877="","",Tabel!N877))</f>
        <v/>
      </c>
      <c r="C874" s="22" t="str">
        <f>IF(Tabel!O877="","",Tabel!S877)</f>
        <v/>
      </c>
      <c r="D874" s="11" t="str">
        <f>IF(Tabel!O877="","",IF(Tabel!S877="","",Tabel!O877))</f>
        <v/>
      </c>
      <c r="E874" s="22" t="str">
        <f>IF(Tabel!P877="","",Tabel!T877)</f>
        <v/>
      </c>
      <c r="F874" s="11" t="str">
        <f>IF(Tabel!P877="","",IF(Tabel!U877="","",Tabel!P877))</f>
        <v/>
      </c>
    </row>
    <row r="875" spans="1:6" x14ac:dyDescent="0.25">
      <c r="A875" s="22" t="str">
        <f>IF(Tabel!N878="","",Tabel!Q878)</f>
        <v/>
      </c>
      <c r="B875" s="11" t="str">
        <f>IF(Tabel!N878="","",IF(Tabel!Q878="","",Tabel!N878))</f>
        <v/>
      </c>
      <c r="C875" s="22" t="str">
        <f>IF(Tabel!O878="","",Tabel!S878)</f>
        <v/>
      </c>
      <c r="D875" s="11" t="str">
        <f>IF(Tabel!O878="","",IF(Tabel!S878="","",Tabel!O878))</f>
        <v/>
      </c>
      <c r="E875" s="22" t="str">
        <f>IF(Tabel!P878="","",Tabel!T878)</f>
        <v/>
      </c>
      <c r="F875" s="11" t="str">
        <f>IF(Tabel!P878="","",IF(Tabel!U878="","",Tabel!P878))</f>
        <v/>
      </c>
    </row>
    <row r="876" spans="1:6" x14ac:dyDescent="0.25">
      <c r="A876" s="22" t="str">
        <f>IF(Tabel!N879="","",Tabel!Q879)</f>
        <v/>
      </c>
      <c r="B876" s="11" t="str">
        <f>IF(Tabel!N879="","",IF(Tabel!Q879="","",Tabel!N879))</f>
        <v/>
      </c>
      <c r="C876" s="22" t="str">
        <f>IF(Tabel!O879="","",Tabel!S879)</f>
        <v/>
      </c>
      <c r="D876" s="11" t="str">
        <f>IF(Tabel!O879="","",IF(Tabel!S879="","",Tabel!O879))</f>
        <v/>
      </c>
      <c r="E876" s="22" t="str">
        <f>IF(Tabel!P879="","",Tabel!T879)</f>
        <v/>
      </c>
      <c r="F876" s="11" t="str">
        <f>IF(Tabel!P879="","",IF(Tabel!U879="","",Tabel!P879))</f>
        <v/>
      </c>
    </row>
    <row r="877" spans="1:6" x14ac:dyDescent="0.25">
      <c r="A877" s="22" t="str">
        <f>IF(Tabel!N880="","",Tabel!Q880)</f>
        <v/>
      </c>
      <c r="B877" s="11" t="str">
        <f>IF(Tabel!N880="","",IF(Tabel!Q880="","",Tabel!N880))</f>
        <v/>
      </c>
      <c r="C877" s="22" t="str">
        <f>IF(Tabel!O880="","",Tabel!S880)</f>
        <v/>
      </c>
      <c r="D877" s="11" t="str">
        <f>IF(Tabel!O880="","",IF(Tabel!S880="","",Tabel!O880))</f>
        <v/>
      </c>
      <c r="E877" s="22" t="str">
        <f>IF(Tabel!P880="","",Tabel!T880)</f>
        <v/>
      </c>
      <c r="F877" s="11" t="str">
        <f>IF(Tabel!P880="","",IF(Tabel!U880="","",Tabel!P880))</f>
        <v/>
      </c>
    </row>
    <row r="878" spans="1:6" x14ac:dyDescent="0.25">
      <c r="A878" s="22" t="str">
        <f>IF(Tabel!N881="","",Tabel!Q881)</f>
        <v/>
      </c>
      <c r="B878" s="11" t="str">
        <f>IF(Tabel!N881="","",IF(Tabel!Q881="","",Tabel!N881))</f>
        <v/>
      </c>
      <c r="C878" s="22" t="str">
        <f>IF(Tabel!O881="","",Tabel!S881)</f>
        <v/>
      </c>
      <c r="D878" s="11" t="str">
        <f>IF(Tabel!O881="","",IF(Tabel!S881="","",Tabel!O881))</f>
        <v/>
      </c>
      <c r="E878" s="22" t="str">
        <f>IF(Tabel!P881="","",Tabel!T881)</f>
        <v/>
      </c>
      <c r="F878" s="11" t="str">
        <f>IF(Tabel!P881="","",IF(Tabel!U881="","",Tabel!P881))</f>
        <v/>
      </c>
    </row>
    <row r="879" spans="1:6" x14ac:dyDescent="0.25">
      <c r="A879" s="22" t="str">
        <f>IF(Tabel!N882="","",Tabel!Q882)</f>
        <v/>
      </c>
      <c r="B879" s="11" t="str">
        <f>IF(Tabel!N882="","",IF(Tabel!Q882="","",Tabel!N882))</f>
        <v/>
      </c>
      <c r="C879" s="22" t="str">
        <f>IF(Tabel!O882="","",Tabel!S882)</f>
        <v/>
      </c>
      <c r="D879" s="11" t="str">
        <f>IF(Tabel!O882="","",IF(Tabel!S882="","",Tabel!O882))</f>
        <v/>
      </c>
      <c r="E879" s="22" t="str">
        <f>IF(Tabel!P882="","",Tabel!T882)</f>
        <v/>
      </c>
      <c r="F879" s="11" t="str">
        <f>IF(Tabel!P882="","",IF(Tabel!U882="","",Tabel!P882))</f>
        <v/>
      </c>
    </row>
    <row r="880" spans="1:6" x14ac:dyDescent="0.25">
      <c r="A880" s="22" t="str">
        <f>IF(Tabel!N883="","",Tabel!Q883)</f>
        <v/>
      </c>
      <c r="B880" s="11" t="str">
        <f>IF(Tabel!N883="","",IF(Tabel!Q883="","",Tabel!N883))</f>
        <v/>
      </c>
      <c r="C880" s="22" t="str">
        <f>IF(Tabel!O883="","",Tabel!S883)</f>
        <v/>
      </c>
      <c r="D880" s="11" t="str">
        <f>IF(Tabel!O883="","",IF(Tabel!S883="","",Tabel!O883))</f>
        <v/>
      </c>
      <c r="E880" s="22" t="str">
        <f>IF(Tabel!P883="","",Tabel!T883)</f>
        <v/>
      </c>
      <c r="F880" s="11" t="str">
        <f>IF(Tabel!P883="","",IF(Tabel!U883="","",Tabel!P883))</f>
        <v/>
      </c>
    </row>
    <row r="881" spans="1:6" x14ac:dyDescent="0.25">
      <c r="A881" s="22" t="str">
        <f>IF(Tabel!N884="","",Tabel!Q884)</f>
        <v/>
      </c>
      <c r="B881" s="11" t="str">
        <f>IF(Tabel!N884="","",IF(Tabel!Q884="","",Tabel!N884))</f>
        <v/>
      </c>
      <c r="C881" s="22" t="str">
        <f>IF(Tabel!O884="","",Tabel!S884)</f>
        <v/>
      </c>
      <c r="D881" s="11" t="str">
        <f>IF(Tabel!O884="","",IF(Tabel!S884="","",Tabel!O884))</f>
        <v/>
      </c>
      <c r="E881" s="22" t="str">
        <f>IF(Tabel!P884="","",Tabel!T884)</f>
        <v/>
      </c>
      <c r="F881" s="11" t="str">
        <f>IF(Tabel!P884="","",IF(Tabel!U884="","",Tabel!P884))</f>
        <v/>
      </c>
    </row>
    <row r="882" spans="1:6" x14ac:dyDescent="0.25">
      <c r="A882" s="22" t="str">
        <f>IF(Tabel!N885="","",Tabel!Q885)</f>
        <v/>
      </c>
      <c r="B882" s="11" t="str">
        <f>IF(Tabel!N885="","",IF(Tabel!Q885="","",Tabel!N885))</f>
        <v/>
      </c>
      <c r="C882" s="22" t="str">
        <f>IF(Tabel!O885="","",Tabel!S885)</f>
        <v/>
      </c>
      <c r="D882" s="11" t="str">
        <f>IF(Tabel!O885="","",IF(Tabel!S885="","",Tabel!O885))</f>
        <v/>
      </c>
      <c r="E882" s="22" t="str">
        <f>IF(Tabel!P885="","",Tabel!T885)</f>
        <v/>
      </c>
      <c r="F882" s="11" t="str">
        <f>IF(Tabel!P885="","",IF(Tabel!U885="","",Tabel!P885))</f>
        <v/>
      </c>
    </row>
    <row r="883" spans="1:6" x14ac:dyDescent="0.25">
      <c r="A883" s="22" t="str">
        <f>IF(Tabel!N886="","",Tabel!Q886)</f>
        <v/>
      </c>
      <c r="B883" s="11" t="str">
        <f>IF(Tabel!N886="","",IF(Tabel!Q886="","",Tabel!N886))</f>
        <v/>
      </c>
      <c r="C883" s="22" t="str">
        <f>IF(Tabel!O886="","",Tabel!S886)</f>
        <v/>
      </c>
      <c r="D883" s="11" t="str">
        <f>IF(Tabel!O886="","",IF(Tabel!S886="","",Tabel!O886))</f>
        <v/>
      </c>
      <c r="E883" s="22" t="str">
        <f>IF(Tabel!P886="","",Tabel!T886)</f>
        <v/>
      </c>
      <c r="F883" s="11" t="str">
        <f>IF(Tabel!P886="","",IF(Tabel!U886="","",Tabel!P886))</f>
        <v/>
      </c>
    </row>
    <row r="884" spans="1:6" x14ac:dyDescent="0.25">
      <c r="A884" s="22" t="str">
        <f>IF(Tabel!N887="","",Tabel!Q887)</f>
        <v/>
      </c>
      <c r="B884" s="11" t="str">
        <f>IF(Tabel!N887="","",IF(Tabel!Q887="","",Tabel!N887))</f>
        <v/>
      </c>
      <c r="C884" s="22" t="str">
        <f>IF(Tabel!O887="","",Tabel!S887)</f>
        <v/>
      </c>
      <c r="D884" s="11" t="str">
        <f>IF(Tabel!O887="","",IF(Tabel!S887="","",Tabel!O887))</f>
        <v/>
      </c>
      <c r="E884" s="22" t="str">
        <f>IF(Tabel!P887="","",Tabel!T887)</f>
        <v/>
      </c>
      <c r="F884" s="11" t="str">
        <f>IF(Tabel!P887="","",IF(Tabel!U887="","",Tabel!P887))</f>
        <v/>
      </c>
    </row>
    <row r="885" spans="1:6" x14ac:dyDescent="0.25">
      <c r="A885" s="22" t="str">
        <f>IF(Tabel!N888="","",Tabel!Q888)</f>
        <v/>
      </c>
      <c r="B885" s="11" t="str">
        <f>IF(Tabel!N888="","",IF(Tabel!Q888="","",Tabel!N888))</f>
        <v/>
      </c>
      <c r="C885" s="22" t="str">
        <f>IF(Tabel!O888="","",Tabel!S888)</f>
        <v/>
      </c>
      <c r="D885" s="11" t="str">
        <f>IF(Tabel!O888="","",IF(Tabel!S888="","",Tabel!O888))</f>
        <v/>
      </c>
      <c r="E885" s="22" t="str">
        <f>IF(Tabel!P888="","",Tabel!T888)</f>
        <v/>
      </c>
      <c r="F885" s="11" t="str">
        <f>IF(Tabel!P888="","",IF(Tabel!U888="","",Tabel!P888))</f>
        <v/>
      </c>
    </row>
    <row r="886" spans="1:6" x14ac:dyDescent="0.25">
      <c r="A886" s="22" t="str">
        <f>IF(Tabel!N889="","",Tabel!Q889)</f>
        <v/>
      </c>
      <c r="B886" s="11" t="str">
        <f>IF(Tabel!N889="","",IF(Tabel!Q889="","",Tabel!N889))</f>
        <v/>
      </c>
      <c r="C886" s="22" t="str">
        <f>IF(Tabel!O889="","",Tabel!S889)</f>
        <v/>
      </c>
      <c r="D886" s="11" t="str">
        <f>IF(Tabel!O889="","",IF(Tabel!S889="","",Tabel!O889))</f>
        <v/>
      </c>
      <c r="E886" s="22" t="str">
        <f>IF(Tabel!P889="","",Tabel!T889)</f>
        <v/>
      </c>
      <c r="F886" s="11" t="str">
        <f>IF(Tabel!P889="","",IF(Tabel!U889="","",Tabel!P889))</f>
        <v/>
      </c>
    </row>
    <row r="887" spans="1:6" x14ac:dyDescent="0.25">
      <c r="A887" s="22" t="str">
        <f>IF(Tabel!N890="","",Tabel!Q890)</f>
        <v/>
      </c>
      <c r="B887" s="11" t="str">
        <f>IF(Tabel!N890="","",IF(Tabel!Q890="","",Tabel!N890))</f>
        <v/>
      </c>
      <c r="C887" s="22" t="str">
        <f>IF(Tabel!O890="","",Tabel!S890)</f>
        <v/>
      </c>
      <c r="D887" s="11" t="str">
        <f>IF(Tabel!O890="","",IF(Tabel!S890="","",Tabel!O890))</f>
        <v/>
      </c>
      <c r="E887" s="22" t="str">
        <f>IF(Tabel!P890="","",Tabel!T890)</f>
        <v/>
      </c>
      <c r="F887" s="11" t="str">
        <f>IF(Tabel!P890="","",IF(Tabel!U890="","",Tabel!P890))</f>
        <v/>
      </c>
    </row>
    <row r="888" spans="1:6" x14ac:dyDescent="0.25">
      <c r="A888" s="22" t="str">
        <f>IF(Tabel!N891="","",Tabel!Q891)</f>
        <v/>
      </c>
      <c r="B888" s="11" t="str">
        <f>IF(Tabel!N891="","",IF(Tabel!Q891="","",Tabel!N891))</f>
        <v/>
      </c>
      <c r="C888" s="22" t="str">
        <f>IF(Tabel!O891="","",Tabel!S891)</f>
        <v/>
      </c>
      <c r="D888" s="11" t="str">
        <f>IF(Tabel!O891="","",IF(Tabel!S891="","",Tabel!O891))</f>
        <v/>
      </c>
      <c r="E888" s="22" t="str">
        <f>IF(Tabel!P891="","",Tabel!T891)</f>
        <v/>
      </c>
      <c r="F888" s="11" t="str">
        <f>IF(Tabel!P891="","",IF(Tabel!U891="","",Tabel!P891))</f>
        <v/>
      </c>
    </row>
    <row r="889" spans="1:6" x14ac:dyDescent="0.25">
      <c r="A889" s="22" t="str">
        <f>IF(Tabel!N892="","",Tabel!Q892)</f>
        <v/>
      </c>
      <c r="B889" s="11" t="str">
        <f>IF(Tabel!N892="","",IF(Tabel!Q892="","",Tabel!N892))</f>
        <v/>
      </c>
      <c r="C889" s="22" t="str">
        <f>IF(Tabel!O892="","",Tabel!S892)</f>
        <v/>
      </c>
      <c r="D889" s="11" t="str">
        <f>IF(Tabel!O892="","",IF(Tabel!S892="","",Tabel!O892))</f>
        <v/>
      </c>
      <c r="E889" s="22" t="str">
        <f>IF(Tabel!P892="","",Tabel!T892)</f>
        <v/>
      </c>
      <c r="F889" s="11" t="str">
        <f>IF(Tabel!P892="","",IF(Tabel!U892="","",Tabel!P892))</f>
        <v/>
      </c>
    </row>
    <row r="890" spans="1:6" x14ac:dyDescent="0.25">
      <c r="A890" s="22" t="str">
        <f>IF(Tabel!N893="","",Tabel!Q893)</f>
        <v/>
      </c>
      <c r="B890" s="11" t="str">
        <f>IF(Tabel!N893="","",IF(Tabel!Q893="","",Tabel!N893))</f>
        <v/>
      </c>
      <c r="C890" s="22" t="str">
        <f>IF(Tabel!O893="","",Tabel!S893)</f>
        <v/>
      </c>
      <c r="D890" s="11" t="str">
        <f>IF(Tabel!O893="","",IF(Tabel!S893="","",Tabel!O893))</f>
        <v/>
      </c>
      <c r="E890" s="22" t="str">
        <f>IF(Tabel!P893="","",Tabel!T893)</f>
        <v/>
      </c>
      <c r="F890" s="11" t="str">
        <f>IF(Tabel!P893="","",IF(Tabel!U893="","",Tabel!P893))</f>
        <v/>
      </c>
    </row>
    <row r="891" spans="1:6" x14ac:dyDescent="0.25">
      <c r="A891" s="22" t="str">
        <f>IF(Tabel!N894="","",Tabel!Q894)</f>
        <v/>
      </c>
      <c r="B891" s="11" t="str">
        <f>IF(Tabel!N894="","",IF(Tabel!Q894="","",Tabel!N894))</f>
        <v/>
      </c>
      <c r="C891" s="22" t="str">
        <f>IF(Tabel!O894="","",Tabel!S894)</f>
        <v/>
      </c>
      <c r="D891" s="11" t="str">
        <f>IF(Tabel!O894="","",IF(Tabel!S894="","",Tabel!O894))</f>
        <v/>
      </c>
      <c r="E891" s="22" t="str">
        <f>IF(Tabel!P894="","",Tabel!T894)</f>
        <v/>
      </c>
      <c r="F891" s="11" t="str">
        <f>IF(Tabel!P894="","",IF(Tabel!U894="","",Tabel!P894))</f>
        <v/>
      </c>
    </row>
    <row r="892" spans="1:6" x14ac:dyDescent="0.25">
      <c r="A892" s="22" t="str">
        <f>IF(Tabel!N895="","",Tabel!Q895)</f>
        <v/>
      </c>
      <c r="B892" s="11" t="str">
        <f>IF(Tabel!N895="","",IF(Tabel!Q895="","",Tabel!N895))</f>
        <v/>
      </c>
      <c r="C892" s="22" t="str">
        <f>IF(Tabel!O895="","",Tabel!S895)</f>
        <v/>
      </c>
      <c r="D892" s="11" t="str">
        <f>IF(Tabel!O895="","",IF(Tabel!S895="","",Tabel!O895))</f>
        <v/>
      </c>
      <c r="E892" s="22" t="str">
        <f>IF(Tabel!P895="","",Tabel!T895)</f>
        <v/>
      </c>
      <c r="F892" s="11" t="str">
        <f>IF(Tabel!P895="","",IF(Tabel!U895="","",Tabel!P895))</f>
        <v/>
      </c>
    </row>
    <row r="893" spans="1:6" x14ac:dyDescent="0.25">
      <c r="A893" s="22" t="str">
        <f>IF(Tabel!N896="","",Tabel!Q896)</f>
        <v/>
      </c>
      <c r="B893" s="11" t="str">
        <f>IF(Tabel!N896="","",IF(Tabel!Q896="","",Tabel!N896))</f>
        <v/>
      </c>
      <c r="C893" s="22" t="str">
        <f>IF(Tabel!O896="","",Tabel!S896)</f>
        <v/>
      </c>
      <c r="D893" s="11" t="str">
        <f>IF(Tabel!O896="","",IF(Tabel!S896="","",Tabel!O896))</f>
        <v/>
      </c>
      <c r="E893" s="22" t="str">
        <f>IF(Tabel!P896="","",Tabel!T896)</f>
        <v/>
      </c>
      <c r="F893" s="11" t="str">
        <f>IF(Tabel!P896="","",IF(Tabel!U896="","",Tabel!P896))</f>
        <v/>
      </c>
    </row>
    <row r="894" spans="1:6" x14ac:dyDescent="0.25">
      <c r="A894" s="22" t="str">
        <f>IF(Tabel!N897="","",Tabel!Q897)</f>
        <v/>
      </c>
      <c r="B894" s="11" t="str">
        <f>IF(Tabel!N897="","",IF(Tabel!Q897="","",Tabel!N897))</f>
        <v/>
      </c>
      <c r="C894" s="22" t="str">
        <f>IF(Tabel!O897="","",Tabel!S897)</f>
        <v/>
      </c>
      <c r="D894" s="11" t="str">
        <f>IF(Tabel!O897="","",IF(Tabel!S897="","",Tabel!O897))</f>
        <v/>
      </c>
      <c r="E894" s="22" t="str">
        <f>IF(Tabel!P897="","",Tabel!T897)</f>
        <v/>
      </c>
      <c r="F894" s="11" t="str">
        <f>IF(Tabel!P897="","",IF(Tabel!U897="","",Tabel!P897))</f>
        <v/>
      </c>
    </row>
    <row r="895" spans="1:6" x14ac:dyDescent="0.25">
      <c r="A895" s="22" t="str">
        <f>IF(Tabel!N898="","",Tabel!Q898)</f>
        <v/>
      </c>
      <c r="B895" s="11" t="str">
        <f>IF(Tabel!N898="","",IF(Tabel!Q898="","",Tabel!N898))</f>
        <v/>
      </c>
      <c r="C895" s="22" t="str">
        <f>IF(Tabel!O898="","",Tabel!S898)</f>
        <v/>
      </c>
      <c r="D895" s="11" t="str">
        <f>IF(Tabel!O898="","",IF(Tabel!S898="","",Tabel!O898))</f>
        <v/>
      </c>
      <c r="E895" s="22" t="str">
        <f>IF(Tabel!P898="","",Tabel!T898)</f>
        <v/>
      </c>
      <c r="F895" s="11" t="str">
        <f>IF(Tabel!P898="","",IF(Tabel!U898="","",Tabel!P898))</f>
        <v/>
      </c>
    </row>
    <row r="896" spans="1:6" x14ac:dyDescent="0.25">
      <c r="A896" s="22" t="str">
        <f>IF(Tabel!N899="","",Tabel!Q899)</f>
        <v/>
      </c>
      <c r="B896" s="11" t="str">
        <f>IF(Tabel!N899="","",IF(Tabel!Q899="","",Tabel!N899))</f>
        <v/>
      </c>
      <c r="C896" s="22" t="str">
        <f>IF(Tabel!O899="","",Tabel!S899)</f>
        <v/>
      </c>
      <c r="D896" s="11" t="str">
        <f>IF(Tabel!O899="","",IF(Tabel!S899="","",Tabel!O899))</f>
        <v/>
      </c>
      <c r="E896" s="22" t="str">
        <f>IF(Tabel!P899="","",Tabel!T899)</f>
        <v/>
      </c>
      <c r="F896" s="11" t="str">
        <f>IF(Tabel!P899="","",IF(Tabel!U899="","",Tabel!P899))</f>
        <v/>
      </c>
    </row>
    <row r="897" spans="1:6" x14ac:dyDescent="0.25">
      <c r="A897" s="22" t="str">
        <f>IF(Tabel!N900="","",Tabel!Q900)</f>
        <v/>
      </c>
      <c r="B897" s="11" t="str">
        <f>IF(Tabel!N900="","",IF(Tabel!Q900="","",Tabel!N900))</f>
        <v/>
      </c>
      <c r="C897" s="22" t="str">
        <f>IF(Tabel!O900="","",Tabel!S900)</f>
        <v/>
      </c>
      <c r="D897" s="11" t="str">
        <f>IF(Tabel!O900="","",IF(Tabel!S900="","",Tabel!O900))</f>
        <v/>
      </c>
      <c r="E897" s="22" t="str">
        <f>IF(Tabel!P900="","",Tabel!T900)</f>
        <v/>
      </c>
      <c r="F897" s="11" t="str">
        <f>IF(Tabel!P900="","",IF(Tabel!U900="","",Tabel!P900))</f>
        <v/>
      </c>
    </row>
    <row r="898" spans="1:6" x14ac:dyDescent="0.25">
      <c r="A898" s="22" t="str">
        <f>IF(Tabel!N901="","",Tabel!Q901)</f>
        <v/>
      </c>
      <c r="B898" s="11" t="str">
        <f>IF(Tabel!N901="","",IF(Tabel!Q901="","",Tabel!N901))</f>
        <v/>
      </c>
      <c r="C898" s="22" t="str">
        <f>IF(Tabel!O901="","",Tabel!S901)</f>
        <v/>
      </c>
      <c r="D898" s="11" t="str">
        <f>IF(Tabel!O901="","",IF(Tabel!S901="","",Tabel!O901))</f>
        <v/>
      </c>
      <c r="E898" s="22" t="str">
        <f>IF(Tabel!P901="","",Tabel!T901)</f>
        <v/>
      </c>
      <c r="F898" s="11" t="str">
        <f>IF(Tabel!P901="","",IF(Tabel!U901="","",Tabel!P901))</f>
        <v/>
      </c>
    </row>
    <row r="899" spans="1:6" x14ac:dyDescent="0.25">
      <c r="A899" s="22" t="str">
        <f>IF(Tabel!N902="","",Tabel!Q902)</f>
        <v/>
      </c>
      <c r="B899" s="11" t="str">
        <f>IF(Tabel!N902="","",IF(Tabel!Q902="","",Tabel!N902))</f>
        <v/>
      </c>
      <c r="C899" s="22" t="str">
        <f>IF(Tabel!O902="","",Tabel!S902)</f>
        <v/>
      </c>
      <c r="D899" s="11" t="str">
        <f>IF(Tabel!O902="","",IF(Tabel!S902="","",Tabel!O902))</f>
        <v/>
      </c>
      <c r="E899" s="22" t="str">
        <f>IF(Tabel!P902="","",Tabel!T902)</f>
        <v/>
      </c>
      <c r="F899" s="11" t="str">
        <f>IF(Tabel!P902="","",IF(Tabel!U902="","",Tabel!P902))</f>
        <v/>
      </c>
    </row>
    <row r="900" spans="1:6" x14ac:dyDescent="0.25">
      <c r="A900" s="22" t="str">
        <f>IF(Tabel!N903="","",Tabel!Q903)</f>
        <v/>
      </c>
      <c r="B900" s="11" t="str">
        <f>IF(Tabel!N903="","",IF(Tabel!Q903="","",Tabel!N903))</f>
        <v/>
      </c>
      <c r="C900" s="22" t="str">
        <f>IF(Tabel!O903="","",Tabel!S903)</f>
        <v/>
      </c>
      <c r="D900" s="11" t="str">
        <f>IF(Tabel!O903="","",IF(Tabel!S903="","",Tabel!O903))</f>
        <v/>
      </c>
      <c r="E900" s="22" t="str">
        <f>IF(Tabel!P903="","",Tabel!T903)</f>
        <v/>
      </c>
      <c r="F900" s="11" t="str">
        <f>IF(Tabel!P903="","",IF(Tabel!U903="","",Tabel!P903))</f>
        <v/>
      </c>
    </row>
    <row r="901" spans="1:6" x14ac:dyDescent="0.25">
      <c r="A901" s="22" t="str">
        <f>IF(Tabel!N904="","",Tabel!Q904)</f>
        <v/>
      </c>
      <c r="B901" s="11" t="str">
        <f>IF(Tabel!N904="","",IF(Tabel!Q904="","",Tabel!N904))</f>
        <v/>
      </c>
      <c r="C901" s="22" t="str">
        <f>IF(Tabel!O904="","",Tabel!S904)</f>
        <v/>
      </c>
      <c r="D901" s="11" t="str">
        <f>IF(Tabel!O904="","",IF(Tabel!S904="","",Tabel!O904))</f>
        <v/>
      </c>
      <c r="E901" s="22" t="str">
        <f>IF(Tabel!P904="","",Tabel!T904)</f>
        <v/>
      </c>
      <c r="F901" s="11" t="str">
        <f>IF(Tabel!P904="","",IF(Tabel!U904="","",Tabel!P904))</f>
        <v/>
      </c>
    </row>
    <row r="902" spans="1:6" x14ac:dyDescent="0.25">
      <c r="A902" s="22" t="str">
        <f>IF(Tabel!N905="","",Tabel!Q905)</f>
        <v/>
      </c>
      <c r="B902" s="11" t="str">
        <f>IF(Tabel!N905="","",IF(Tabel!Q905="","",Tabel!N905))</f>
        <v/>
      </c>
      <c r="C902" s="22" t="str">
        <f>IF(Tabel!O905="","",Tabel!S905)</f>
        <v/>
      </c>
      <c r="D902" s="11" t="str">
        <f>IF(Tabel!O905="","",IF(Tabel!S905="","",Tabel!O905))</f>
        <v/>
      </c>
      <c r="E902" s="22" t="str">
        <f>IF(Tabel!P905="","",Tabel!T905)</f>
        <v/>
      </c>
      <c r="F902" s="11" t="str">
        <f>IF(Tabel!P905="","",IF(Tabel!U905="","",Tabel!P905))</f>
        <v/>
      </c>
    </row>
    <row r="903" spans="1:6" x14ac:dyDescent="0.25">
      <c r="A903" s="22" t="str">
        <f>IF(Tabel!N906="","",Tabel!Q906)</f>
        <v/>
      </c>
      <c r="B903" s="11" t="str">
        <f>IF(Tabel!N906="","",IF(Tabel!Q906="","",Tabel!N906))</f>
        <v/>
      </c>
      <c r="C903" s="22" t="str">
        <f>IF(Tabel!O906="","",Tabel!S906)</f>
        <v/>
      </c>
      <c r="D903" s="11" t="str">
        <f>IF(Tabel!O906="","",IF(Tabel!S906="","",Tabel!O906))</f>
        <v/>
      </c>
      <c r="E903" s="22" t="str">
        <f>IF(Tabel!P906="","",Tabel!T906)</f>
        <v/>
      </c>
      <c r="F903" s="11" t="str">
        <f>IF(Tabel!P906="","",IF(Tabel!U906="","",Tabel!P906))</f>
        <v/>
      </c>
    </row>
    <row r="904" spans="1:6" x14ac:dyDescent="0.25">
      <c r="A904" s="22" t="str">
        <f>IF(Tabel!N907="","",Tabel!Q907)</f>
        <v/>
      </c>
      <c r="B904" s="11" t="str">
        <f>IF(Tabel!N907="","",IF(Tabel!Q907="","",Tabel!N907))</f>
        <v/>
      </c>
      <c r="C904" s="22" t="str">
        <f>IF(Tabel!O907="","",Tabel!S907)</f>
        <v/>
      </c>
      <c r="D904" s="11" t="str">
        <f>IF(Tabel!O907="","",IF(Tabel!S907="","",Tabel!O907))</f>
        <v/>
      </c>
      <c r="E904" s="22" t="str">
        <f>IF(Tabel!P907="","",Tabel!T907)</f>
        <v/>
      </c>
      <c r="F904" s="11" t="str">
        <f>IF(Tabel!P907="","",IF(Tabel!U907="","",Tabel!P907))</f>
        <v/>
      </c>
    </row>
    <row r="905" spans="1:6" x14ac:dyDescent="0.25">
      <c r="A905" s="22" t="str">
        <f>IF(Tabel!N908="","",Tabel!Q908)</f>
        <v/>
      </c>
      <c r="B905" s="11" t="str">
        <f>IF(Tabel!N908="","",IF(Tabel!Q908="","",Tabel!N908))</f>
        <v/>
      </c>
      <c r="C905" s="22" t="str">
        <f>IF(Tabel!O908="","",Tabel!S908)</f>
        <v/>
      </c>
      <c r="D905" s="11" t="str">
        <f>IF(Tabel!O908="","",IF(Tabel!S908="","",Tabel!O908))</f>
        <v/>
      </c>
      <c r="E905" s="22" t="str">
        <f>IF(Tabel!P908="","",Tabel!T908)</f>
        <v/>
      </c>
      <c r="F905" s="11" t="str">
        <f>IF(Tabel!P908="","",IF(Tabel!U908="","",Tabel!P908))</f>
        <v/>
      </c>
    </row>
    <row r="906" spans="1:6" x14ac:dyDescent="0.25">
      <c r="A906" s="22" t="str">
        <f>IF(Tabel!N909="","",Tabel!Q909)</f>
        <v/>
      </c>
      <c r="B906" s="11" t="str">
        <f>IF(Tabel!N909="","",IF(Tabel!Q909="","",Tabel!N909))</f>
        <v/>
      </c>
      <c r="C906" s="22" t="str">
        <f>IF(Tabel!O909="","",Tabel!S909)</f>
        <v/>
      </c>
      <c r="D906" s="11" t="str">
        <f>IF(Tabel!O909="","",IF(Tabel!S909="","",Tabel!O909))</f>
        <v/>
      </c>
      <c r="E906" s="22" t="str">
        <f>IF(Tabel!P909="","",Tabel!T909)</f>
        <v/>
      </c>
      <c r="F906" s="11" t="str">
        <f>IF(Tabel!P909="","",IF(Tabel!U909="","",Tabel!P909))</f>
        <v/>
      </c>
    </row>
    <row r="907" spans="1:6" x14ac:dyDescent="0.25">
      <c r="A907" s="22" t="str">
        <f>IF(Tabel!N910="","",Tabel!Q910)</f>
        <v/>
      </c>
      <c r="B907" s="11" t="str">
        <f>IF(Tabel!N910="","",IF(Tabel!Q910="","",Tabel!N910))</f>
        <v/>
      </c>
      <c r="C907" s="22" t="str">
        <f>IF(Tabel!O910="","",Tabel!S910)</f>
        <v/>
      </c>
      <c r="D907" s="11" t="str">
        <f>IF(Tabel!O910="","",IF(Tabel!S910="","",Tabel!O910))</f>
        <v/>
      </c>
      <c r="E907" s="22" t="str">
        <f>IF(Tabel!P910="","",Tabel!T910)</f>
        <v/>
      </c>
      <c r="F907" s="11" t="str">
        <f>IF(Tabel!P910="","",IF(Tabel!U910="","",Tabel!P910))</f>
        <v/>
      </c>
    </row>
    <row r="908" spans="1:6" x14ac:dyDescent="0.25">
      <c r="A908" s="22" t="str">
        <f>IF(Tabel!N911="","",Tabel!Q911)</f>
        <v/>
      </c>
      <c r="B908" s="11" t="str">
        <f>IF(Tabel!N911="","",IF(Tabel!Q911="","",Tabel!N911))</f>
        <v/>
      </c>
      <c r="C908" s="22" t="str">
        <f>IF(Tabel!O911="","",Tabel!S911)</f>
        <v/>
      </c>
      <c r="D908" s="11" t="str">
        <f>IF(Tabel!O911="","",IF(Tabel!S911="","",Tabel!O911))</f>
        <v/>
      </c>
      <c r="E908" s="22" t="str">
        <f>IF(Tabel!P911="","",Tabel!T911)</f>
        <v/>
      </c>
      <c r="F908" s="11" t="str">
        <f>IF(Tabel!P911="","",IF(Tabel!U911="","",Tabel!P911))</f>
        <v/>
      </c>
    </row>
    <row r="909" spans="1:6" x14ac:dyDescent="0.25">
      <c r="A909" s="22" t="str">
        <f>IF(Tabel!N912="","",Tabel!Q912)</f>
        <v/>
      </c>
      <c r="B909" s="11" t="str">
        <f>IF(Tabel!N912="","",IF(Tabel!Q912="","",Tabel!N912))</f>
        <v/>
      </c>
      <c r="C909" s="22" t="str">
        <f>IF(Tabel!O912="","",Tabel!S912)</f>
        <v/>
      </c>
      <c r="D909" s="11" t="str">
        <f>IF(Tabel!O912="","",IF(Tabel!S912="","",Tabel!O912))</f>
        <v/>
      </c>
      <c r="E909" s="22" t="str">
        <f>IF(Tabel!P912="","",Tabel!T912)</f>
        <v/>
      </c>
      <c r="F909" s="11" t="str">
        <f>IF(Tabel!P912="","",IF(Tabel!U912="","",Tabel!P912))</f>
        <v/>
      </c>
    </row>
    <row r="910" spans="1:6" x14ac:dyDescent="0.25">
      <c r="A910" s="22" t="str">
        <f>IF(Tabel!N913="","",Tabel!Q913)</f>
        <v/>
      </c>
      <c r="B910" s="11" t="str">
        <f>IF(Tabel!N913="","",IF(Tabel!Q913="","",Tabel!N913))</f>
        <v/>
      </c>
      <c r="C910" s="22" t="str">
        <f>IF(Tabel!O913="","",Tabel!S913)</f>
        <v/>
      </c>
      <c r="D910" s="11" t="str">
        <f>IF(Tabel!O913="","",IF(Tabel!S913="","",Tabel!O913))</f>
        <v/>
      </c>
      <c r="E910" s="22" t="str">
        <f>IF(Tabel!P913="","",Tabel!T913)</f>
        <v/>
      </c>
      <c r="F910" s="11" t="str">
        <f>IF(Tabel!P913="","",IF(Tabel!U913="","",Tabel!P913))</f>
        <v/>
      </c>
    </row>
    <row r="911" spans="1:6" x14ac:dyDescent="0.25">
      <c r="A911" s="22" t="str">
        <f>IF(Tabel!N914="","",Tabel!Q914)</f>
        <v/>
      </c>
      <c r="B911" s="11" t="str">
        <f>IF(Tabel!N914="","",IF(Tabel!Q914="","",Tabel!N914))</f>
        <v/>
      </c>
      <c r="C911" s="22" t="str">
        <f>IF(Tabel!O914="","",Tabel!S914)</f>
        <v/>
      </c>
      <c r="D911" s="11" t="str">
        <f>IF(Tabel!O914="","",IF(Tabel!S914="","",Tabel!O914))</f>
        <v/>
      </c>
      <c r="E911" s="22" t="str">
        <f>IF(Tabel!P914="","",Tabel!T914)</f>
        <v/>
      </c>
      <c r="F911" s="11" t="str">
        <f>IF(Tabel!P914="","",IF(Tabel!U914="","",Tabel!P914))</f>
        <v/>
      </c>
    </row>
    <row r="912" spans="1:6" x14ac:dyDescent="0.25">
      <c r="A912" s="22" t="str">
        <f>IF(Tabel!N915="","",Tabel!Q915)</f>
        <v/>
      </c>
      <c r="B912" s="11" t="str">
        <f>IF(Tabel!N915="","",IF(Tabel!Q915="","",Tabel!N915))</f>
        <v/>
      </c>
      <c r="C912" s="22" t="str">
        <f>IF(Tabel!O915="","",Tabel!S915)</f>
        <v/>
      </c>
      <c r="D912" s="11" t="str">
        <f>IF(Tabel!O915="","",IF(Tabel!S915="","",Tabel!O915))</f>
        <v/>
      </c>
      <c r="E912" s="22" t="str">
        <f>IF(Tabel!P915="","",Tabel!T915)</f>
        <v/>
      </c>
      <c r="F912" s="11" t="str">
        <f>IF(Tabel!P915="","",IF(Tabel!U915="","",Tabel!P915))</f>
        <v/>
      </c>
    </row>
    <row r="913" spans="1:6" x14ac:dyDescent="0.25">
      <c r="A913" s="22" t="str">
        <f>IF(Tabel!N916="","",Tabel!Q916)</f>
        <v/>
      </c>
      <c r="B913" s="11" t="str">
        <f>IF(Tabel!N916="","",IF(Tabel!Q916="","",Tabel!N916))</f>
        <v/>
      </c>
      <c r="C913" s="22" t="str">
        <f>IF(Tabel!O916="","",Tabel!S916)</f>
        <v/>
      </c>
      <c r="D913" s="11" t="str">
        <f>IF(Tabel!O916="","",IF(Tabel!S916="","",Tabel!O916))</f>
        <v/>
      </c>
      <c r="E913" s="22" t="str">
        <f>IF(Tabel!P916="","",Tabel!T916)</f>
        <v/>
      </c>
      <c r="F913" s="11" t="str">
        <f>IF(Tabel!P916="","",IF(Tabel!U916="","",Tabel!P916))</f>
        <v/>
      </c>
    </row>
    <row r="914" spans="1:6" x14ac:dyDescent="0.25">
      <c r="A914" s="22" t="str">
        <f>IF(Tabel!N917="","",Tabel!Q917)</f>
        <v/>
      </c>
      <c r="B914" s="11" t="str">
        <f>IF(Tabel!N917="","",IF(Tabel!Q917="","",Tabel!N917))</f>
        <v/>
      </c>
      <c r="C914" s="22" t="str">
        <f>IF(Tabel!O917="","",Tabel!S917)</f>
        <v/>
      </c>
      <c r="D914" s="11" t="str">
        <f>IF(Tabel!O917="","",IF(Tabel!S917="","",Tabel!O917))</f>
        <v/>
      </c>
      <c r="E914" s="22" t="str">
        <f>IF(Tabel!P917="","",Tabel!T917)</f>
        <v/>
      </c>
      <c r="F914" s="11" t="str">
        <f>IF(Tabel!P917="","",IF(Tabel!U917="","",Tabel!P917))</f>
        <v/>
      </c>
    </row>
    <row r="915" spans="1:6" x14ac:dyDescent="0.25">
      <c r="A915" s="22" t="str">
        <f>IF(Tabel!N918="","",Tabel!Q918)</f>
        <v/>
      </c>
      <c r="B915" s="11" t="str">
        <f>IF(Tabel!N918="","",IF(Tabel!Q918="","",Tabel!N918))</f>
        <v/>
      </c>
      <c r="C915" s="22" t="str">
        <f>IF(Tabel!O918="","",Tabel!S918)</f>
        <v/>
      </c>
      <c r="D915" s="11" t="str">
        <f>IF(Tabel!O918="","",IF(Tabel!S918="","",Tabel!O918))</f>
        <v/>
      </c>
      <c r="E915" s="22" t="str">
        <f>IF(Tabel!P918="","",Tabel!T918)</f>
        <v/>
      </c>
      <c r="F915" s="11" t="str">
        <f>IF(Tabel!P918="","",IF(Tabel!U918="","",Tabel!P918))</f>
        <v/>
      </c>
    </row>
    <row r="916" spans="1:6" x14ac:dyDescent="0.25">
      <c r="A916" s="22" t="str">
        <f>IF(Tabel!N919="","",Tabel!Q919)</f>
        <v/>
      </c>
      <c r="B916" s="11" t="str">
        <f>IF(Tabel!N919="","",IF(Tabel!Q919="","",Tabel!N919))</f>
        <v/>
      </c>
      <c r="C916" s="22" t="str">
        <f>IF(Tabel!O919="","",Tabel!S919)</f>
        <v/>
      </c>
      <c r="D916" s="11" t="str">
        <f>IF(Tabel!O919="","",IF(Tabel!S919="","",Tabel!O919))</f>
        <v/>
      </c>
      <c r="E916" s="22" t="str">
        <f>IF(Tabel!P919="","",Tabel!T919)</f>
        <v/>
      </c>
      <c r="F916" s="11" t="str">
        <f>IF(Tabel!P919="","",IF(Tabel!U919="","",Tabel!P919))</f>
        <v/>
      </c>
    </row>
    <row r="917" spans="1:6" x14ac:dyDescent="0.25">
      <c r="A917" s="22" t="str">
        <f>IF(Tabel!N920="","",Tabel!Q920)</f>
        <v/>
      </c>
      <c r="B917" s="11" t="str">
        <f>IF(Tabel!N920="","",IF(Tabel!Q920="","",Tabel!N920))</f>
        <v/>
      </c>
      <c r="C917" s="22" t="str">
        <f>IF(Tabel!O920="","",Tabel!S920)</f>
        <v/>
      </c>
      <c r="D917" s="11" t="str">
        <f>IF(Tabel!O920="","",IF(Tabel!S920="","",Tabel!O920))</f>
        <v/>
      </c>
      <c r="E917" s="22" t="str">
        <f>IF(Tabel!P920="","",Tabel!T920)</f>
        <v/>
      </c>
      <c r="F917" s="11" t="str">
        <f>IF(Tabel!P920="","",IF(Tabel!U920="","",Tabel!P920))</f>
        <v/>
      </c>
    </row>
    <row r="918" spans="1:6" x14ac:dyDescent="0.25">
      <c r="A918" s="22" t="str">
        <f>IF(Tabel!N921="","",Tabel!Q921)</f>
        <v/>
      </c>
      <c r="B918" s="11" t="str">
        <f>IF(Tabel!N921="","",IF(Tabel!Q921="","",Tabel!N921))</f>
        <v/>
      </c>
      <c r="C918" s="22" t="str">
        <f>IF(Tabel!O921="","",Tabel!S921)</f>
        <v/>
      </c>
      <c r="D918" s="11" t="str">
        <f>IF(Tabel!O921="","",IF(Tabel!S921="","",Tabel!O921))</f>
        <v/>
      </c>
      <c r="E918" s="22" t="str">
        <f>IF(Tabel!P921="","",Tabel!T921)</f>
        <v/>
      </c>
      <c r="F918" s="11" t="str">
        <f>IF(Tabel!P921="","",IF(Tabel!U921="","",Tabel!P921))</f>
        <v/>
      </c>
    </row>
    <row r="919" spans="1:6" x14ac:dyDescent="0.25">
      <c r="A919" s="22" t="str">
        <f>IF(Tabel!N922="","",Tabel!Q922)</f>
        <v/>
      </c>
      <c r="B919" s="11" t="str">
        <f>IF(Tabel!N922="","",IF(Tabel!Q922="","",Tabel!N922))</f>
        <v/>
      </c>
      <c r="C919" s="22" t="str">
        <f>IF(Tabel!O922="","",Tabel!S922)</f>
        <v/>
      </c>
      <c r="D919" s="11" t="str">
        <f>IF(Tabel!O922="","",IF(Tabel!S922="","",Tabel!O922))</f>
        <v/>
      </c>
      <c r="E919" s="22" t="str">
        <f>IF(Tabel!P922="","",Tabel!T922)</f>
        <v/>
      </c>
      <c r="F919" s="11" t="str">
        <f>IF(Tabel!P922="","",IF(Tabel!U922="","",Tabel!P922))</f>
        <v/>
      </c>
    </row>
    <row r="920" spans="1:6" x14ac:dyDescent="0.25">
      <c r="A920" s="22" t="str">
        <f>IF(Tabel!N923="","",Tabel!Q923)</f>
        <v/>
      </c>
      <c r="B920" s="11" t="str">
        <f>IF(Tabel!N923="","",IF(Tabel!Q923="","",Tabel!N923))</f>
        <v/>
      </c>
      <c r="C920" s="22" t="str">
        <f>IF(Tabel!O923="","",Tabel!S923)</f>
        <v/>
      </c>
      <c r="D920" s="11" t="str">
        <f>IF(Tabel!O923="","",IF(Tabel!S923="","",Tabel!O923))</f>
        <v/>
      </c>
      <c r="E920" s="22" t="str">
        <f>IF(Tabel!P923="","",Tabel!T923)</f>
        <v/>
      </c>
      <c r="F920" s="11" t="str">
        <f>IF(Tabel!P923="","",IF(Tabel!U923="","",Tabel!P923))</f>
        <v/>
      </c>
    </row>
    <row r="921" spans="1:6" x14ac:dyDescent="0.25">
      <c r="A921" s="22" t="str">
        <f>IF(Tabel!N924="","",Tabel!Q924)</f>
        <v/>
      </c>
      <c r="B921" s="11" t="str">
        <f>IF(Tabel!N924="","",IF(Tabel!Q924="","",Tabel!N924))</f>
        <v/>
      </c>
      <c r="C921" s="22" t="str">
        <f>IF(Tabel!O924="","",Tabel!S924)</f>
        <v/>
      </c>
      <c r="D921" s="11" t="str">
        <f>IF(Tabel!O924="","",IF(Tabel!S924="","",Tabel!O924))</f>
        <v/>
      </c>
      <c r="E921" s="22" t="str">
        <f>IF(Tabel!P924="","",Tabel!T924)</f>
        <v/>
      </c>
      <c r="F921" s="11" t="str">
        <f>IF(Tabel!P924="","",IF(Tabel!U924="","",Tabel!P924))</f>
        <v/>
      </c>
    </row>
    <row r="922" spans="1:6" x14ac:dyDescent="0.25">
      <c r="A922" s="22" t="str">
        <f>IF(Tabel!N925="","",Tabel!Q925)</f>
        <v/>
      </c>
      <c r="B922" s="11" t="str">
        <f>IF(Tabel!N925="","",IF(Tabel!Q925="","",Tabel!N925))</f>
        <v/>
      </c>
      <c r="C922" s="22" t="str">
        <f>IF(Tabel!O925="","",Tabel!S925)</f>
        <v/>
      </c>
      <c r="D922" s="11" t="str">
        <f>IF(Tabel!O925="","",IF(Tabel!S925="","",Tabel!O925))</f>
        <v/>
      </c>
      <c r="E922" s="22" t="str">
        <f>IF(Tabel!P925="","",Tabel!T925)</f>
        <v/>
      </c>
      <c r="F922" s="11" t="str">
        <f>IF(Tabel!P925="","",IF(Tabel!U925="","",Tabel!P925))</f>
        <v/>
      </c>
    </row>
    <row r="923" spans="1:6" x14ac:dyDescent="0.25">
      <c r="A923" s="22" t="str">
        <f>IF(Tabel!N926="","",Tabel!Q926)</f>
        <v/>
      </c>
      <c r="B923" s="11" t="str">
        <f>IF(Tabel!N926="","",IF(Tabel!Q926="","",Tabel!N926))</f>
        <v/>
      </c>
      <c r="C923" s="22" t="str">
        <f>IF(Tabel!O926="","",Tabel!S926)</f>
        <v/>
      </c>
      <c r="D923" s="11" t="str">
        <f>IF(Tabel!O926="","",IF(Tabel!S926="","",Tabel!O926))</f>
        <v/>
      </c>
      <c r="E923" s="22" t="str">
        <f>IF(Tabel!P926="","",Tabel!T926)</f>
        <v/>
      </c>
      <c r="F923" s="11" t="str">
        <f>IF(Tabel!P926="","",IF(Tabel!U926="","",Tabel!P926))</f>
        <v/>
      </c>
    </row>
    <row r="924" spans="1:6" x14ac:dyDescent="0.25">
      <c r="A924" s="22" t="str">
        <f>IF(Tabel!N927="","",Tabel!Q927)</f>
        <v/>
      </c>
      <c r="B924" s="11" t="str">
        <f>IF(Tabel!N927="","",IF(Tabel!Q927="","",Tabel!N927))</f>
        <v/>
      </c>
      <c r="C924" s="22" t="str">
        <f>IF(Tabel!O927="","",Tabel!S927)</f>
        <v/>
      </c>
      <c r="D924" s="11" t="str">
        <f>IF(Tabel!O927="","",IF(Tabel!S927="","",Tabel!O927))</f>
        <v/>
      </c>
      <c r="E924" s="22" t="str">
        <f>IF(Tabel!P927="","",Tabel!T927)</f>
        <v/>
      </c>
      <c r="F924" s="11" t="str">
        <f>IF(Tabel!P927="","",IF(Tabel!U927="","",Tabel!P927))</f>
        <v/>
      </c>
    </row>
    <row r="925" spans="1:6" x14ac:dyDescent="0.25">
      <c r="A925" s="22" t="str">
        <f>IF(Tabel!N928="","",Tabel!Q928)</f>
        <v/>
      </c>
      <c r="B925" s="11" t="str">
        <f>IF(Tabel!N928="","",IF(Tabel!Q928="","",Tabel!N928))</f>
        <v/>
      </c>
      <c r="C925" s="22" t="str">
        <f>IF(Tabel!O928="","",Tabel!S928)</f>
        <v/>
      </c>
      <c r="D925" s="11" t="str">
        <f>IF(Tabel!O928="","",IF(Tabel!S928="","",Tabel!O928))</f>
        <v/>
      </c>
      <c r="E925" s="22" t="str">
        <f>IF(Tabel!P928="","",Tabel!T928)</f>
        <v/>
      </c>
      <c r="F925" s="11" t="str">
        <f>IF(Tabel!P928="","",IF(Tabel!U928="","",Tabel!P928))</f>
        <v/>
      </c>
    </row>
    <row r="926" spans="1:6" x14ac:dyDescent="0.25">
      <c r="A926" s="22" t="str">
        <f>IF(Tabel!N929="","",Tabel!Q929)</f>
        <v/>
      </c>
      <c r="B926" s="11" t="str">
        <f>IF(Tabel!N929="","",IF(Tabel!Q929="","",Tabel!N929))</f>
        <v/>
      </c>
      <c r="C926" s="22" t="str">
        <f>IF(Tabel!O929="","",Tabel!S929)</f>
        <v/>
      </c>
      <c r="D926" s="11" t="str">
        <f>IF(Tabel!O929="","",IF(Tabel!S929="","",Tabel!O929))</f>
        <v/>
      </c>
      <c r="E926" s="22" t="str">
        <f>IF(Tabel!P929="","",Tabel!T929)</f>
        <v/>
      </c>
      <c r="F926" s="11" t="str">
        <f>IF(Tabel!P929="","",IF(Tabel!U929="","",Tabel!P929))</f>
        <v/>
      </c>
    </row>
    <row r="927" spans="1:6" x14ac:dyDescent="0.25">
      <c r="A927" s="22" t="str">
        <f>IF(Tabel!N930="","",Tabel!Q930)</f>
        <v/>
      </c>
      <c r="B927" s="11" t="str">
        <f>IF(Tabel!N930="","",IF(Tabel!Q930="","",Tabel!N930))</f>
        <v/>
      </c>
      <c r="C927" s="22" t="str">
        <f>IF(Tabel!O930="","",Tabel!S930)</f>
        <v/>
      </c>
      <c r="D927" s="11" t="str">
        <f>IF(Tabel!O930="","",IF(Tabel!S930="","",Tabel!O930))</f>
        <v/>
      </c>
      <c r="E927" s="22" t="str">
        <f>IF(Tabel!P930="","",Tabel!T930)</f>
        <v/>
      </c>
      <c r="F927" s="11" t="str">
        <f>IF(Tabel!P930="","",IF(Tabel!U930="","",Tabel!P930))</f>
        <v/>
      </c>
    </row>
    <row r="928" spans="1:6" x14ac:dyDescent="0.25">
      <c r="A928" s="22" t="str">
        <f>IF(Tabel!N931="","",Tabel!Q931)</f>
        <v/>
      </c>
      <c r="B928" s="11" t="str">
        <f>IF(Tabel!N931="","",IF(Tabel!Q931="","",Tabel!N931))</f>
        <v/>
      </c>
      <c r="C928" s="22" t="str">
        <f>IF(Tabel!O931="","",Tabel!S931)</f>
        <v/>
      </c>
      <c r="D928" s="11" t="str">
        <f>IF(Tabel!O931="","",IF(Tabel!S931="","",Tabel!O931))</f>
        <v/>
      </c>
      <c r="E928" s="22" t="str">
        <f>IF(Tabel!P931="","",Tabel!T931)</f>
        <v/>
      </c>
      <c r="F928" s="11" t="str">
        <f>IF(Tabel!P931="","",IF(Tabel!U931="","",Tabel!P931))</f>
        <v/>
      </c>
    </row>
    <row r="929" spans="1:6" x14ac:dyDescent="0.25">
      <c r="A929" s="22" t="str">
        <f>IF(Tabel!N932="","",Tabel!Q932)</f>
        <v/>
      </c>
      <c r="B929" s="11" t="str">
        <f>IF(Tabel!N932="","",IF(Tabel!Q932="","",Tabel!N932))</f>
        <v/>
      </c>
      <c r="C929" s="22" t="str">
        <f>IF(Tabel!O932="","",Tabel!S932)</f>
        <v/>
      </c>
      <c r="D929" s="11" t="str">
        <f>IF(Tabel!O932="","",IF(Tabel!S932="","",Tabel!O932))</f>
        <v/>
      </c>
      <c r="E929" s="22" t="str">
        <f>IF(Tabel!P932="","",Tabel!T932)</f>
        <v/>
      </c>
      <c r="F929" s="11" t="str">
        <f>IF(Tabel!P932="","",IF(Tabel!U932="","",Tabel!P932))</f>
        <v/>
      </c>
    </row>
    <row r="930" spans="1:6" x14ac:dyDescent="0.25">
      <c r="A930" s="22" t="str">
        <f>IF(Tabel!N933="","",Tabel!Q933)</f>
        <v/>
      </c>
      <c r="B930" s="11" t="str">
        <f>IF(Tabel!N933="","",IF(Tabel!Q933="","",Tabel!N933))</f>
        <v/>
      </c>
      <c r="C930" s="22" t="str">
        <f>IF(Tabel!O933="","",Tabel!S933)</f>
        <v/>
      </c>
      <c r="D930" s="11" t="str">
        <f>IF(Tabel!O933="","",IF(Tabel!S933="","",Tabel!O933))</f>
        <v/>
      </c>
      <c r="E930" s="22" t="str">
        <f>IF(Tabel!P933="","",Tabel!T933)</f>
        <v/>
      </c>
      <c r="F930" s="11" t="str">
        <f>IF(Tabel!P933="","",IF(Tabel!U933="","",Tabel!P933))</f>
        <v/>
      </c>
    </row>
    <row r="931" spans="1:6" x14ac:dyDescent="0.25">
      <c r="A931" s="22" t="str">
        <f>IF(Tabel!N934="","",Tabel!Q934)</f>
        <v/>
      </c>
      <c r="B931" s="11" t="str">
        <f>IF(Tabel!N934="","",IF(Tabel!Q934="","",Tabel!N934))</f>
        <v/>
      </c>
      <c r="C931" s="22" t="str">
        <f>IF(Tabel!O934="","",Tabel!S934)</f>
        <v/>
      </c>
      <c r="D931" s="11" t="str">
        <f>IF(Tabel!O934="","",IF(Tabel!S934="","",Tabel!O934))</f>
        <v/>
      </c>
      <c r="E931" s="22" t="str">
        <f>IF(Tabel!P934="","",Tabel!T934)</f>
        <v/>
      </c>
      <c r="F931" s="11" t="str">
        <f>IF(Tabel!P934="","",IF(Tabel!U934="","",Tabel!P934))</f>
        <v/>
      </c>
    </row>
    <row r="932" spans="1:6" x14ac:dyDescent="0.25">
      <c r="A932" s="22" t="str">
        <f>IF(Tabel!N935="","",Tabel!Q935)</f>
        <v/>
      </c>
      <c r="B932" s="11" t="str">
        <f>IF(Tabel!N935="","",IF(Tabel!Q935="","",Tabel!N935))</f>
        <v/>
      </c>
      <c r="C932" s="22" t="str">
        <f>IF(Tabel!O935="","",Tabel!S935)</f>
        <v/>
      </c>
      <c r="D932" s="11" t="str">
        <f>IF(Tabel!O935="","",IF(Tabel!S935="","",Tabel!O935))</f>
        <v/>
      </c>
      <c r="E932" s="22" t="str">
        <f>IF(Tabel!P935="","",Tabel!T935)</f>
        <v/>
      </c>
      <c r="F932" s="11" t="str">
        <f>IF(Tabel!P935="","",IF(Tabel!U935="","",Tabel!P935))</f>
        <v/>
      </c>
    </row>
    <row r="933" spans="1:6" x14ac:dyDescent="0.25">
      <c r="A933" s="22" t="str">
        <f>IF(Tabel!N936="","",Tabel!Q936)</f>
        <v/>
      </c>
      <c r="B933" s="11" t="str">
        <f>IF(Tabel!N936="","",IF(Tabel!Q936="","",Tabel!N936))</f>
        <v/>
      </c>
      <c r="C933" s="22" t="str">
        <f>IF(Tabel!O936="","",Tabel!S936)</f>
        <v/>
      </c>
      <c r="D933" s="11" t="str">
        <f>IF(Tabel!O936="","",IF(Tabel!S936="","",Tabel!O936))</f>
        <v/>
      </c>
      <c r="E933" s="22" t="str">
        <f>IF(Tabel!P936="","",Tabel!T936)</f>
        <v/>
      </c>
      <c r="F933" s="11" t="str">
        <f>IF(Tabel!P936="","",IF(Tabel!U936="","",Tabel!P936))</f>
        <v/>
      </c>
    </row>
    <row r="934" spans="1:6" x14ac:dyDescent="0.25">
      <c r="A934" s="22" t="str">
        <f>IF(Tabel!N937="","",Tabel!Q937)</f>
        <v/>
      </c>
      <c r="B934" s="11" t="str">
        <f>IF(Tabel!N937="","",IF(Tabel!Q937="","",Tabel!N937))</f>
        <v/>
      </c>
      <c r="C934" s="22" t="str">
        <f>IF(Tabel!O937="","",Tabel!S937)</f>
        <v/>
      </c>
      <c r="D934" s="11" t="str">
        <f>IF(Tabel!O937="","",IF(Tabel!S937="","",Tabel!O937))</f>
        <v/>
      </c>
      <c r="E934" s="22" t="str">
        <f>IF(Tabel!P937="","",Tabel!T937)</f>
        <v/>
      </c>
      <c r="F934" s="11" t="str">
        <f>IF(Tabel!P937="","",IF(Tabel!U937="","",Tabel!P937))</f>
        <v/>
      </c>
    </row>
    <row r="935" spans="1:6" x14ac:dyDescent="0.25">
      <c r="A935" s="22" t="str">
        <f>IF(Tabel!N938="","",Tabel!Q938)</f>
        <v/>
      </c>
      <c r="B935" s="11" t="str">
        <f>IF(Tabel!N938="","",IF(Tabel!Q938="","",Tabel!N938))</f>
        <v/>
      </c>
      <c r="C935" s="22" t="str">
        <f>IF(Tabel!O938="","",Tabel!S938)</f>
        <v/>
      </c>
      <c r="D935" s="11" t="str">
        <f>IF(Tabel!O938="","",IF(Tabel!S938="","",Tabel!O938))</f>
        <v/>
      </c>
      <c r="E935" s="22" t="str">
        <f>IF(Tabel!P938="","",Tabel!T938)</f>
        <v/>
      </c>
      <c r="F935" s="11" t="str">
        <f>IF(Tabel!P938="","",IF(Tabel!U938="","",Tabel!P938))</f>
        <v/>
      </c>
    </row>
    <row r="936" spans="1:6" x14ac:dyDescent="0.25">
      <c r="A936" s="22" t="str">
        <f>IF(Tabel!N939="","",Tabel!Q939)</f>
        <v/>
      </c>
      <c r="B936" s="11" t="str">
        <f>IF(Tabel!N939="","",IF(Tabel!Q939="","",Tabel!N939))</f>
        <v/>
      </c>
      <c r="C936" s="22" t="str">
        <f>IF(Tabel!O939="","",Tabel!S939)</f>
        <v/>
      </c>
      <c r="D936" s="11" t="str">
        <f>IF(Tabel!O939="","",IF(Tabel!S939="","",Tabel!O939))</f>
        <v/>
      </c>
      <c r="E936" s="22" t="str">
        <f>IF(Tabel!P939="","",Tabel!T939)</f>
        <v/>
      </c>
      <c r="F936" s="11" t="str">
        <f>IF(Tabel!P939="","",IF(Tabel!U939="","",Tabel!P939))</f>
        <v/>
      </c>
    </row>
    <row r="937" spans="1:6" x14ac:dyDescent="0.25">
      <c r="A937" s="22" t="str">
        <f>IF(Tabel!N940="","",Tabel!Q940)</f>
        <v/>
      </c>
      <c r="B937" s="11" t="str">
        <f>IF(Tabel!N940="","",IF(Tabel!Q940="","",Tabel!N940))</f>
        <v/>
      </c>
      <c r="C937" s="22" t="str">
        <f>IF(Tabel!O940="","",Tabel!S940)</f>
        <v/>
      </c>
      <c r="D937" s="11" t="str">
        <f>IF(Tabel!O940="","",IF(Tabel!S940="","",Tabel!O940))</f>
        <v/>
      </c>
      <c r="E937" s="22" t="str">
        <f>IF(Tabel!P940="","",Tabel!T940)</f>
        <v/>
      </c>
      <c r="F937" s="11" t="str">
        <f>IF(Tabel!P940="","",IF(Tabel!U940="","",Tabel!P940))</f>
        <v/>
      </c>
    </row>
    <row r="938" spans="1:6" x14ac:dyDescent="0.25">
      <c r="A938" s="22" t="str">
        <f>IF(Tabel!N941="","",Tabel!Q941)</f>
        <v/>
      </c>
      <c r="B938" s="11" t="str">
        <f>IF(Tabel!N941="","",IF(Tabel!Q941="","",Tabel!N941))</f>
        <v/>
      </c>
      <c r="C938" s="22" t="str">
        <f>IF(Tabel!O941="","",Tabel!S941)</f>
        <v/>
      </c>
      <c r="D938" s="11" t="str">
        <f>IF(Tabel!O941="","",IF(Tabel!S941="","",Tabel!O941))</f>
        <v/>
      </c>
      <c r="E938" s="22" t="str">
        <f>IF(Tabel!P941="","",Tabel!T941)</f>
        <v/>
      </c>
      <c r="F938" s="11" t="str">
        <f>IF(Tabel!P941="","",IF(Tabel!U941="","",Tabel!P941))</f>
        <v/>
      </c>
    </row>
    <row r="939" spans="1:6" x14ac:dyDescent="0.25">
      <c r="A939" s="22" t="str">
        <f>IF(Tabel!N942="","",Tabel!Q942)</f>
        <v/>
      </c>
      <c r="B939" s="11" t="str">
        <f>IF(Tabel!N942="","",IF(Tabel!Q942="","",Tabel!N942))</f>
        <v/>
      </c>
      <c r="C939" s="22" t="str">
        <f>IF(Tabel!O942="","",Tabel!S942)</f>
        <v/>
      </c>
      <c r="D939" s="11" t="str">
        <f>IF(Tabel!O942="","",IF(Tabel!S942="","",Tabel!O942))</f>
        <v/>
      </c>
      <c r="E939" s="22" t="str">
        <f>IF(Tabel!P942="","",Tabel!T942)</f>
        <v/>
      </c>
      <c r="F939" s="11" t="str">
        <f>IF(Tabel!P942="","",IF(Tabel!U942="","",Tabel!P942))</f>
        <v/>
      </c>
    </row>
    <row r="940" spans="1:6" x14ac:dyDescent="0.25">
      <c r="A940" s="22" t="str">
        <f>IF(Tabel!N943="","",Tabel!Q943)</f>
        <v/>
      </c>
      <c r="B940" s="11" t="str">
        <f>IF(Tabel!N943="","",IF(Tabel!Q943="","",Tabel!N943))</f>
        <v/>
      </c>
      <c r="C940" s="22" t="str">
        <f>IF(Tabel!O943="","",Tabel!S943)</f>
        <v/>
      </c>
      <c r="D940" s="11" t="str">
        <f>IF(Tabel!O943="","",IF(Tabel!S943="","",Tabel!O943))</f>
        <v/>
      </c>
      <c r="E940" s="22" t="str">
        <f>IF(Tabel!P943="","",Tabel!T943)</f>
        <v/>
      </c>
      <c r="F940" s="11" t="str">
        <f>IF(Tabel!P943="","",IF(Tabel!U943="","",Tabel!P943))</f>
        <v/>
      </c>
    </row>
    <row r="941" spans="1:6" x14ac:dyDescent="0.25">
      <c r="A941" s="22" t="str">
        <f>IF(Tabel!N944="","",Tabel!Q944)</f>
        <v/>
      </c>
      <c r="B941" s="11" t="str">
        <f>IF(Tabel!N944="","",IF(Tabel!Q944="","",Tabel!N944))</f>
        <v/>
      </c>
      <c r="C941" s="22" t="str">
        <f>IF(Tabel!O944="","",Tabel!S944)</f>
        <v/>
      </c>
      <c r="D941" s="11" t="str">
        <f>IF(Tabel!O944="","",IF(Tabel!S944="","",Tabel!O944))</f>
        <v/>
      </c>
      <c r="E941" s="22" t="str">
        <f>IF(Tabel!P944="","",Tabel!T944)</f>
        <v/>
      </c>
      <c r="F941" s="11" t="str">
        <f>IF(Tabel!P944="","",IF(Tabel!U944="","",Tabel!P944))</f>
        <v/>
      </c>
    </row>
    <row r="942" spans="1:6" x14ac:dyDescent="0.25">
      <c r="A942" s="22" t="str">
        <f>IF(Tabel!N945="","",Tabel!Q945)</f>
        <v/>
      </c>
      <c r="B942" s="11" t="str">
        <f>IF(Tabel!N945="","",IF(Tabel!Q945="","",Tabel!N945))</f>
        <v/>
      </c>
      <c r="C942" s="22" t="str">
        <f>IF(Tabel!O945="","",Tabel!S945)</f>
        <v/>
      </c>
      <c r="D942" s="11" t="str">
        <f>IF(Tabel!O945="","",IF(Tabel!S945="","",Tabel!O945))</f>
        <v/>
      </c>
      <c r="E942" s="22" t="str">
        <f>IF(Tabel!P945="","",Tabel!T945)</f>
        <v/>
      </c>
      <c r="F942" s="11" t="str">
        <f>IF(Tabel!P945="","",IF(Tabel!U945="","",Tabel!P945))</f>
        <v/>
      </c>
    </row>
    <row r="943" spans="1:6" x14ac:dyDescent="0.25">
      <c r="A943" s="22" t="str">
        <f>IF(Tabel!N946="","",Tabel!Q946)</f>
        <v/>
      </c>
      <c r="B943" s="11" t="str">
        <f>IF(Tabel!N946="","",IF(Tabel!Q946="","",Tabel!N946))</f>
        <v/>
      </c>
      <c r="C943" s="22" t="str">
        <f>IF(Tabel!O946="","",Tabel!S946)</f>
        <v/>
      </c>
      <c r="D943" s="11" t="str">
        <f>IF(Tabel!O946="","",IF(Tabel!S946="","",Tabel!O946))</f>
        <v/>
      </c>
      <c r="E943" s="22" t="str">
        <f>IF(Tabel!P946="","",Tabel!T946)</f>
        <v/>
      </c>
      <c r="F943" s="11" t="str">
        <f>IF(Tabel!P946="","",IF(Tabel!U946="","",Tabel!P946))</f>
        <v/>
      </c>
    </row>
    <row r="944" spans="1:6" x14ac:dyDescent="0.25">
      <c r="A944" s="22" t="str">
        <f>IF(Tabel!N947="","",Tabel!Q947)</f>
        <v/>
      </c>
      <c r="B944" s="11" t="str">
        <f>IF(Tabel!N947="","",IF(Tabel!Q947="","",Tabel!N947))</f>
        <v/>
      </c>
      <c r="C944" s="22" t="str">
        <f>IF(Tabel!O947="","",Tabel!S947)</f>
        <v/>
      </c>
      <c r="D944" s="11" t="str">
        <f>IF(Tabel!O947="","",IF(Tabel!S947="","",Tabel!O947))</f>
        <v/>
      </c>
      <c r="E944" s="22" t="str">
        <f>IF(Tabel!P947="","",Tabel!T947)</f>
        <v/>
      </c>
      <c r="F944" s="11" t="str">
        <f>IF(Tabel!P947="","",IF(Tabel!U947="","",Tabel!P947))</f>
        <v/>
      </c>
    </row>
    <row r="945" spans="1:6" x14ac:dyDescent="0.25">
      <c r="A945" s="22" t="str">
        <f>IF(Tabel!N948="","",Tabel!Q948)</f>
        <v/>
      </c>
      <c r="B945" s="11" t="str">
        <f>IF(Tabel!N948="","",IF(Tabel!Q948="","",Tabel!N948))</f>
        <v/>
      </c>
      <c r="C945" s="22" t="str">
        <f>IF(Tabel!O948="","",Tabel!S948)</f>
        <v/>
      </c>
      <c r="D945" s="11" t="str">
        <f>IF(Tabel!O948="","",IF(Tabel!S948="","",Tabel!O948))</f>
        <v/>
      </c>
      <c r="E945" s="22" t="str">
        <f>IF(Tabel!P948="","",Tabel!T948)</f>
        <v/>
      </c>
      <c r="F945" s="11" t="str">
        <f>IF(Tabel!P948="","",IF(Tabel!U948="","",Tabel!P948))</f>
        <v/>
      </c>
    </row>
    <row r="946" spans="1:6" x14ac:dyDescent="0.25">
      <c r="A946" s="22" t="str">
        <f>IF(Tabel!N949="","",Tabel!Q949)</f>
        <v/>
      </c>
      <c r="B946" s="11" t="str">
        <f>IF(Tabel!N949="","",IF(Tabel!Q949="","",Tabel!N949))</f>
        <v/>
      </c>
      <c r="C946" s="22" t="str">
        <f>IF(Tabel!O949="","",Tabel!S949)</f>
        <v/>
      </c>
      <c r="D946" s="11" t="str">
        <f>IF(Tabel!O949="","",IF(Tabel!S949="","",Tabel!O949))</f>
        <v/>
      </c>
      <c r="E946" s="22" t="str">
        <f>IF(Tabel!P949="","",Tabel!T949)</f>
        <v/>
      </c>
      <c r="F946" s="11" t="str">
        <f>IF(Tabel!P949="","",IF(Tabel!U949="","",Tabel!P949))</f>
        <v/>
      </c>
    </row>
    <row r="947" spans="1:6" x14ac:dyDescent="0.25">
      <c r="A947" s="22" t="str">
        <f>IF(Tabel!N950="","",Tabel!Q950)</f>
        <v/>
      </c>
      <c r="B947" s="11" t="str">
        <f>IF(Tabel!N950="","",IF(Tabel!Q950="","",Tabel!N950))</f>
        <v/>
      </c>
      <c r="C947" s="22" t="str">
        <f>IF(Tabel!O950="","",Tabel!S950)</f>
        <v/>
      </c>
      <c r="D947" s="11" t="str">
        <f>IF(Tabel!O950="","",IF(Tabel!S950="","",Tabel!O950))</f>
        <v/>
      </c>
      <c r="E947" s="22" t="str">
        <f>IF(Tabel!P950="","",Tabel!T950)</f>
        <v/>
      </c>
      <c r="F947" s="11" t="str">
        <f>IF(Tabel!P950="","",IF(Tabel!U950="","",Tabel!P950))</f>
        <v/>
      </c>
    </row>
    <row r="948" spans="1:6" x14ac:dyDescent="0.25">
      <c r="A948" s="22" t="str">
        <f>IF(Tabel!N951="","",Tabel!Q951)</f>
        <v/>
      </c>
      <c r="B948" s="11" t="str">
        <f>IF(Tabel!N951="","",IF(Tabel!Q951="","",Tabel!N951))</f>
        <v/>
      </c>
      <c r="C948" s="22" t="str">
        <f>IF(Tabel!O951="","",Tabel!S951)</f>
        <v/>
      </c>
      <c r="D948" s="11" t="str">
        <f>IF(Tabel!O951="","",IF(Tabel!S951="","",Tabel!O951))</f>
        <v/>
      </c>
      <c r="E948" s="22" t="str">
        <f>IF(Tabel!P951="","",Tabel!T951)</f>
        <v/>
      </c>
      <c r="F948" s="11" t="str">
        <f>IF(Tabel!P951="","",IF(Tabel!U951="","",Tabel!P951))</f>
        <v/>
      </c>
    </row>
    <row r="949" spans="1:6" x14ac:dyDescent="0.25">
      <c r="A949" s="22" t="str">
        <f>IF(Tabel!N952="","",Tabel!Q952)</f>
        <v/>
      </c>
      <c r="B949" s="11" t="str">
        <f>IF(Tabel!N952="","",IF(Tabel!Q952="","",Tabel!N952))</f>
        <v/>
      </c>
      <c r="C949" s="22" t="str">
        <f>IF(Tabel!O952="","",Tabel!S952)</f>
        <v/>
      </c>
      <c r="D949" s="11" t="str">
        <f>IF(Tabel!O952="","",IF(Tabel!S952="","",Tabel!O952))</f>
        <v/>
      </c>
      <c r="E949" s="22" t="str">
        <f>IF(Tabel!P952="","",Tabel!T952)</f>
        <v/>
      </c>
      <c r="F949" s="11" t="str">
        <f>IF(Tabel!P952="","",IF(Tabel!U952="","",Tabel!P952))</f>
        <v/>
      </c>
    </row>
    <row r="950" spans="1:6" x14ac:dyDescent="0.25">
      <c r="A950" s="22" t="str">
        <f>IF(Tabel!N953="","",Tabel!Q953)</f>
        <v/>
      </c>
      <c r="B950" s="11" t="str">
        <f>IF(Tabel!N953="","",IF(Tabel!Q953="","",Tabel!N953))</f>
        <v/>
      </c>
      <c r="C950" s="22" t="str">
        <f>IF(Tabel!O953="","",Tabel!S953)</f>
        <v/>
      </c>
      <c r="D950" s="11" t="str">
        <f>IF(Tabel!O953="","",IF(Tabel!S953="","",Tabel!O953))</f>
        <v/>
      </c>
      <c r="E950" s="22" t="str">
        <f>IF(Tabel!P953="","",Tabel!T953)</f>
        <v/>
      </c>
      <c r="F950" s="11" t="str">
        <f>IF(Tabel!P953="","",IF(Tabel!U953="","",Tabel!P953))</f>
        <v/>
      </c>
    </row>
    <row r="951" spans="1:6" x14ac:dyDescent="0.25">
      <c r="A951" s="22" t="str">
        <f>IF(Tabel!N954="","",Tabel!Q954)</f>
        <v/>
      </c>
      <c r="B951" s="11" t="str">
        <f>IF(Tabel!N954="","",IF(Tabel!Q954="","",Tabel!N954))</f>
        <v/>
      </c>
      <c r="C951" s="22" t="str">
        <f>IF(Tabel!O954="","",Tabel!S954)</f>
        <v/>
      </c>
      <c r="D951" s="11" t="str">
        <f>IF(Tabel!O954="","",IF(Tabel!S954="","",Tabel!O954))</f>
        <v/>
      </c>
      <c r="E951" s="22" t="str">
        <f>IF(Tabel!P954="","",Tabel!T954)</f>
        <v/>
      </c>
      <c r="F951" s="11" t="str">
        <f>IF(Tabel!P954="","",IF(Tabel!U954="","",Tabel!P954))</f>
        <v/>
      </c>
    </row>
    <row r="952" spans="1:6" x14ac:dyDescent="0.25">
      <c r="A952" s="22" t="str">
        <f>IF(Tabel!N955="","",Tabel!Q955)</f>
        <v/>
      </c>
      <c r="B952" s="11" t="str">
        <f>IF(Tabel!N955="","",IF(Tabel!Q955="","",Tabel!N955))</f>
        <v/>
      </c>
      <c r="C952" s="22" t="str">
        <f>IF(Tabel!O955="","",Tabel!S955)</f>
        <v/>
      </c>
      <c r="D952" s="11" t="str">
        <f>IF(Tabel!O955="","",IF(Tabel!S955="","",Tabel!O955))</f>
        <v/>
      </c>
      <c r="E952" s="22" t="str">
        <f>IF(Tabel!P955="","",Tabel!T955)</f>
        <v/>
      </c>
      <c r="F952" s="11" t="str">
        <f>IF(Tabel!P955="","",IF(Tabel!U955="","",Tabel!P955))</f>
        <v/>
      </c>
    </row>
    <row r="953" spans="1:6" x14ac:dyDescent="0.25">
      <c r="A953" s="22" t="str">
        <f>IF(Tabel!N956="","",Tabel!Q956)</f>
        <v/>
      </c>
      <c r="B953" s="11" t="str">
        <f>IF(Tabel!N956="","",IF(Tabel!Q956="","",Tabel!N956))</f>
        <v/>
      </c>
      <c r="C953" s="22" t="str">
        <f>IF(Tabel!O956="","",Tabel!S956)</f>
        <v/>
      </c>
      <c r="D953" s="11" t="str">
        <f>IF(Tabel!O956="","",IF(Tabel!S956="","",Tabel!O956))</f>
        <v/>
      </c>
      <c r="E953" s="22" t="str">
        <f>IF(Tabel!P956="","",Tabel!T956)</f>
        <v/>
      </c>
      <c r="F953" s="11" t="str">
        <f>IF(Tabel!P956="","",IF(Tabel!U956="","",Tabel!P956))</f>
        <v/>
      </c>
    </row>
    <row r="954" spans="1:6" x14ac:dyDescent="0.25">
      <c r="A954" s="22" t="str">
        <f>IF(Tabel!N957="","",Tabel!Q957)</f>
        <v/>
      </c>
      <c r="B954" s="11" t="str">
        <f>IF(Tabel!N957="","",IF(Tabel!Q957="","",Tabel!N957))</f>
        <v/>
      </c>
      <c r="C954" s="22" t="str">
        <f>IF(Tabel!O957="","",Tabel!S957)</f>
        <v/>
      </c>
      <c r="D954" s="11" t="str">
        <f>IF(Tabel!O957="","",IF(Tabel!S957="","",Tabel!O957))</f>
        <v/>
      </c>
      <c r="E954" s="22" t="str">
        <f>IF(Tabel!P957="","",Tabel!T957)</f>
        <v/>
      </c>
      <c r="F954" s="11" t="str">
        <f>IF(Tabel!P957="","",IF(Tabel!U957="","",Tabel!P957))</f>
        <v/>
      </c>
    </row>
    <row r="955" spans="1:6" x14ac:dyDescent="0.25">
      <c r="A955" s="22" t="str">
        <f>IF(Tabel!N958="","",Tabel!Q958)</f>
        <v/>
      </c>
      <c r="B955" s="11" t="str">
        <f>IF(Tabel!N958="","",IF(Tabel!Q958="","",Tabel!N958))</f>
        <v/>
      </c>
      <c r="C955" s="22" t="str">
        <f>IF(Tabel!O958="","",Tabel!S958)</f>
        <v/>
      </c>
      <c r="D955" s="11" t="str">
        <f>IF(Tabel!O958="","",IF(Tabel!S958="","",Tabel!O958))</f>
        <v/>
      </c>
      <c r="E955" s="22" t="str">
        <f>IF(Tabel!P958="","",Tabel!T958)</f>
        <v/>
      </c>
      <c r="F955" s="11" t="str">
        <f>IF(Tabel!P958="","",IF(Tabel!U958="","",Tabel!P958))</f>
        <v/>
      </c>
    </row>
    <row r="956" spans="1:6" x14ac:dyDescent="0.25">
      <c r="A956" s="22" t="str">
        <f>IF(Tabel!N959="","",Tabel!Q959)</f>
        <v/>
      </c>
      <c r="B956" s="11" t="str">
        <f>IF(Tabel!N959="","",IF(Tabel!Q959="","",Tabel!N959))</f>
        <v/>
      </c>
      <c r="C956" s="22" t="str">
        <f>IF(Tabel!O959="","",Tabel!S959)</f>
        <v/>
      </c>
      <c r="D956" s="11" t="str">
        <f>IF(Tabel!O959="","",IF(Tabel!S959="","",Tabel!O959))</f>
        <v/>
      </c>
      <c r="E956" s="22" t="str">
        <f>IF(Tabel!P959="","",Tabel!T959)</f>
        <v/>
      </c>
      <c r="F956" s="11" t="str">
        <f>IF(Tabel!P959="","",IF(Tabel!U959="","",Tabel!P959))</f>
        <v/>
      </c>
    </row>
    <row r="957" spans="1:6" x14ac:dyDescent="0.25">
      <c r="A957" s="22" t="str">
        <f>IF(Tabel!N960="","",Tabel!Q960)</f>
        <v/>
      </c>
      <c r="B957" s="11" t="str">
        <f>IF(Tabel!N960="","",IF(Tabel!Q960="","",Tabel!N960))</f>
        <v/>
      </c>
      <c r="C957" s="22" t="str">
        <f>IF(Tabel!O960="","",Tabel!S960)</f>
        <v/>
      </c>
      <c r="D957" s="11" t="str">
        <f>IF(Tabel!O960="","",IF(Tabel!S960="","",Tabel!O960))</f>
        <v/>
      </c>
      <c r="E957" s="22" t="str">
        <f>IF(Tabel!P960="","",Tabel!T960)</f>
        <v/>
      </c>
      <c r="F957" s="11" t="str">
        <f>IF(Tabel!P960="","",IF(Tabel!U960="","",Tabel!P960))</f>
        <v/>
      </c>
    </row>
    <row r="958" spans="1:6" x14ac:dyDescent="0.25">
      <c r="A958" s="22" t="str">
        <f>IF(Tabel!N961="","",Tabel!Q961)</f>
        <v/>
      </c>
      <c r="B958" s="11" t="str">
        <f>IF(Tabel!N961="","",IF(Tabel!Q961="","",Tabel!N961))</f>
        <v/>
      </c>
      <c r="C958" s="22" t="str">
        <f>IF(Tabel!O961="","",Tabel!S961)</f>
        <v/>
      </c>
      <c r="D958" s="11" t="str">
        <f>IF(Tabel!O961="","",IF(Tabel!S961="","",Tabel!O961))</f>
        <v/>
      </c>
      <c r="E958" s="22" t="str">
        <f>IF(Tabel!P961="","",Tabel!T961)</f>
        <v/>
      </c>
      <c r="F958" s="11" t="str">
        <f>IF(Tabel!P961="","",IF(Tabel!U961="","",Tabel!P961))</f>
        <v/>
      </c>
    </row>
    <row r="959" spans="1:6" x14ac:dyDescent="0.25">
      <c r="A959" s="22" t="str">
        <f>IF(Tabel!N962="","",Tabel!Q962)</f>
        <v/>
      </c>
      <c r="B959" s="11" t="str">
        <f>IF(Tabel!N962="","",IF(Tabel!Q962="","",Tabel!N962))</f>
        <v/>
      </c>
      <c r="C959" s="22" t="str">
        <f>IF(Tabel!O962="","",Tabel!S962)</f>
        <v/>
      </c>
      <c r="D959" s="11" t="str">
        <f>IF(Tabel!O962="","",IF(Tabel!S962="","",Tabel!O962))</f>
        <v/>
      </c>
      <c r="E959" s="22" t="str">
        <f>IF(Tabel!P962="","",Tabel!T962)</f>
        <v/>
      </c>
      <c r="F959" s="11" t="str">
        <f>IF(Tabel!P962="","",IF(Tabel!U962="","",Tabel!P962))</f>
        <v/>
      </c>
    </row>
    <row r="960" spans="1:6" x14ac:dyDescent="0.25">
      <c r="A960" s="22" t="str">
        <f>IF(Tabel!N963="","",Tabel!Q963)</f>
        <v/>
      </c>
      <c r="B960" s="11" t="str">
        <f>IF(Tabel!N963="","",IF(Tabel!Q963="","",Tabel!N963))</f>
        <v/>
      </c>
      <c r="C960" s="22" t="str">
        <f>IF(Tabel!O963="","",Tabel!S963)</f>
        <v/>
      </c>
      <c r="D960" s="11" t="str">
        <f>IF(Tabel!O963="","",IF(Tabel!S963="","",Tabel!O963))</f>
        <v/>
      </c>
      <c r="E960" s="22" t="str">
        <f>IF(Tabel!P963="","",Tabel!T963)</f>
        <v/>
      </c>
      <c r="F960" s="11" t="str">
        <f>IF(Tabel!P963="","",IF(Tabel!U963="","",Tabel!P963))</f>
        <v/>
      </c>
    </row>
    <row r="961" spans="1:6" x14ac:dyDescent="0.25">
      <c r="A961" s="22" t="str">
        <f>IF(Tabel!N964="","",Tabel!Q964)</f>
        <v/>
      </c>
      <c r="B961" s="11" t="str">
        <f>IF(Tabel!N964="","",IF(Tabel!Q964="","",Tabel!N964))</f>
        <v/>
      </c>
      <c r="C961" s="22" t="str">
        <f>IF(Tabel!O964="","",Tabel!S964)</f>
        <v/>
      </c>
      <c r="D961" s="11" t="str">
        <f>IF(Tabel!O964="","",IF(Tabel!S964="","",Tabel!O964))</f>
        <v/>
      </c>
      <c r="E961" s="22" t="str">
        <f>IF(Tabel!P964="","",Tabel!T964)</f>
        <v/>
      </c>
      <c r="F961" s="11" t="str">
        <f>IF(Tabel!P964="","",IF(Tabel!U964="","",Tabel!P964))</f>
        <v/>
      </c>
    </row>
    <row r="962" spans="1:6" x14ac:dyDescent="0.25">
      <c r="A962" s="22" t="str">
        <f>IF(Tabel!N965="","",Tabel!Q965)</f>
        <v/>
      </c>
      <c r="B962" s="11" t="str">
        <f>IF(Tabel!N965="","",IF(Tabel!Q965="","",Tabel!N965))</f>
        <v/>
      </c>
      <c r="C962" s="22" t="str">
        <f>IF(Tabel!O965="","",Tabel!S965)</f>
        <v/>
      </c>
      <c r="D962" s="11" t="str">
        <f>IF(Tabel!O965="","",IF(Tabel!S965="","",Tabel!O965))</f>
        <v/>
      </c>
      <c r="E962" s="22" t="str">
        <f>IF(Tabel!P965="","",Tabel!T965)</f>
        <v/>
      </c>
      <c r="F962" s="11" t="str">
        <f>IF(Tabel!P965="","",IF(Tabel!U965="","",Tabel!P965))</f>
        <v/>
      </c>
    </row>
    <row r="963" spans="1:6" x14ac:dyDescent="0.25">
      <c r="A963" s="22" t="str">
        <f>IF(Tabel!N966="","",Tabel!Q966)</f>
        <v/>
      </c>
      <c r="B963" s="11" t="str">
        <f>IF(Tabel!N966="","",IF(Tabel!Q966="","",Tabel!N966))</f>
        <v/>
      </c>
      <c r="C963" s="22" t="str">
        <f>IF(Tabel!O966="","",Tabel!S966)</f>
        <v/>
      </c>
      <c r="D963" s="11" t="str">
        <f>IF(Tabel!O966="","",IF(Tabel!S966="","",Tabel!O966))</f>
        <v/>
      </c>
      <c r="E963" s="22" t="str">
        <f>IF(Tabel!P966="","",Tabel!T966)</f>
        <v/>
      </c>
      <c r="F963" s="11" t="str">
        <f>IF(Tabel!P966="","",IF(Tabel!U966="","",Tabel!P966))</f>
        <v/>
      </c>
    </row>
    <row r="964" spans="1:6" x14ac:dyDescent="0.25">
      <c r="A964" s="22" t="str">
        <f>IF(Tabel!N967="","",Tabel!Q967)</f>
        <v/>
      </c>
      <c r="B964" s="11" t="str">
        <f>IF(Tabel!N967="","",IF(Tabel!Q967="","",Tabel!N967))</f>
        <v/>
      </c>
      <c r="C964" s="22" t="str">
        <f>IF(Tabel!O967="","",Tabel!S967)</f>
        <v/>
      </c>
      <c r="D964" s="11" t="str">
        <f>IF(Tabel!O967="","",IF(Tabel!S967="","",Tabel!O967))</f>
        <v/>
      </c>
      <c r="E964" s="22" t="str">
        <f>IF(Tabel!P967="","",Tabel!T967)</f>
        <v/>
      </c>
      <c r="F964" s="11" t="str">
        <f>IF(Tabel!P967="","",IF(Tabel!U967="","",Tabel!P967))</f>
        <v/>
      </c>
    </row>
    <row r="965" spans="1:6" x14ac:dyDescent="0.25">
      <c r="A965" s="22" t="str">
        <f>IF(Tabel!N968="","",Tabel!Q968)</f>
        <v/>
      </c>
      <c r="B965" s="11" t="str">
        <f>IF(Tabel!N968="","",IF(Tabel!Q968="","",Tabel!N968))</f>
        <v/>
      </c>
      <c r="C965" s="22" t="str">
        <f>IF(Tabel!O968="","",Tabel!S968)</f>
        <v/>
      </c>
      <c r="D965" s="11" t="str">
        <f>IF(Tabel!O968="","",IF(Tabel!S968="","",Tabel!O968))</f>
        <v/>
      </c>
      <c r="E965" s="22" t="str">
        <f>IF(Tabel!P968="","",Tabel!T968)</f>
        <v/>
      </c>
      <c r="F965" s="11" t="str">
        <f>IF(Tabel!P968="","",IF(Tabel!U968="","",Tabel!P968))</f>
        <v/>
      </c>
    </row>
    <row r="966" spans="1:6" x14ac:dyDescent="0.25">
      <c r="A966" s="22" t="str">
        <f>IF(Tabel!N969="","",Tabel!Q969)</f>
        <v/>
      </c>
      <c r="B966" s="11" t="str">
        <f>IF(Tabel!N969="","",IF(Tabel!Q969="","",Tabel!N969))</f>
        <v/>
      </c>
      <c r="C966" s="22" t="str">
        <f>IF(Tabel!O969="","",Tabel!S969)</f>
        <v/>
      </c>
      <c r="D966" s="11" t="str">
        <f>IF(Tabel!O969="","",IF(Tabel!S969="","",Tabel!O969))</f>
        <v/>
      </c>
      <c r="E966" s="22" t="str">
        <f>IF(Tabel!P969="","",Tabel!T969)</f>
        <v/>
      </c>
      <c r="F966" s="11" t="str">
        <f>IF(Tabel!P969="","",IF(Tabel!U969="","",Tabel!P969))</f>
        <v/>
      </c>
    </row>
    <row r="967" spans="1:6" x14ac:dyDescent="0.25">
      <c r="A967" s="22" t="str">
        <f>IF(Tabel!N970="","",Tabel!Q970)</f>
        <v/>
      </c>
      <c r="B967" s="11" t="str">
        <f>IF(Tabel!N970="","",IF(Tabel!Q970="","",Tabel!N970))</f>
        <v/>
      </c>
      <c r="C967" s="22" t="str">
        <f>IF(Tabel!O970="","",Tabel!S970)</f>
        <v/>
      </c>
      <c r="D967" s="11" t="str">
        <f>IF(Tabel!O970="","",IF(Tabel!S970="","",Tabel!O970))</f>
        <v/>
      </c>
      <c r="E967" s="22" t="str">
        <f>IF(Tabel!P970="","",Tabel!T970)</f>
        <v/>
      </c>
      <c r="F967" s="11" t="str">
        <f>IF(Tabel!P970="","",IF(Tabel!U970="","",Tabel!P970))</f>
        <v/>
      </c>
    </row>
    <row r="968" spans="1:6" x14ac:dyDescent="0.25">
      <c r="A968" s="22" t="str">
        <f>IF(Tabel!N971="","",Tabel!Q971)</f>
        <v/>
      </c>
      <c r="B968" s="11" t="str">
        <f>IF(Tabel!N971="","",IF(Tabel!Q971="","",Tabel!N971))</f>
        <v/>
      </c>
      <c r="C968" s="22" t="str">
        <f>IF(Tabel!O971="","",Tabel!S971)</f>
        <v/>
      </c>
      <c r="D968" s="11" t="str">
        <f>IF(Tabel!O971="","",IF(Tabel!S971="","",Tabel!O971))</f>
        <v/>
      </c>
      <c r="E968" s="22" t="str">
        <f>IF(Tabel!P971="","",Tabel!T971)</f>
        <v/>
      </c>
      <c r="F968" s="11" t="str">
        <f>IF(Tabel!P971="","",IF(Tabel!U971="","",Tabel!P971))</f>
        <v/>
      </c>
    </row>
    <row r="969" spans="1:6" x14ac:dyDescent="0.25">
      <c r="A969" s="22" t="str">
        <f>IF(Tabel!N972="","",Tabel!Q972)</f>
        <v/>
      </c>
      <c r="B969" s="11" t="str">
        <f>IF(Tabel!N972="","",IF(Tabel!Q972="","",Tabel!N972))</f>
        <v/>
      </c>
      <c r="C969" s="22" t="str">
        <f>IF(Tabel!O972="","",Tabel!S972)</f>
        <v/>
      </c>
      <c r="D969" s="11" t="str">
        <f>IF(Tabel!O972="","",IF(Tabel!S972="","",Tabel!O972))</f>
        <v/>
      </c>
      <c r="E969" s="22" t="str">
        <f>IF(Tabel!P972="","",Tabel!T972)</f>
        <v/>
      </c>
      <c r="F969" s="11" t="str">
        <f>IF(Tabel!P972="","",IF(Tabel!U972="","",Tabel!P972))</f>
        <v/>
      </c>
    </row>
    <row r="970" spans="1:6" x14ac:dyDescent="0.25">
      <c r="A970" s="22" t="str">
        <f>IF(Tabel!N973="","",Tabel!Q973)</f>
        <v/>
      </c>
      <c r="B970" s="11" t="str">
        <f>IF(Tabel!N973="","",IF(Tabel!Q973="","",Tabel!N973))</f>
        <v/>
      </c>
      <c r="C970" s="22" t="str">
        <f>IF(Tabel!O973="","",Tabel!S973)</f>
        <v/>
      </c>
      <c r="D970" s="11" t="str">
        <f>IF(Tabel!O973="","",IF(Tabel!S973="","",Tabel!O973))</f>
        <v/>
      </c>
      <c r="E970" s="22" t="str">
        <f>IF(Tabel!P973="","",Tabel!T973)</f>
        <v/>
      </c>
      <c r="F970" s="11" t="str">
        <f>IF(Tabel!P973="","",IF(Tabel!U973="","",Tabel!P973))</f>
        <v/>
      </c>
    </row>
    <row r="971" spans="1:6" x14ac:dyDescent="0.25">
      <c r="A971" s="22" t="str">
        <f>IF(Tabel!N974="","",Tabel!Q974)</f>
        <v/>
      </c>
      <c r="B971" s="11" t="str">
        <f>IF(Tabel!N974="","",IF(Tabel!Q974="","",Tabel!N974))</f>
        <v/>
      </c>
      <c r="C971" s="22" t="str">
        <f>IF(Tabel!O974="","",Tabel!S974)</f>
        <v/>
      </c>
      <c r="D971" s="11" t="str">
        <f>IF(Tabel!O974="","",IF(Tabel!S974="","",Tabel!O974))</f>
        <v/>
      </c>
      <c r="E971" s="22" t="str">
        <f>IF(Tabel!P974="","",Tabel!T974)</f>
        <v/>
      </c>
      <c r="F971" s="11" t="str">
        <f>IF(Tabel!P974="","",IF(Tabel!U974="","",Tabel!P974))</f>
        <v/>
      </c>
    </row>
    <row r="972" spans="1:6" x14ac:dyDescent="0.25">
      <c r="A972" s="22" t="str">
        <f>IF(Tabel!N975="","",Tabel!Q975)</f>
        <v/>
      </c>
      <c r="B972" s="11" t="str">
        <f>IF(Tabel!N975="","",IF(Tabel!Q975="","",Tabel!N975))</f>
        <v/>
      </c>
      <c r="C972" s="22" t="str">
        <f>IF(Tabel!O975="","",Tabel!S975)</f>
        <v/>
      </c>
      <c r="D972" s="11" t="str">
        <f>IF(Tabel!O975="","",IF(Tabel!S975="","",Tabel!O975))</f>
        <v/>
      </c>
      <c r="E972" s="22" t="str">
        <f>IF(Tabel!P975="","",Tabel!T975)</f>
        <v/>
      </c>
      <c r="F972" s="11" t="str">
        <f>IF(Tabel!P975="","",IF(Tabel!U975="","",Tabel!P975))</f>
        <v/>
      </c>
    </row>
    <row r="973" spans="1:6" x14ac:dyDescent="0.25">
      <c r="A973" s="22" t="str">
        <f>IF(Tabel!N976="","",Tabel!Q976)</f>
        <v/>
      </c>
      <c r="B973" s="11" t="str">
        <f>IF(Tabel!N976="","",IF(Tabel!Q976="","",Tabel!N976))</f>
        <v/>
      </c>
      <c r="C973" s="22" t="str">
        <f>IF(Tabel!O976="","",Tabel!S976)</f>
        <v/>
      </c>
      <c r="D973" s="11" t="str">
        <f>IF(Tabel!O976="","",IF(Tabel!S976="","",Tabel!O976))</f>
        <v/>
      </c>
      <c r="E973" s="22" t="str">
        <f>IF(Tabel!P976="","",Tabel!T976)</f>
        <v/>
      </c>
      <c r="F973" s="11" t="str">
        <f>IF(Tabel!P976="","",IF(Tabel!U976="","",Tabel!P976))</f>
        <v/>
      </c>
    </row>
    <row r="974" spans="1:6" x14ac:dyDescent="0.25">
      <c r="A974" s="22" t="str">
        <f>IF(Tabel!N977="","",Tabel!Q977)</f>
        <v/>
      </c>
      <c r="B974" s="11" t="str">
        <f>IF(Tabel!N977="","",IF(Tabel!Q977="","",Tabel!N977))</f>
        <v/>
      </c>
      <c r="C974" s="22" t="str">
        <f>IF(Tabel!O977="","",Tabel!S977)</f>
        <v/>
      </c>
      <c r="D974" s="11" t="str">
        <f>IF(Tabel!O977="","",IF(Tabel!S977="","",Tabel!O977))</f>
        <v/>
      </c>
      <c r="E974" s="22" t="str">
        <f>IF(Tabel!P977="","",Tabel!T977)</f>
        <v/>
      </c>
      <c r="F974" s="11" t="str">
        <f>IF(Tabel!P977="","",IF(Tabel!U977="","",Tabel!P977))</f>
        <v/>
      </c>
    </row>
    <row r="975" spans="1:6" x14ac:dyDescent="0.25">
      <c r="A975" s="22" t="str">
        <f>IF(Tabel!N978="","",Tabel!Q978)</f>
        <v/>
      </c>
      <c r="B975" s="11" t="str">
        <f>IF(Tabel!N978="","",IF(Tabel!Q978="","",Tabel!N978))</f>
        <v/>
      </c>
      <c r="C975" s="22" t="str">
        <f>IF(Tabel!O978="","",Tabel!S978)</f>
        <v/>
      </c>
      <c r="D975" s="11" t="str">
        <f>IF(Tabel!O978="","",IF(Tabel!S978="","",Tabel!O978))</f>
        <v/>
      </c>
      <c r="E975" s="22" t="str">
        <f>IF(Tabel!P978="","",Tabel!T978)</f>
        <v/>
      </c>
      <c r="F975" s="11" t="str">
        <f>IF(Tabel!P978="","",IF(Tabel!U978="","",Tabel!P978))</f>
        <v/>
      </c>
    </row>
    <row r="976" spans="1:6" x14ac:dyDescent="0.25">
      <c r="A976" s="22" t="str">
        <f>IF(Tabel!N979="","",Tabel!Q979)</f>
        <v/>
      </c>
      <c r="B976" s="11" t="str">
        <f>IF(Tabel!N979="","",IF(Tabel!Q979="","",Tabel!N979))</f>
        <v/>
      </c>
      <c r="C976" s="22" t="str">
        <f>IF(Tabel!O979="","",Tabel!S979)</f>
        <v/>
      </c>
      <c r="D976" s="11" t="str">
        <f>IF(Tabel!O979="","",IF(Tabel!S979="","",Tabel!O979))</f>
        <v/>
      </c>
      <c r="E976" s="22" t="str">
        <f>IF(Tabel!P979="","",Tabel!T979)</f>
        <v/>
      </c>
      <c r="F976" s="11" t="str">
        <f>IF(Tabel!P979="","",IF(Tabel!U979="","",Tabel!P979))</f>
        <v/>
      </c>
    </row>
    <row r="977" spans="1:6" x14ac:dyDescent="0.25">
      <c r="A977" s="22" t="str">
        <f>IF(Tabel!N980="","",Tabel!Q980)</f>
        <v/>
      </c>
      <c r="B977" s="11" t="str">
        <f>IF(Tabel!N980="","",IF(Tabel!Q980="","",Tabel!N980))</f>
        <v/>
      </c>
      <c r="C977" s="22" t="str">
        <f>IF(Tabel!O980="","",Tabel!S980)</f>
        <v/>
      </c>
      <c r="D977" s="11" t="str">
        <f>IF(Tabel!O980="","",IF(Tabel!S980="","",Tabel!O980))</f>
        <v/>
      </c>
      <c r="E977" s="22" t="str">
        <f>IF(Tabel!P980="","",Tabel!T980)</f>
        <v/>
      </c>
      <c r="F977" s="11" t="str">
        <f>IF(Tabel!P980="","",IF(Tabel!U980="","",Tabel!P980))</f>
        <v/>
      </c>
    </row>
    <row r="978" spans="1:6" x14ac:dyDescent="0.25">
      <c r="A978" s="22" t="str">
        <f>IF(Tabel!N981="","",Tabel!Q981)</f>
        <v/>
      </c>
      <c r="B978" s="11" t="str">
        <f>IF(Tabel!N981="","",IF(Tabel!Q981="","",Tabel!N981))</f>
        <v/>
      </c>
      <c r="C978" s="22" t="str">
        <f>IF(Tabel!O981="","",Tabel!S981)</f>
        <v/>
      </c>
      <c r="D978" s="11" t="str">
        <f>IF(Tabel!O981="","",IF(Tabel!S981="","",Tabel!O981))</f>
        <v/>
      </c>
      <c r="E978" s="22" t="str">
        <f>IF(Tabel!P981="","",Tabel!T981)</f>
        <v/>
      </c>
      <c r="F978" s="11" t="str">
        <f>IF(Tabel!P981="","",IF(Tabel!U981="","",Tabel!P981))</f>
        <v/>
      </c>
    </row>
    <row r="979" spans="1:6" x14ac:dyDescent="0.25">
      <c r="A979" s="22" t="str">
        <f>IF(Tabel!N982="","",Tabel!Q982)</f>
        <v/>
      </c>
      <c r="B979" s="11" t="str">
        <f>IF(Tabel!N982="","",IF(Tabel!Q982="","",Tabel!N982))</f>
        <v/>
      </c>
      <c r="C979" s="22" t="str">
        <f>IF(Tabel!O982="","",Tabel!S982)</f>
        <v/>
      </c>
      <c r="D979" s="11" t="str">
        <f>IF(Tabel!O982="","",IF(Tabel!S982="","",Tabel!O982))</f>
        <v/>
      </c>
      <c r="E979" s="22" t="str">
        <f>IF(Tabel!P982="","",Tabel!T982)</f>
        <v/>
      </c>
      <c r="F979" s="11" t="str">
        <f>IF(Tabel!P982="","",IF(Tabel!U982="","",Tabel!P982))</f>
        <v/>
      </c>
    </row>
    <row r="980" spans="1:6" x14ac:dyDescent="0.25">
      <c r="A980" s="22" t="str">
        <f>IF(Tabel!N983="","",Tabel!Q983)</f>
        <v/>
      </c>
      <c r="B980" s="11" t="str">
        <f>IF(Tabel!N983="","",IF(Tabel!Q983="","",Tabel!N983))</f>
        <v/>
      </c>
      <c r="C980" s="22" t="str">
        <f>IF(Tabel!O983="","",Tabel!S983)</f>
        <v/>
      </c>
      <c r="D980" s="11" t="str">
        <f>IF(Tabel!O983="","",IF(Tabel!S983="","",Tabel!O983))</f>
        <v/>
      </c>
      <c r="E980" s="22" t="str">
        <f>IF(Tabel!P983="","",Tabel!T983)</f>
        <v/>
      </c>
      <c r="F980" s="11" t="str">
        <f>IF(Tabel!P983="","",IF(Tabel!U983="","",Tabel!P983))</f>
        <v/>
      </c>
    </row>
    <row r="981" spans="1:6" x14ac:dyDescent="0.25">
      <c r="A981" s="22" t="str">
        <f>IF(Tabel!N984="","",Tabel!Q984)</f>
        <v/>
      </c>
      <c r="B981" s="11" t="str">
        <f>IF(Tabel!N984="","",IF(Tabel!Q984="","",Tabel!N984))</f>
        <v/>
      </c>
      <c r="C981" s="22" t="str">
        <f>IF(Tabel!O984="","",Tabel!S984)</f>
        <v/>
      </c>
      <c r="D981" s="11" t="str">
        <f>IF(Tabel!O984="","",IF(Tabel!S984="","",Tabel!O984))</f>
        <v/>
      </c>
      <c r="E981" s="22" t="str">
        <f>IF(Tabel!P984="","",Tabel!T984)</f>
        <v/>
      </c>
      <c r="F981" s="11" t="str">
        <f>IF(Tabel!P984="","",IF(Tabel!U984="","",Tabel!P984))</f>
        <v/>
      </c>
    </row>
    <row r="982" spans="1:6" x14ac:dyDescent="0.25">
      <c r="A982" s="22" t="str">
        <f>IF(Tabel!N985="","",Tabel!Q985)</f>
        <v/>
      </c>
      <c r="B982" s="11" t="str">
        <f>IF(Tabel!N985="","",IF(Tabel!Q985="","",Tabel!N985))</f>
        <v/>
      </c>
      <c r="C982" s="22" t="str">
        <f>IF(Tabel!O985="","",Tabel!S985)</f>
        <v/>
      </c>
      <c r="D982" s="11" t="str">
        <f>IF(Tabel!O985="","",IF(Tabel!S985="","",Tabel!O985))</f>
        <v/>
      </c>
      <c r="E982" s="22" t="str">
        <f>IF(Tabel!P985="","",Tabel!T985)</f>
        <v/>
      </c>
      <c r="F982" s="11" t="str">
        <f>IF(Tabel!P985="","",IF(Tabel!U985="","",Tabel!P985))</f>
        <v/>
      </c>
    </row>
    <row r="983" spans="1:6" x14ac:dyDescent="0.25">
      <c r="A983" s="22" t="str">
        <f>IF(Tabel!N986="","",Tabel!Q986)</f>
        <v/>
      </c>
      <c r="B983" s="11" t="str">
        <f>IF(Tabel!N986="","",IF(Tabel!Q986="","",Tabel!N986))</f>
        <v/>
      </c>
      <c r="C983" s="22" t="str">
        <f>IF(Tabel!O986="","",Tabel!S986)</f>
        <v/>
      </c>
      <c r="D983" s="11" t="str">
        <f>IF(Tabel!O986="","",IF(Tabel!S986="","",Tabel!O986))</f>
        <v/>
      </c>
      <c r="E983" s="22" t="str">
        <f>IF(Tabel!P986="","",Tabel!T986)</f>
        <v/>
      </c>
      <c r="F983" s="11" t="str">
        <f>IF(Tabel!P986="","",IF(Tabel!U986="","",Tabel!P986))</f>
        <v/>
      </c>
    </row>
    <row r="984" spans="1:6" x14ac:dyDescent="0.25">
      <c r="A984" s="22" t="str">
        <f>IF(Tabel!N987="","",Tabel!Q987)</f>
        <v/>
      </c>
      <c r="B984" s="11" t="str">
        <f>IF(Tabel!N987="","",IF(Tabel!Q987="","",Tabel!N987))</f>
        <v/>
      </c>
      <c r="C984" s="22" t="str">
        <f>IF(Tabel!O987="","",Tabel!S987)</f>
        <v/>
      </c>
      <c r="D984" s="11" t="str">
        <f>IF(Tabel!O987="","",IF(Tabel!S987="","",Tabel!O987))</f>
        <v/>
      </c>
      <c r="E984" s="22" t="str">
        <f>IF(Tabel!P987="","",Tabel!T987)</f>
        <v/>
      </c>
      <c r="F984" s="11" t="str">
        <f>IF(Tabel!P987="","",IF(Tabel!U987="","",Tabel!P987))</f>
        <v/>
      </c>
    </row>
    <row r="985" spans="1:6" x14ac:dyDescent="0.25">
      <c r="A985" s="22" t="str">
        <f>IF(Tabel!N988="","",Tabel!Q988)</f>
        <v/>
      </c>
      <c r="B985" s="11" t="str">
        <f>IF(Tabel!N988="","",IF(Tabel!Q988="","",Tabel!N988))</f>
        <v/>
      </c>
      <c r="C985" s="22" t="str">
        <f>IF(Tabel!O988="","",Tabel!S988)</f>
        <v/>
      </c>
      <c r="D985" s="11" t="str">
        <f>IF(Tabel!O988="","",IF(Tabel!S988="","",Tabel!O988))</f>
        <v/>
      </c>
      <c r="E985" s="22" t="str">
        <f>IF(Tabel!P988="","",Tabel!T988)</f>
        <v/>
      </c>
      <c r="F985" s="11" t="str">
        <f>IF(Tabel!P988="","",IF(Tabel!U988="","",Tabel!P988))</f>
        <v/>
      </c>
    </row>
    <row r="986" spans="1:6" x14ac:dyDescent="0.25">
      <c r="A986" s="22" t="str">
        <f>IF(Tabel!N989="","",Tabel!Q989)</f>
        <v/>
      </c>
      <c r="B986" s="11" t="str">
        <f>IF(Tabel!N989="","",IF(Tabel!Q989="","",Tabel!N989))</f>
        <v/>
      </c>
      <c r="C986" s="22" t="str">
        <f>IF(Tabel!O989="","",Tabel!S989)</f>
        <v/>
      </c>
      <c r="D986" s="11" t="str">
        <f>IF(Tabel!O989="","",IF(Tabel!S989="","",Tabel!O989))</f>
        <v/>
      </c>
      <c r="E986" s="22" t="str">
        <f>IF(Tabel!P989="","",Tabel!T989)</f>
        <v/>
      </c>
      <c r="F986" s="11" t="str">
        <f>IF(Tabel!P989="","",IF(Tabel!U989="","",Tabel!P989))</f>
        <v/>
      </c>
    </row>
    <row r="987" spans="1:6" x14ac:dyDescent="0.25">
      <c r="A987" s="22" t="str">
        <f>IF(Tabel!N990="","",Tabel!Q990)</f>
        <v/>
      </c>
      <c r="B987" s="11" t="str">
        <f>IF(Tabel!N990="","",IF(Tabel!Q990="","",Tabel!N990))</f>
        <v/>
      </c>
      <c r="C987" s="22" t="str">
        <f>IF(Tabel!O990="","",Tabel!S990)</f>
        <v/>
      </c>
      <c r="D987" s="11" t="str">
        <f>IF(Tabel!O990="","",IF(Tabel!S990="","",Tabel!O990))</f>
        <v/>
      </c>
      <c r="E987" s="22" t="str">
        <f>IF(Tabel!P990="","",Tabel!T990)</f>
        <v/>
      </c>
      <c r="F987" s="11" t="str">
        <f>IF(Tabel!P990="","",IF(Tabel!U990="","",Tabel!P990))</f>
        <v/>
      </c>
    </row>
    <row r="988" spans="1:6" x14ac:dyDescent="0.25">
      <c r="A988" s="22" t="str">
        <f>IF(Tabel!N991="","",Tabel!Q991)</f>
        <v/>
      </c>
      <c r="B988" s="11" t="str">
        <f>IF(Tabel!N991="","",IF(Tabel!Q991="","",Tabel!N991))</f>
        <v/>
      </c>
      <c r="C988" s="22" t="str">
        <f>IF(Tabel!O991="","",Tabel!S991)</f>
        <v/>
      </c>
      <c r="D988" s="11" t="str">
        <f>IF(Tabel!O991="","",IF(Tabel!S991="","",Tabel!O991))</f>
        <v/>
      </c>
      <c r="E988" s="22" t="str">
        <f>IF(Tabel!P991="","",Tabel!T991)</f>
        <v/>
      </c>
      <c r="F988" s="11" t="str">
        <f>IF(Tabel!P991="","",IF(Tabel!U991="","",Tabel!P991))</f>
        <v/>
      </c>
    </row>
    <row r="989" spans="1:6" x14ac:dyDescent="0.25">
      <c r="A989" s="22" t="str">
        <f>IF(Tabel!N992="","",Tabel!Q992)</f>
        <v/>
      </c>
      <c r="B989" s="11" t="str">
        <f>IF(Tabel!N992="","",IF(Tabel!Q992="","",Tabel!N992))</f>
        <v/>
      </c>
      <c r="C989" s="22" t="str">
        <f>IF(Tabel!O992="","",Tabel!S992)</f>
        <v/>
      </c>
      <c r="D989" s="11" t="str">
        <f>IF(Tabel!O992="","",IF(Tabel!S992="","",Tabel!O992))</f>
        <v/>
      </c>
      <c r="E989" s="22" t="str">
        <f>IF(Tabel!P992="","",Tabel!T992)</f>
        <v/>
      </c>
      <c r="F989" s="11" t="str">
        <f>IF(Tabel!P992="","",IF(Tabel!U992="","",Tabel!P992))</f>
        <v/>
      </c>
    </row>
    <row r="990" spans="1:6" x14ac:dyDescent="0.25">
      <c r="A990" s="22" t="str">
        <f>IF(Tabel!N993="","",Tabel!Q993)</f>
        <v/>
      </c>
      <c r="B990" s="11" t="str">
        <f>IF(Tabel!N993="","",IF(Tabel!Q993="","",Tabel!N993))</f>
        <v/>
      </c>
      <c r="C990" s="22" t="str">
        <f>IF(Tabel!O993="","",Tabel!S993)</f>
        <v/>
      </c>
      <c r="D990" s="11" t="str">
        <f>IF(Tabel!O993="","",IF(Tabel!S993="","",Tabel!O993))</f>
        <v/>
      </c>
      <c r="E990" s="22" t="str">
        <f>IF(Tabel!P993="","",Tabel!T993)</f>
        <v/>
      </c>
      <c r="F990" s="11" t="str">
        <f>IF(Tabel!P993="","",IF(Tabel!U993="","",Tabel!P993))</f>
        <v/>
      </c>
    </row>
    <row r="991" spans="1:6" x14ac:dyDescent="0.25">
      <c r="A991" s="22" t="str">
        <f>IF(Tabel!N994="","",Tabel!Q994)</f>
        <v/>
      </c>
      <c r="B991" s="11" t="str">
        <f>IF(Tabel!N994="","",IF(Tabel!Q994="","",Tabel!N994))</f>
        <v/>
      </c>
      <c r="C991" s="22" t="str">
        <f>IF(Tabel!O994="","",Tabel!S994)</f>
        <v/>
      </c>
      <c r="D991" s="11" t="str">
        <f>IF(Tabel!O994="","",IF(Tabel!S994="","",Tabel!O994))</f>
        <v/>
      </c>
      <c r="E991" s="22" t="str">
        <f>IF(Tabel!P994="","",Tabel!T994)</f>
        <v/>
      </c>
      <c r="F991" s="11" t="str">
        <f>IF(Tabel!P994="","",IF(Tabel!U994="","",Tabel!P994))</f>
        <v/>
      </c>
    </row>
    <row r="992" spans="1:6" x14ac:dyDescent="0.25">
      <c r="A992" s="22" t="str">
        <f>IF(Tabel!N995="","",Tabel!Q995)</f>
        <v/>
      </c>
      <c r="B992" s="11" t="str">
        <f>IF(Tabel!N995="","",IF(Tabel!Q995="","",Tabel!N995))</f>
        <v/>
      </c>
      <c r="C992" s="22" t="str">
        <f>IF(Tabel!O995="","",Tabel!S995)</f>
        <v/>
      </c>
      <c r="D992" s="11" t="str">
        <f>IF(Tabel!O995="","",IF(Tabel!S995="","",Tabel!O995))</f>
        <v/>
      </c>
      <c r="E992" s="22" t="str">
        <f>IF(Tabel!P995="","",Tabel!T995)</f>
        <v/>
      </c>
      <c r="F992" s="11" t="str">
        <f>IF(Tabel!P995="","",IF(Tabel!U995="","",Tabel!P995))</f>
        <v/>
      </c>
    </row>
    <row r="993" spans="1:6" x14ac:dyDescent="0.25">
      <c r="A993" s="22" t="str">
        <f>IF(Tabel!N996="","",Tabel!Q996)</f>
        <v/>
      </c>
      <c r="B993" s="11" t="str">
        <f>IF(Tabel!N996="","",IF(Tabel!Q996="","",Tabel!N996))</f>
        <v/>
      </c>
      <c r="C993" s="22" t="str">
        <f>IF(Tabel!O996="","",Tabel!S996)</f>
        <v/>
      </c>
      <c r="D993" s="11" t="str">
        <f>IF(Tabel!O996="","",IF(Tabel!S996="","",Tabel!O996))</f>
        <v/>
      </c>
      <c r="E993" s="22" t="str">
        <f>IF(Tabel!P996="","",Tabel!T996)</f>
        <v/>
      </c>
      <c r="F993" s="11" t="str">
        <f>IF(Tabel!P996="","",IF(Tabel!U996="","",Tabel!P996))</f>
        <v/>
      </c>
    </row>
    <row r="994" spans="1:6" x14ac:dyDescent="0.25">
      <c r="A994" s="22" t="str">
        <f>IF(Tabel!N997="","",Tabel!Q997)</f>
        <v/>
      </c>
      <c r="B994" s="11" t="str">
        <f>IF(Tabel!N997="","",IF(Tabel!Q997="","",Tabel!N997))</f>
        <v/>
      </c>
      <c r="C994" s="22" t="str">
        <f>IF(Tabel!O997="","",Tabel!S997)</f>
        <v/>
      </c>
      <c r="D994" s="11" t="str">
        <f>IF(Tabel!O997="","",IF(Tabel!S997="","",Tabel!O997))</f>
        <v/>
      </c>
      <c r="E994" s="22" t="str">
        <f>IF(Tabel!P997="","",Tabel!T997)</f>
        <v/>
      </c>
      <c r="F994" s="11" t="str">
        <f>IF(Tabel!P997="","",IF(Tabel!U997="","",Tabel!P997))</f>
        <v/>
      </c>
    </row>
    <row r="995" spans="1:6" x14ac:dyDescent="0.25">
      <c r="A995" s="22" t="str">
        <f>IF(Tabel!N998="","",Tabel!Q998)</f>
        <v/>
      </c>
      <c r="B995" s="11" t="str">
        <f>IF(Tabel!N998="","",IF(Tabel!Q998="","",Tabel!N998))</f>
        <v/>
      </c>
      <c r="C995" s="22" t="str">
        <f>IF(Tabel!O998="","",Tabel!S998)</f>
        <v/>
      </c>
      <c r="D995" s="11" t="str">
        <f>IF(Tabel!O998="","",IF(Tabel!S998="","",Tabel!O998))</f>
        <v/>
      </c>
      <c r="E995" s="22" t="str">
        <f>IF(Tabel!P998="","",Tabel!T998)</f>
        <v/>
      </c>
      <c r="F995" s="11" t="str">
        <f>IF(Tabel!P998="","",IF(Tabel!U998="","",Tabel!P998))</f>
        <v/>
      </c>
    </row>
    <row r="996" spans="1:6" x14ac:dyDescent="0.25">
      <c r="A996" s="22" t="str">
        <f>IF(Tabel!N999="","",Tabel!Q999)</f>
        <v/>
      </c>
      <c r="B996" s="11" t="str">
        <f>IF(Tabel!N999="","",IF(Tabel!Q999="","",Tabel!N999))</f>
        <v/>
      </c>
      <c r="C996" s="22" t="str">
        <f>IF(Tabel!O999="","",Tabel!S999)</f>
        <v/>
      </c>
      <c r="D996" s="11" t="str">
        <f>IF(Tabel!O999="","",IF(Tabel!S999="","",Tabel!O999))</f>
        <v/>
      </c>
      <c r="E996" s="22" t="str">
        <f>IF(Tabel!P999="","",Tabel!T999)</f>
        <v/>
      </c>
      <c r="F996" s="11" t="str">
        <f>IF(Tabel!P999="","",IF(Tabel!U999="","",Tabel!P999))</f>
        <v/>
      </c>
    </row>
    <row r="997" spans="1:6" x14ac:dyDescent="0.25">
      <c r="A997" s="22" t="str">
        <f>IF(Tabel!N1000="","",Tabel!Q1000)</f>
        <v/>
      </c>
      <c r="B997" s="11" t="str">
        <f>IF(Tabel!N1000="","",IF(Tabel!Q1000="","",Tabel!N1000))</f>
        <v/>
      </c>
      <c r="C997" s="22" t="str">
        <f>IF(Tabel!O1000="","",Tabel!S1000)</f>
        <v/>
      </c>
      <c r="D997" s="11" t="str">
        <f>IF(Tabel!O1000="","",IF(Tabel!S1000="","",Tabel!O1000))</f>
        <v/>
      </c>
      <c r="E997" s="22" t="str">
        <f>IF(Tabel!P1000="","",Tabel!T1000)</f>
        <v/>
      </c>
      <c r="F997" s="11" t="str">
        <f>IF(Tabel!P1000="","",IF(Tabel!U1000="","",Tabel!P1000))</f>
        <v/>
      </c>
    </row>
    <row r="998" spans="1:6" x14ac:dyDescent="0.25">
      <c r="A998" s="22" t="str">
        <f>IF(Tabel!N1001="","",Tabel!Q1001)</f>
        <v/>
      </c>
      <c r="B998" s="11" t="str">
        <f>IF(Tabel!N1001="","",IF(Tabel!Q1001="","",Tabel!N1001))</f>
        <v/>
      </c>
      <c r="C998" s="22" t="str">
        <f>IF(Tabel!O1001="","",Tabel!S1001)</f>
        <v/>
      </c>
      <c r="D998" s="11" t="str">
        <f>IF(Tabel!O1001="","",IF(Tabel!S1001="","",Tabel!O1001))</f>
        <v/>
      </c>
      <c r="E998" s="22" t="str">
        <f>IF(Tabel!P1001="","",Tabel!T1001)</f>
        <v/>
      </c>
      <c r="F998" s="11" t="str">
        <f>IF(Tabel!P1001="","",IF(Tabel!U1001="","",Tabel!P1001))</f>
        <v/>
      </c>
    </row>
    <row r="999" spans="1:6" x14ac:dyDescent="0.25">
      <c r="A999" s="22" t="str">
        <f>IF(Tabel!N1002="","",Tabel!Q1002)</f>
        <v/>
      </c>
      <c r="B999" s="11" t="str">
        <f>IF(Tabel!N1002="","",IF(Tabel!Q1002="","",Tabel!N1002))</f>
        <v/>
      </c>
      <c r="C999" s="22" t="str">
        <f>IF(Tabel!O1002="","",Tabel!S1002)</f>
        <v/>
      </c>
      <c r="D999" s="11" t="str">
        <f>IF(Tabel!O1002="","",IF(Tabel!S1002="","",Tabel!O1002))</f>
        <v/>
      </c>
      <c r="E999" s="22" t="str">
        <f>IF(Tabel!P1002="","",Tabel!T1002)</f>
        <v/>
      </c>
      <c r="F999" s="11" t="str">
        <f>IF(Tabel!P1002="","",IF(Tabel!U1002="","",Tabel!P1002))</f>
        <v/>
      </c>
    </row>
    <row r="1000" spans="1:6" x14ac:dyDescent="0.25">
      <c r="A1000" s="22" t="str">
        <f>IF(Tabel!N1003="","",Tabel!Q1003)</f>
        <v/>
      </c>
      <c r="B1000" s="11" t="str">
        <f>IF(Tabel!N1003="","",IF(Tabel!Q1003="","",Tabel!N1003))</f>
        <v/>
      </c>
      <c r="C1000" s="22" t="str">
        <f>IF(Tabel!O1003="","",Tabel!S1003)</f>
        <v/>
      </c>
      <c r="D1000" s="11" t="str">
        <f>IF(Tabel!O1003="","",IF(Tabel!S1003="","",Tabel!O1003))</f>
        <v/>
      </c>
      <c r="E1000" s="22" t="str">
        <f>IF(Tabel!P1003="","",Tabel!T1003)</f>
        <v/>
      </c>
      <c r="F1000" s="11" t="str">
        <f>IF(Tabel!P1003="","",IF(Tabel!U1003="","",Tabel!P1003))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rkData.CopyResidualsToStat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8</xdr:col>
                    <xdr:colOff>85725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Regneark</vt:lpstr>
      </vt:variant>
      <vt:variant>
        <vt:i4>2</vt:i4>
      </vt:variant>
      <vt:variant>
        <vt:lpstr>Diagrammer</vt:lpstr>
      </vt:variant>
      <vt:variant>
        <vt:i4>1</vt:i4>
      </vt:variant>
      <vt:variant>
        <vt:lpstr>Navngivne områder</vt:lpstr>
      </vt:variant>
      <vt:variant>
        <vt:i4>7</vt:i4>
      </vt:variant>
    </vt:vector>
  </HeadingPairs>
  <TitlesOfParts>
    <vt:vector size="10" baseType="lpstr">
      <vt:lpstr>Tabel</vt:lpstr>
      <vt:lpstr>Data</vt:lpstr>
      <vt:lpstr>Graf</vt:lpstr>
      <vt:lpstr>matma</vt:lpstr>
      <vt:lpstr>matmARCSIN</vt:lpstr>
      <vt:lpstr>matmASIN</vt:lpstr>
      <vt:lpstr>matmb</vt:lpstr>
      <vt:lpstr>matmI</vt:lpstr>
      <vt:lpstr>matmmPI</vt:lpstr>
      <vt:lpstr>matmPI</vt:lpstr>
    </vt:vector>
  </TitlesOfParts>
  <Company>Nyborg Gymnasium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Mikael Samsøe Sørensen</dc:creator>
  <cp:lastModifiedBy>Mikael Sørensen</cp:lastModifiedBy>
  <dcterms:created xsi:type="dcterms:W3CDTF">2010-01-03T09:20:22Z</dcterms:created>
  <dcterms:modified xsi:type="dcterms:W3CDTF">2024-10-10T06:01:06Z</dcterms:modified>
</cp:coreProperties>
</file>