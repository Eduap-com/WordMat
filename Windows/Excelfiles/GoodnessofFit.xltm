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A19A75A5-171A-4B10-B7B2-860938B70AB7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Goodness of fit" sheetId="1" r:id="rId1"/>
    <sheet name="Højresumgraf" sheetId="4" r:id="rId2"/>
    <sheet name="Frekvensfunktion" sheetId="6" r:id="rId3"/>
    <sheet name="Hjælp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" l="1"/>
  <c r="E11" i="3" l="1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" i="3"/>
  <c r="E4" i="3"/>
  <c r="E5" i="3"/>
  <c r="E6" i="3"/>
  <c r="E7" i="3"/>
  <c r="E8" i="3"/>
  <c r="E9" i="3"/>
  <c r="F1" i="3" l="1"/>
  <c r="A2" i="3"/>
  <c r="A3" i="3" l="1"/>
  <c r="D3" i="3" s="1"/>
  <c r="B2" i="3"/>
  <c r="E2" i="3"/>
  <c r="D3" i="1" s="1"/>
  <c r="F2" i="3" s="1"/>
  <c r="F3" i="3" s="1"/>
  <c r="D2" i="3"/>
  <c r="D1" i="3"/>
  <c r="B1" i="3"/>
  <c r="B3" i="3" l="1"/>
  <c r="D4" i="1"/>
  <c r="G3" i="3" s="1"/>
  <c r="G4" i="3" s="1"/>
  <c r="C1" i="3"/>
  <c r="A4" i="3"/>
  <c r="C3" i="3"/>
  <c r="C2" i="3"/>
  <c r="A5" i="3" l="1"/>
  <c r="D4" i="3"/>
  <c r="B4" i="3"/>
  <c r="C4" i="3" s="1"/>
  <c r="A6" i="3" l="1"/>
  <c r="B5" i="3"/>
  <c r="C5" i="3" s="1"/>
  <c r="D5" i="3"/>
  <c r="A7" i="3" l="1"/>
  <c r="D6" i="3"/>
  <c r="B6" i="3"/>
  <c r="C6" i="3" s="1"/>
  <c r="A8" i="3" l="1"/>
  <c r="D7" i="3"/>
  <c r="B7" i="3"/>
  <c r="C7" i="3" s="1"/>
  <c r="A9" i="3" l="1"/>
  <c r="D8" i="3"/>
  <c r="B8" i="3"/>
  <c r="C8" i="3" s="1"/>
  <c r="A10" i="3" l="1"/>
  <c r="D9" i="3"/>
  <c r="B9" i="3"/>
  <c r="C9" i="3" s="1"/>
  <c r="A11" i="3" l="1"/>
  <c r="D10" i="3"/>
  <c r="B10" i="3"/>
  <c r="C10" i="3" s="1"/>
  <c r="A12" i="3" l="1"/>
  <c r="D11" i="3"/>
  <c r="B11" i="3"/>
  <c r="C11" i="3" s="1"/>
  <c r="A13" i="3" l="1"/>
  <c r="D12" i="3"/>
  <c r="B12" i="3"/>
  <c r="C12" i="3" s="1"/>
  <c r="A14" i="3" l="1"/>
  <c r="D13" i="3"/>
  <c r="B13" i="3"/>
  <c r="C13" i="3" s="1"/>
  <c r="A15" i="3" l="1"/>
  <c r="D14" i="3"/>
  <c r="B14" i="3"/>
  <c r="C14" i="3" s="1"/>
  <c r="A16" i="3" l="1"/>
  <c r="D15" i="3"/>
  <c r="B15" i="3"/>
  <c r="C15" i="3" s="1"/>
  <c r="A17" i="3" l="1"/>
  <c r="D16" i="3"/>
  <c r="B16" i="3"/>
  <c r="C16" i="3" s="1"/>
  <c r="A18" i="3" l="1"/>
  <c r="D17" i="3"/>
  <c r="B17" i="3"/>
  <c r="C17" i="3" s="1"/>
  <c r="A19" i="3" l="1"/>
  <c r="D18" i="3"/>
  <c r="B18" i="3"/>
  <c r="C18" i="3" s="1"/>
  <c r="A20" i="3" l="1"/>
  <c r="D19" i="3"/>
  <c r="B19" i="3"/>
  <c r="C19" i="3" s="1"/>
  <c r="A21" i="3" l="1"/>
  <c r="D20" i="3"/>
  <c r="B20" i="3"/>
  <c r="C20" i="3" s="1"/>
  <c r="A22" i="3" l="1"/>
  <c r="D21" i="3"/>
  <c r="B21" i="3"/>
  <c r="C21" i="3" s="1"/>
  <c r="A23" i="3" l="1"/>
  <c r="D22" i="3"/>
  <c r="B22" i="3"/>
  <c r="C22" i="3" s="1"/>
  <c r="A24" i="3" l="1"/>
  <c r="D23" i="3"/>
  <c r="B23" i="3"/>
  <c r="C23" i="3" s="1"/>
  <c r="A25" i="3" l="1"/>
  <c r="D24" i="3"/>
  <c r="B24" i="3"/>
  <c r="C24" i="3" s="1"/>
  <c r="A26" i="3" l="1"/>
  <c r="D25" i="3"/>
  <c r="B25" i="3"/>
  <c r="C25" i="3" s="1"/>
  <c r="A27" i="3" l="1"/>
  <c r="D26" i="3"/>
  <c r="B26" i="3"/>
  <c r="C26" i="3" s="1"/>
  <c r="A28" i="3" l="1"/>
  <c r="D27" i="3"/>
  <c r="B27" i="3"/>
  <c r="C27" i="3" s="1"/>
  <c r="A29" i="3" l="1"/>
  <c r="D28" i="3"/>
  <c r="B28" i="3"/>
  <c r="C28" i="3" s="1"/>
  <c r="A30" i="3" l="1"/>
  <c r="D29" i="3"/>
  <c r="B29" i="3"/>
  <c r="C29" i="3" s="1"/>
  <c r="A31" i="3" l="1"/>
  <c r="D30" i="3"/>
  <c r="B30" i="3"/>
  <c r="C30" i="3" s="1"/>
  <c r="A32" i="3" l="1"/>
  <c r="D31" i="3"/>
  <c r="B31" i="3"/>
  <c r="C31" i="3" s="1"/>
  <c r="A33" i="3" l="1"/>
  <c r="D32" i="3"/>
  <c r="B32" i="3"/>
  <c r="C32" i="3" s="1"/>
  <c r="A34" i="3" l="1"/>
  <c r="D33" i="3"/>
  <c r="B33" i="3"/>
  <c r="C33" i="3" s="1"/>
  <c r="A35" i="3" l="1"/>
  <c r="D34" i="3"/>
  <c r="B34" i="3"/>
  <c r="C34" i="3" s="1"/>
  <c r="A36" i="3" l="1"/>
  <c r="D35" i="3"/>
  <c r="B35" i="3"/>
  <c r="C35" i="3" s="1"/>
  <c r="A37" i="3" l="1"/>
  <c r="D36" i="3"/>
  <c r="B36" i="3"/>
  <c r="C36" i="3" s="1"/>
  <c r="A38" i="3" l="1"/>
  <c r="D37" i="3"/>
  <c r="B37" i="3"/>
  <c r="C37" i="3" s="1"/>
  <c r="A39" i="3" l="1"/>
  <c r="D38" i="3"/>
  <c r="B38" i="3"/>
  <c r="C38" i="3" s="1"/>
  <c r="A40" i="3" l="1"/>
  <c r="B39" i="3"/>
  <c r="C39" i="3" s="1"/>
  <c r="D39" i="3"/>
  <c r="A41" i="3" l="1"/>
  <c r="D40" i="3"/>
  <c r="B40" i="3"/>
  <c r="C40" i="3" s="1"/>
  <c r="A42" i="3" l="1"/>
  <c r="D41" i="3"/>
  <c r="B41" i="3"/>
  <c r="C41" i="3" s="1"/>
  <c r="A43" i="3" l="1"/>
  <c r="D42" i="3"/>
  <c r="B42" i="3"/>
  <c r="C42" i="3" s="1"/>
  <c r="A44" i="3" l="1"/>
  <c r="B43" i="3"/>
  <c r="C43" i="3" s="1"/>
  <c r="D43" i="3"/>
  <c r="A45" i="3" l="1"/>
  <c r="D44" i="3"/>
  <c r="B44" i="3"/>
  <c r="C44" i="3" s="1"/>
  <c r="A46" i="3" l="1"/>
  <c r="D45" i="3"/>
  <c r="B45" i="3"/>
  <c r="C45" i="3" s="1"/>
  <c r="A47" i="3" l="1"/>
  <c r="D46" i="3"/>
  <c r="B46" i="3"/>
  <c r="C46" i="3" s="1"/>
  <c r="A48" i="3" l="1"/>
  <c r="B47" i="3"/>
  <c r="C47" i="3" s="1"/>
  <c r="D47" i="3"/>
  <c r="A49" i="3" l="1"/>
  <c r="D48" i="3"/>
  <c r="B48" i="3"/>
  <c r="C48" i="3" s="1"/>
  <c r="A50" i="3" l="1"/>
  <c r="D49" i="3"/>
  <c r="B49" i="3"/>
  <c r="C49" i="3" s="1"/>
  <c r="A51" i="3" l="1"/>
  <c r="D50" i="3"/>
  <c r="B50" i="3"/>
  <c r="C50" i="3" s="1"/>
  <c r="A52" i="3" l="1"/>
  <c r="B51" i="3"/>
  <c r="C51" i="3" s="1"/>
  <c r="D51" i="3"/>
  <c r="A53" i="3" l="1"/>
  <c r="D52" i="3"/>
  <c r="B52" i="3"/>
  <c r="C52" i="3" s="1"/>
  <c r="A54" i="3" l="1"/>
  <c r="D53" i="3"/>
  <c r="B53" i="3"/>
  <c r="C53" i="3" s="1"/>
  <c r="A55" i="3" l="1"/>
  <c r="D54" i="3"/>
  <c r="B54" i="3"/>
  <c r="C54" i="3" s="1"/>
  <c r="A56" i="3" l="1"/>
  <c r="B55" i="3"/>
  <c r="C55" i="3" s="1"/>
  <c r="D55" i="3"/>
  <c r="A57" i="3" l="1"/>
  <c r="D56" i="3"/>
  <c r="B56" i="3"/>
  <c r="C56" i="3" s="1"/>
  <c r="A58" i="3" l="1"/>
  <c r="D57" i="3"/>
  <c r="B57" i="3"/>
  <c r="C57" i="3" s="1"/>
  <c r="A59" i="3" l="1"/>
  <c r="D58" i="3"/>
  <c r="B58" i="3"/>
  <c r="C58" i="3" s="1"/>
  <c r="A60" i="3" l="1"/>
  <c r="B59" i="3"/>
  <c r="C59" i="3" s="1"/>
  <c r="D59" i="3"/>
  <c r="A61" i="3" l="1"/>
  <c r="D60" i="3"/>
  <c r="B60" i="3"/>
  <c r="C60" i="3" s="1"/>
  <c r="A62" i="3" l="1"/>
  <c r="D61" i="3"/>
  <c r="B61" i="3"/>
  <c r="C61" i="3" s="1"/>
  <c r="A63" i="3" l="1"/>
  <c r="D62" i="3"/>
  <c r="B62" i="3"/>
  <c r="C62" i="3" s="1"/>
  <c r="A64" i="3" l="1"/>
  <c r="B63" i="3"/>
  <c r="C63" i="3" s="1"/>
  <c r="D63" i="3"/>
  <c r="A65" i="3" l="1"/>
  <c r="D64" i="3"/>
  <c r="B64" i="3"/>
  <c r="C64" i="3" s="1"/>
  <c r="A66" i="3" l="1"/>
  <c r="D65" i="3"/>
  <c r="B65" i="3"/>
  <c r="C65" i="3" s="1"/>
  <c r="A67" i="3" l="1"/>
  <c r="D66" i="3"/>
  <c r="B66" i="3"/>
  <c r="C66" i="3" s="1"/>
  <c r="A68" i="3" l="1"/>
  <c r="B67" i="3"/>
  <c r="C67" i="3" s="1"/>
  <c r="D67" i="3"/>
  <c r="A69" i="3" l="1"/>
  <c r="D68" i="3"/>
  <c r="B68" i="3"/>
  <c r="C68" i="3" s="1"/>
  <c r="A70" i="3" l="1"/>
  <c r="D69" i="3"/>
  <c r="B69" i="3"/>
  <c r="C69" i="3" s="1"/>
  <c r="A71" i="3" l="1"/>
  <c r="D70" i="3"/>
  <c r="B70" i="3"/>
  <c r="C70" i="3" s="1"/>
  <c r="A72" i="3" l="1"/>
  <c r="B71" i="3"/>
  <c r="C71" i="3" s="1"/>
  <c r="D71" i="3"/>
  <c r="A73" i="3" l="1"/>
  <c r="D72" i="3"/>
  <c r="B72" i="3"/>
  <c r="C72" i="3" s="1"/>
  <c r="A74" i="3" l="1"/>
  <c r="D73" i="3"/>
  <c r="B73" i="3"/>
  <c r="C73" i="3" s="1"/>
  <c r="A75" i="3" l="1"/>
  <c r="D74" i="3"/>
  <c r="B74" i="3"/>
  <c r="C74" i="3" s="1"/>
  <c r="A76" i="3" l="1"/>
  <c r="B75" i="3"/>
  <c r="C75" i="3" s="1"/>
  <c r="D75" i="3"/>
  <c r="A77" i="3" l="1"/>
  <c r="D76" i="3"/>
  <c r="B76" i="3"/>
  <c r="C76" i="3" s="1"/>
  <c r="A78" i="3" l="1"/>
  <c r="D77" i="3"/>
  <c r="B77" i="3"/>
  <c r="C77" i="3" s="1"/>
  <c r="A79" i="3" l="1"/>
  <c r="D78" i="3"/>
  <c r="B78" i="3"/>
  <c r="C78" i="3" s="1"/>
  <c r="A80" i="3" l="1"/>
  <c r="B79" i="3"/>
  <c r="C79" i="3" s="1"/>
  <c r="D79" i="3"/>
  <c r="A81" i="3" l="1"/>
  <c r="D80" i="3"/>
  <c r="B80" i="3"/>
  <c r="C80" i="3" s="1"/>
  <c r="A82" i="3" l="1"/>
  <c r="D81" i="3"/>
  <c r="B81" i="3"/>
  <c r="C81" i="3" s="1"/>
  <c r="A83" i="3" l="1"/>
  <c r="D82" i="3"/>
  <c r="B82" i="3"/>
  <c r="C82" i="3" s="1"/>
  <c r="A84" i="3" l="1"/>
  <c r="C83" i="3"/>
  <c r="B83" i="3"/>
  <c r="D83" i="3"/>
  <c r="A85" i="3" l="1"/>
  <c r="D84" i="3"/>
  <c r="B84" i="3"/>
  <c r="C84" i="3" s="1"/>
  <c r="A86" i="3" l="1"/>
  <c r="D85" i="3"/>
  <c r="B85" i="3"/>
  <c r="C85" i="3" s="1"/>
  <c r="A87" i="3" l="1"/>
  <c r="D86" i="3"/>
  <c r="B86" i="3"/>
  <c r="C86" i="3" s="1"/>
  <c r="A88" i="3" l="1"/>
  <c r="B87" i="3"/>
  <c r="C87" i="3" s="1"/>
  <c r="D87" i="3"/>
  <c r="A89" i="3" l="1"/>
  <c r="D88" i="3"/>
  <c r="B88" i="3"/>
  <c r="C88" i="3" s="1"/>
  <c r="A90" i="3" l="1"/>
  <c r="D89" i="3"/>
  <c r="B89" i="3"/>
  <c r="C89" i="3" s="1"/>
  <c r="A91" i="3" l="1"/>
  <c r="D90" i="3"/>
  <c r="B90" i="3"/>
  <c r="C90" i="3" s="1"/>
  <c r="A92" i="3" l="1"/>
  <c r="B91" i="3"/>
  <c r="C91" i="3" s="1"/>
  <c r="D91" i="3"/>
  <c r="A93" i="3" l="1"/>
  <c r="D92" i="3"/>
  <c r="B92" i="3"/>
  <c r="C92" i="3" s="1"/>
  <c r="A94" i="3" l="1"/>
  <c r="D93" i="3"/>
  <c r="B93" i="3"/>
  <c r="C93" i="3" s="1"/>
  <c r="A95" i="3" l="1"/>
  <c r="D94" i="3"/>
  <c r="B94" i="3"/>
  <c r="C94" i="3" s="1"/>
  <c r="A96" i="3" l="1"/>
  <c r="B95" i="3"/>
  <c r="C95" i="3" s="1"/>
  <c r="D95" i="3"/>
  <c r="A97" i="3" l="1"/>
  <c r="D96" i="3"/>
  <c r="B96" i="3"/>
  <c r="C96" i="3" s="1"/>
  <c r="A98" i="3" l="1"/>
  <c r="D97" i="3"/>
  <c r="B97" i="3"/>
  <c r="C97" i="3" s="1"/>
  <c r="A99" i="3" l="1"/>
  <c r="D98" i="3"/>
  <c r="B98" i="3"/>
  <c r="C98" i="3" s="1"/>
  <c r="A100" i="3" l="1"/>
  <c r="B99" i="3"/>
  <c r="C99" i="3" s="1"/>
  <c r="D99" i="3"/>
  <c r="A101" i="3" l="1"/>
  <c r="D100" i="3"/>
  <c r="B100" i="3"/>
  <c r="C100" i="3" s="1"/>
  <c r="A102" i="3" l="1"/>
  <c r="D101" i="3"/>
  <c r="B101" i="3"/>
  <c r="C101" i="3" s="1"/>
  <c r="A103" i="3" l="1"/>
  <c r="D102" i="3"/>
  <c r="B102" i="3"/>
  <c r="C102" i="3" s="1"/>
  <c r="A104" i="3" l="1"/>
  <c r="B103" i="3"/>
  <c r="C103" i="3" s="1"/>
  <c r="D103" i="3"/>
  <c r="A105" i="3" l="1"/>
  <c r="D104" i="3"/>
  <c r="B104" i="3"/>
  <c r="C104" i="3" s="1"/>
  <c r="A106" i="3" l="1"/>
  <c r="D105" i="3"/>
  <c r="B105" i="3"/>
  <c r="C105" i="3" s="1"/>
  <c r="A107" i="3" l="1"/>
  <c r="D106" i="3"/>
  <c r="B106" i="3"/>
  <c r="C106" i="3" s="1"/>
  <c r="A108" i="3" l="1"/>
  <c r="B107" i="3"/>
  <c r="C107" i="3" s="1"/>
  <c r="D107" i="3"/>
  <c r="A109" i="3" l="1"/>
  <c r="D108" i="3"/>
  <c r="B108" i="3"/>
  <c r="C108" i="3" s="1"/>
  <c r="A110" i="3" l="1"/>
  <c r="D109" i="3"/>
  <c r="B109" i="3"/>
  <c r="C109" i="3" s="1"/>
  <c r="A111" i="3" l="1"/>
  <c r="D110" i="3"/>
  <c r="B110" i="3"/>
  <c r="C110" i="3" s="1"/>
  <c r="A112" i="3" l="1"/>
  <c r="B111" i="3"/>
  <c r="C111" i="3" s="1"/>
  <c r="D111" i="3"/>
  <c r="A113" i="3" l="1"/>
  <c r="D112" i="3"/>
  <c r="B112" i="3"/>
  <c r="C112" i="3" s="1"/>
  <c r="A114" i="3" l="1"/>
  <c r="D113" i="3"/>
  <c r="B113" i="3"/>
  <c r="C113" i="3" s="1"/>
  <c r="A115" i="3" l="1"/>
  <c r="D114" i="3"/>
  <c r="B114" i="3"/>
  <c r="C114" i="3" s="1"/>
  <c r="A116" i="3" l="1"/>
  <c r="B115" i="3"/>
  <c r="C115" i="3" s="1"/>
  <c r="D115" i="3"/>
  <c r="A117" i="3" l="1"/>
  <c r="D116" i="3"/>
  <c r="B116" i="3"/>
  <c r="C116" i="3" s="1"/>
  <c r="A118" i="3" l="1"/>
  <c r="D117" i="3"/>
  <c r="B117" i="3"/>
  <c r="C117" i="3" s="1"/>
  <c r="A119" i="3" l="1"/>
  <c r="D118" i="3"/>
  <c r="B118" i="3"/>
  <c r="C118" i="3" s="1"/>
  <c r="A120" i="3" l="1"/>
  <c r="B119" i="3"/>
  <c r="C119" i="3" s="1"/>
  <c r="D119" i="3"/>
  <c r="A121" i="3" l="1"/>
  <c r="D120" i="3"/>
  <c r="B120" i="3"/>
  <c r="C120" i="3" s="1"/>
  <c r="A122" i="3" l="1"/>
  <c r="D121" i="3"/>
  <c r="B121" i="3"/>
  <c r="C121" i="3" s="1"/>
  <c r="A123" i="3" l="1"/>
  <c r="D122" i="3"/>
  <c r="B122" i="3"/>
  <c r="C122" i="3" s="1"/>
  <c r="A124" i="3" l="1"/>
  <c r="B123" i="3"/>
  <c r="C123" i="3" s="1"/>
  <c r="D123" i="3"/>
  <c r="A125" i="3" l="1"/>
  <c r="D124" i="3"/>
  <c r="B124" i="3"/>
  <c r="C124" i="3" s="1"/>
  <c r="A126" i="3" l="1"/>
  <c r="D125" i="3"/>
  <c r="B125" i="3"/>
  <c r="C125" i="3" s="1"/>
  <c r="A127" i="3" l="1"/>
  <c r="D126" i="3"/>
  <c r="B126" i="3"/>
  <c r="C126" i="3" s="1"/>
  <c r="A128" i="3" l="1"/>
  <c r="B127" i="3"/>
  <c r="C127" i="3" s="1"/>
  <c r="D127" i="3"/>
  <c r="A129" i="3" l="1"/>
  <c r="D128" i="3"/>
  <c r="B128" i="3"/>
  <c r="C128" i="3" s="1"/>
  <c r="A130" i="3" l="1"/>
  <c r="D129" i="3"/>
  <c r="B129" i="3"/>
  <c r="C129" i="3" s="1"/>
  <c r="A131" i="3" l="1"/>
  <c r="D130" i="3"/>
  <c r="B130" i="3"/>
  <c r="C130" i="3" s="1"/>
  <c r="A132" i="3" l="1"/>
  <c r="B131" i="3"/>
  <c r="C131" i="3" s="1"/>
  <c r="D131" i="3"/>
  <c r="A133" i="3" l="1"/>
  <c r="D132" i="3"/>
  <c r="B132" i="3"/>
  <c r="C132" i="3" s="1"/>
  <c r="A134" i="3" l="1"/>
  <c r="D133" i="3"/>
  <c r="B133" i="3"/>
  <c r="C133" i="3" s="1"/>
  <c r="A135" i="3" l="1"/>
  <c r="D134" i="3"/>
  <c r="B134" i="3"/>
  <c r="C134" i="3" s="1"/>
  <c r="A136" i="3" l="1"/>
  <c r="B135" i="3"/>
  <c r="C135" i="3" s="1"/>
  <c r="D135" i="3"/>
  <c r="A137" i="3" l="1"/>
  <c r="D136" i="3"/>
  <c r="B136" i="3"/>
  <c r="C136" i="3" s="1"/>
  <c r="A138" i="3" l="1"/>
  <c r="D137" i="3"/>
  <c r="B137" i="3"/>
  <c r="C137" i="3" s="1"/>
  <c r="A139" i="3" l="1"/>
  <c r="D138" i="3"/>
  <c r="B138" i="3"/>
  <c r="C138" i="3" s="1"/>
  <c r="A140" i="3" l="1"/>
  <c r="B139" i="3"/>
  <c r="C139" i="3" s="1"/>
  <c r="D139" i="3"/>
  <c r="A141" i="3" l="1"/>
  <c r="D140" i="3"/>
  <c r="B140" i="3"/>
  <c r="C140" i="3" s="1"/>
  <c r="A142" i="3" l="1"/>
  <c r="D141" i="3"/>
  <c r="B141" i="3"/>
  <c r="C141" i="3" s="1"/>
  <c r="A143" i="3" l="1"/>
  <c r="D142" i="3"/>
  <c r="B142" i="3"/>
  <c r="C142" i="3" s="1"/>
  <c r="A144" i="3" l="1"/>
  <c r="B143" i="3"/>
  <c r="C143" i="3" s="1"/>
  <c r="D143" i="3"/>
  <c r="A145" i="3" l="1"/>
  <c r="D144" i="3"/>
  <c r="B144" i="3"/>
  <c r="C144" i="3" s="1"/>
  <c r="A146" i="3" l="1"/>
  <c r="D145" i="3"/>
  <c r="B145" i="3"/>
  <c r="C145" i="3" s="1"/>
  <c r="A147" i="3" l="1"/>
  <c r="D146" i="3"/>
  <c r="B146" i="3"/>
  <c r="C146" i="3" s="1"/>
  <c r="A148" i="3" l="1"/>
  <c r="B147" i="3"/>
  <c r="C147" i="3" s="1"/>
  <c r="D147" i="3"/>
  <c r="A149" i="3" l="1"/>
  <c r="D148" i="3"/>
  <c r="B148" i="3"/>
  <c r="C148" i="3" s="1"/>
  <c r="A150" i="3" l="1"/>
  <c r="D149" i="3"/>
  <c r="B149" i="3"/>
  <c r="C149" i="3" s="1"/>
  <c r="A151" i="3" l="1"/>
  <c r="D150" i="3"/>
  <c r="B150" i="3"/>
  <c r="C150" i="3" s="1"/>
  <c r="A152" i="3" l="1"/>
  <c r="B151" i="3"/>
  <c r="C151" i="3" s="1"/>
  <c r="D151" i="3"/>
  <c r="A153" i="3" l="1"/>
  <c r="D152" i="3"/>
  <c r="B152" i="3"/>
  <c r="C152" i="3" s="1"/>
  <c r="A154" i="3" l="1"/>
  <c r="D153" i="3"/>
  <c r="B153" i="3"/>
  <c r="C153" i="3" s="1"/>
  <c r="A155" i="3" l="1"/>
  <c r="D154" i="3"/>
  <c r="B154" i="3"/>
  <c r="C154" i="3" s="1"/>
  <c r="A156" i="3" l="1"/>
  <c r="B155" i="3"/>
  <c r="C155" i="3" s="1"/>
  <c r="D155" i="3"/>
  <c r="A157" i="3" l="1"/>
  <c r="D156" i="3"/>
  <c r="B156" i="3"/>
  <c r="C156" i="3" s="1"/>
  <c r="A158" i="3" l="1"/>
  <c r="D157" i="3"/>
  <c r="B157" i="3"/>
  <c r="C157" i="3" s="1"/>
  <c r="A159" i="3" l="1"/>
  <c r="D158" i="3"/>
  <c r="B158" i="3"/>
  <c r="C158" i="3" s="1"/>
  <c r="A160" i="3" l="1"/>
  <c r="B159" i="3"/>
  <c r="C159" i="3" s="1"/>
  <c r="D159" i="3"/>
  <c r="A161" i="3" l="1"/>
  <c r="D160" i="3"/>
  <c r="B160" i="3"/>
  <c r="C160" i="3" s="1"/>
  <c r="A162" i="3" l="1"/>
  <c r="D161" i="3"/>
  <c r="B161" i="3"/>
  <c r="C161" i="3" s="1"/>
  <c r="A163" i="3" l="1"/>
  <c r="D162" i="3"/>
  <c r="B162" i="3"/>
  <c r="C162" i="3" s="1"/>
  <c r="A164" i="3" l="1"/>
  <c r="B163" i="3"/>
  <c r="C163" i="3" s="1"/>
  <c r="D163" i="3"/>
  <c r="A165" i="3" l="1"/>
  <c r="D164" i="3"/>
  <c r="B164" i="3"/>
  <c r="C164" i="3" s="1"/>
  <c r="A166" i="3" l="1"/>
  <c r="D165" i="3"/>
  <c r="B165" i="3"/>
  <c r="C165" i="3" s="1"/>
  <c r="A167" i="3" l="1"/>
  <c r="D166" i="3"/>
  <c r="B166" i="3"/>
  <c r="C166" i="3" s="1"/>
  <c r="A168" i="3" l="1"/>
  <c r="B167" i="3"/>
  <c r="C167" i="3" s="1"/>
  <c r="D167" i="3"/>
  <c r="A169" i="3" l="1"/>
  <c r="D168" i="3"/>
  <c r="B168" i="3"/>
  <c r="C168" i="3" s="1"/>
  <c r="A170" i="3" l="1"/>
  <c r="D169" i="3"/>
  <c r="B169" i="3"/>
  <c r="C169" i="3" s="1"/>
  <c r="A171" i="3" l="1"/>
  <c r="D170" i="3"/>
  <c r="B170" i="3"/>
  <c r="C170" i="3" s="1"/>
  <c r="A172" i="3" l="1"/>
  <c r="B171" i="3"/>
  <c r="C171" i="3" s="1"/>
  <c r="D171" i="3"/>
  <c r="A173" i="3" l="1"/>
  <c r="D172" i="3"/>
  <c r="B172" i="3"/>
  <c r="C172" i="3" s="1"/>
  <c r="A174" i="3" l="1"/>
  <c r="D173" i="3"/>
  <c r="B173" i="3"/>
  <c r="C173" i="3" s="1"/>
  <c r="A175" i="3" l="1"/>
  <c r="D174" i="3"/>
  <c r="B174" i="3"/>
  <c r="C174" i="3" s="1"/>
  <c r="A176" i="3" l="1"/>
  <c r="B175" i="3"/>
  <c r="C175" i="3" s="1"/>
  <c r="D175" i="3"/>
  <c r="A177" i="3" l="1"/>
  <c r="D176" i="3"/>
  <c r="B176" i="3"/>
  <c r="C176" i="3" s="1"/>
  <c r="A178" i="3" l="1"/>
  <c r="D177" i="3"/>
  <c r="B177" i="3"/>
  <c r="C177" i="3" s="1"/>
  <c r="A179" i="3" l="1"/>
  <c r="D178" i="3"/>
  <c r="B178" i="3"/>
  <c r="C178" i="3" s="1"/>
  <c r="A180" i="3" l="1"/>
  <c r="B179" i="3"/>
  <c r="C179" i="3" s="1"/>
  <c r="D179" i="3"/>
  <c r="A181" i="3" l="1"/>
  <c r="D180" i="3"/>
  <c r="B180" i="3"/>
  <c r="C180" i="3" s="1"/>
  <c r="A182" i="3" l="1"/>
  <c r="D181" i="3"/>
  <c r="B181" i="3"/>
  <c r="C181" i="3" s="1"/>
  <c r="A183" i="3" l="1"/>
  <c r="D182" i="3"/>
  <c r="B182" i="3"/>
  <c r="C182" i="3" s="1"/>
  <c r="A184" i="3" l="1"/>
  <c r="B183" i="3"/>
  <c r="C183" i="3" s="1"/>
  <c r="D183" i="3"/>
  <c r="A185" i="3" l="1"/>
  <c r="D184" i="3"/>
  <c r="B184" i="3"/>
  <c r="C184" i="3" s="1"/>
  <c r="A186" i="3" l="1"/>
  <c r="D185" i="3"/>
  <c r="B185" i="3"/>
  <c r="C185" i="3" s="1"/>
  <c r="A187" i="3" l="1"/>
  <c r="D186" i="3"/>
  <c r="B186" i="3"/>
  <c r="C186" i="3" s="1"/>
  <c r="A188" i="3" l="1"/>
  <c r="B187" i="3"/>
  <c r="C187" i="3" s="1"/>
  <c r="D187" i="3"/>
  <c r="A189" i="3" l="1"/>
  <c r="D188" i="3"/>
  <c r="B188" i="3"/>
  <c r="C188" i="3" s="1"/>
  <c r="A190" i="3" l="1"/>
  <c r="D189" i="3"/>
  <c r="B189" i="3"/>
  <c r="C189" i="3" s="1"/>
  <c r="A191" i="3" l="1"/>
  <c r="D190" i="3"/>
  <c r="B190" i="3"/>
  <c r="C190" i="3" s="1"/>
  <c r="A192" i="3" l="1"/>
  <c r="B191" i="3"/>
  <c r="C191" i="3" s="1"/>
  <c r="D191" i="3"/>
  <c r="A193" i="3" l="1"/>
  <c r="D192" i="3"/>
  <c r="B192" i="3"/>
  <c r="C192" i="3" s="1"/>
  <c r="A194" i="3" l="1"/>
  <c r="D193" i="3"/>
  <c r="B193" i="3"/>
  <c r="C193" i="3" s="1"/>
  <c r="A195" i="3" l="1"/>
  <c r="D194" i="3"/>
  <c r="B194" i="3"/>
  <c r="C194" i="3" s="1"/>
  <c r="A196" i="3" l="1"/>
  <c r="B195" i="3"/>
  <c r="C195" i="3" s="1"/>
  <c r="D195" i="3"/>
  <c r="A197" i="3" l="1"/>
  <c r="D196" i="3"/>
  <c r="B196" i="3"/>
  <c r="C196" i="3" s="1"/>
  <c r="A198" i="3" l="1"/>
  <c r="D197" i="3"/>
  <c r="B197" i="3"/>
  <c r="C197" i="3" s="1"/>
  <c r="A199" i="3" l="1"/>
  <c r="D198" i="3"/>
  <c r="B198" i="3"/>
  <c r="C198" i="3" s="1"/>
  <c r="A200" i="3" l="1"/>
  <c r="B199" i="3"/>
  <c r="C199" i="3" s="1"/>
  <c r="D199" i="3"/>
  <c r="A201" i="3" l="1"/>
  <c r="D200" i="3"/>
  <c r="B200" i="3"/>
  <c r="C200" i="3" s="1"/>
  <c r="A202" i="3" l="1"/>
  <c r="D201" i="3"/>
  <c r="B201" i="3"/>
  <c r="C201" i="3" s="1"/>
  <c r="A203" i="3" l="1"/>
  <c r="D202" i="3"/>
  <c r="B202" i="3"/>
  <c r="C202" i="3" s="1"/>
  <c r="A204" i="3" l="1"/>
  <c r="B203" i="3"/>
  <c r="C203" i="3" s="1"/>
  <c r="D203" i="3"/>
  <c r="A205" i="3" l="1"/>
  <c r="D204" i="3"/>
  <c r="B204" i="3"/>
  <c r="C204" i="3" s="1"/>
  <c r="A206" i="3" l="1"/>
  <c r="D205" i="3"/>
  <c r="B205" i="3"/>
  <c r="C205" i="3" s="1"/>
  <c r="A207" i="3" l="1"/>
  <c r="D206" i="3"/>
  <c r="B206" i="3"/>
  <c r="C206" i="3" s="1"/>
  <c r="A208" i="3" l="1"/>
  <c r="B207" i="3"/>
  <c r="C207" i="3" s="1"/>
  <c r="D207" i="3"/>
  <c r="A209" i="3" l="1"/>
  <c r="D208" i="3"/>
  <c r="B208" i="3"/>
  <c r="C208" i="3" s="1"/>
  <c r="A210" i="3" l="1"/>
  <c r="D209" i="3"/>
  <c r="B209" i="3"/>
  <c r="C209" i="3" s="1"/>
  <c r="A211" i="3" l="1"/>
  <c r="D210" i="3"/>
  <c r="B210" i="3"/>
  <c r="C210" i="3" s="1"/>
  <c r="A212" i="3" l="1"/>
  <c r="B211" i="3"/>
  <c r="C211" i="3" s="1"/>
  <c r="D211" i="3"/>
  <c r="A213" i="3" l="1"/>
  <c r="D212" i="3"/>
  <c r="B212" i="3"/>
  <c r="C212" i="3" s="1"/>
  <c r="A214" i="3" l="1"/>
  <c r="D213" i="3"/>
  <c r="B213" i="3"/>
  <c r="C213" i="3" s="1"/>
  <c r="A215" i="3" l="1"/>
  <c r="D214" i="3"/>
  <c r="B214" i="3"/>
  <c r="C214" i="3" s="1"/>
  <c r="A216" i="3" l="1"/>
  <c r="B215" i="3"/>
  <c r="C215" i="3" s="1"/>
  <c r="D215" i="3"/>
  <c r="A217" i="3" l="1"/>
  <c r="D216" i="3"/>
  <c r="B216" i="3"/>
  <c r="C216" i="3" s="1"/>
  <c r="A218" i="3" l="1"/>
  <c r="D217" i="3"/>
  <c r="B217" i="3"/>
  <c r="C217" i="3" s="1"/>
  <c r="A219" i="3" l="1"/>
  <c r="D218" i="3"/>
  <c r="B218" i="3"/>
  <c r="C218" i="3" s="1"/>
  <c r="A220" i="3" l="1"/>
  <c r="B219" i="3"/>
  <c r="C219" i="3" s="1"/>
  <c r="D219" i="3"/>
  <c r="A221" i="3" l="1"/>
  <c r="D220" i="3"/>
  <c r="B220" i="3"/>
  <c r="C220" i="3" s="1"/>
  <c r="A222" i="3" l="1"/>
  <c r="D221" i="3"/>
  <c r="B221" i="3"/>
  <c r="C221" i="3" s="1"/>
  <c r="A223" i="3" l="1"/>
  <c r="D222" i="3"/>
  <c r="B222" i="3"/>
  <c r="C222" i="3" s="1"/>
  <c r="A224" i="3" l="1"/>
  <c r="B223" i="3"/>
  <c r="C223" i="3" s="1"/>
  <c r="D223" i="3"/>
  <c r="A225" i="3" l="1"/>
  <c r="D224" i="3"/>
  <c r="B224" i="3"/>
  <c r="C224" i="3" s="1"/>
  <c r="A226" i="3" l="1"/>
  <c r="D225" i="3"/>
  <c r="B225" i="3"/>
  <c r="C225" i="3" s="1"/>
  <c r="A227" i="3" l="1"/>
  <c r="D226" i="3"/>
  <c r="B226" i="3"/>
  <c r="C226" i="3" s="1"/>
  <c r="A228" i="3" l="1"/>
  <c r="B227" i="3"/>
  <c r="C227" i="3" s="1"/>
  <c r="D227" i="3"/>
  <c r="A229" i="3" l="1"/>
  <c r="D228" i="3"/>
  <c r="B228" i="3"/>
  <c r="C228" i="3" s="1"/>
  <c r="A230" i="3" l="1"/>
  <c r="D229" i="3"/>
  <c r="B229" i="3"/>
  <c r="C229" i="3" s="1"/>
  <c r="A231" i="3" l="1"/>
  <c r="D230" i="3"/>
  <c r="B230" i="3"/>
  <c r="C230" i="3" s="1"/>
  <c r="A232" i="3" l="1"/>
  <c r="B231" i="3"/>
  <c r="C231" i="3" s="1"/>
  <c r="D231" i="3"/>
  <c r="A233" i="3" l="1"/>
  <c r="D232" i="3"/>
  <c r="B232" i="3"/>
  <c r="C232" i="3" s="1"/>
  <c r="A234" i="3" l="1"/>
  <c r="D233" i="3"/>
  <c r="B233" i="3"/>
  <c r="C233" i="3" s="1"/>
  <c r="A235" i="3" l="1"/>
  <c r="D234" i="3"/>
  <c r="B234" i="3"/>
  <c r="C234" i="3" s="1"/>
  <c r="A236" i="3" l="1"/>
  <c r="B235" i="3"/>
  <c r="C235" i="3" s="1"/>
  <c r="D235" i="3"/>
  <c r="A237" i="3" l="1"/>
  <c r="D236" i="3"/>
  <c r="B236" i="3"/>
  <c r="C236" i="3" s="1"/>
  <c r="A238" i="3" l="1"/>
  <c r="D237" i="3"/>
  <c r="B237" i="3"/>
  <c r="C237" i="3" s="1"/>
  <c r="A239" i="3" l="1"/>
  <c r="D238" i="3"/>
  <c r="B238" i="3"/>
  <c r="C238" i="3" s="1"/>
  <c r="A240" i="3" l="1"/>
  <c r="B239" i="3"/>
  <c r="C239" i="3" s="1"/>
  <c r="D239" i="3"/>
  <c r="A241" i="3" l="1"/>
  <c r="D240" i="3"/>
  <c r="B240" i="3"/>
  <c r="C240" i="3" s="1"/>
  <c r="A242" i="3" l="1"/>
  <c r="D241" i="3"/>
  <c r="B241" i="3"/>
  <c r="C241" i="3" s="1"/>
  <c r="A243" i="3" l="1"/>
  <c r="B242" i="3"/>
  <c r="C242" i="3" s="1"/>
  <c r="D242" i="3"/>
  <c r="A244" i="3" l="1"/>
  <c r="D243" i="3"/>
  <c r="B243" i="3"/>
  <c r="C243" i="3" s="1"/>
  <c r="A245" i="3" l="1"/>
  <c r="D244" i="3"/>
  <c r="B244" i="3"/>
  <c r="C244" i="3" s="1"/>
  <c r="A246" i="3" l="1"/>
  <c r="D245" i="3"/>
  <c r="B245" i="3"/>
  <c r="C245" i="3" s="1"/>
  <c r="A247" i="3" l="1"/>
  <c r="D246" i="3"/>
  <c r="B246" i="3"/>
  <c r="C246" i="3" s="1"/>
  <c r="A248" i="3" l="1"/>
  <c r="D247" i="3"/>
  <c r="B247" i="3"/>
  <c r="C247" i="3" s="1"/>
  <c r="A249" i="3" l="1"/>
  <c r="D248" i="3"/>
  <c r="B248" i="3"/>
  <c r="C248" i="3" s="1"/>
  <c r="A250" i="3" l="1"/>
  <c r="D249" i="3"/>
  <c r="B249" i="3"/>
  <c r="C249" i="3" s="1"/>
  <c r="A251" i="3" l="1"/>
  <c r="D250" i="3"/>
  <c r="B250" i="3"/>
  <c r="C250" i="3" s="1"/>
  <c r="A252" i="3" l="1"/>
  <c r="D251" i="3"/>
  <c r="B251" i="3"/>
  <c r="C251" i="3" s="1"/>
  <c r="A253" i="3" l="1"/>
  <c r="D252" i="3"/>
  <c r="B252" i="3"/>
  <c r="C252" i="3" s="1"/>
  <c r="A254" i="3" l="1"/>
  <c r="D253" i="3"/>
  <c r="B253" i="3"/>
  <c r="C253" i="3" s="1"/>
  <c r="A255" i="3" l="1"/>
  <c r="D254" i="3"/>
  <c r="B254" i="3"/>
  <c r="C254" i="3" s="1"/>
  <c r="A256" i="3" l="1"/>
  <c r="D255" i="3"/>
  <c r="B255" i="3"/>
  <c r="C255" i="3" s="1"/>
  <c r="A257" i="3" l="1"/>
  <c r="D256" i="3"/>
  <c r="B256" i="3"/>
  <c r="C256" i="3" s="1"/>
  <c r="A258" i="3" l="1"/>
  <c r="D257" i="3"/>
  <c r="B257" i="3"/>
  <c r="C257" i="3" s="1"/>
  <c r="A259" i="3" l="1"/>
  <c r="D258" i="3"/>
  <c r="B258" i="3"/>
  <c r="C258" i="3" s="1"/>
  <c r="A260" i="3" l="1"/>
  <c r="D259" i="3"/>
  <c r="B259" i="3"/>
  <c r="C259" i="3" s="1"/>
  <c r="A261" i="3" l="1"/>
  <c r="D260" i="3"/>
  <c r="B260" i="3"/>
  <c r="C260" i="3" s="1"/>
  <c r="A262" i="3" l="1"/>
  <c r="D261" i="3"/>
  <c r="B261" i="3"/>
  <c r="C261" i="3" s="1"/>
  <c r="A263" i="3" l="1"/>
  <c r="D262" i="3"/>
  <c r="B262" i="3"/>
  <c r="C262" i="3" s="1"/>
  <c r="A264" i="3" l="1"/>
  <c r="D263" i="3"/>
  <c r="B263" i="3"/>
  <c r="C263" i="3" s="1"/>
  <c r="A265" i="3" l="1"/>
  <c r="D264" i="3"/>
  <c r="B264" i="3"/>
  <c r="C264" i="3" s="1"/>
  <c r="A266" i="3" l="1"/>
  <c r="D265" i="3"/>
  <c r="B265" i="3"/>
  <c r="C265" i="3" s="1"/>
  <c r="A267" i="3" l="1"/>
  <c r="D266" i="3"/>
  <c r="B266" i="3"/>
  <c r="C266" i="3" s="1"/>
  <c r="A268" i="3" l="1"/>
  <c r="D267" i="3"/>
  <c r="B267" i="3"/>
  <c r="C267" i="3" s="1"/>
  <c r="A269" i="3" l="1"/>
  <c r="D268" i="3"/>
  <c r="B268" i="3"/>
  <c r="C268" i="3" s="1"/>
  <c r="A270" i="3" l="1"/>
  <c r="D269" i="3"/>
  <c r="B269" i="3"/>
  <c r="C269" i="3" s="1"/>
  <c r="A271" i="3" l="1"/>
  <c r="D270" i="3"/>
  <c r="B270" i="3"/>
  <c r="C270" i="3" s="1"/>
  <c r="A272" i="3" l="1"/>
  <c r="D271" i="3"/>
  <c r="B271" i="3"/>
  <c r="C271" i="3" s="1"/>
  <c r="A273" i="3" l="1"/>
  <c r="D272" i="3"/>
  <c r="B272" i="3"/>
  <c r="C272" i="3" s="1"/>
  <c r="A274" i="3" l="1"/>
  <c r="D273" i="3"/>
  <c r="B273" i="3"/>
  <c r="C273" i="3" s="1"/>
  <c r="A275" i="3" l="1"/>
  <c r="D274" i="3"/>
  <c r="B274" i="3"/>
  <c r="C274" i="3" s="1"/>
  <c r="A276" i="3" l="1"/>
  <c r="D275" i="3"/>
  <c r="B275" i="3"/>
  <c r="C275" i="3" s="1"/>
  <c r="A277" i="3" l="1"/>
  <c r="D276" i="3"/>
  <c r="B276" i="3"/>
  <c r="C276" i="3" s="1"/>
  <c r="A278" i="3" l="1"/>
  <c r="D277" i="3"/>
  <c r="B277" i="3"/>
  <c r="C277" i="3" s="1"/>
  <c r="A279" i="3" l="1"/>
  <c r="D278" i="3"/>
  <c r="B278" i="3"/>
  <c r="C278" i="3" s="1"/>
  <c r="A280" i="3" l="1"/>
  <c r="D279" i="3"/>
  <c r="B279" i="3"/>
  <c r="C279" i="3" s="1"/>
  <c r="A281" i="3" l="1"/>
  <c r="D280" i="3"/>
  <c r="B280" i="3"/>
  <c r="C280" i="3" s="1"/>
  <c r="A282" i="3" l="1"/>
  <c r="D281" i="3"/>
  <c r="B281" i="3"/>
  <c r="C281" i="3" s="1"/>
  <c r="A283" i="3" l="1"/>
  <c r="D282" i="3"/>
  <c r="B282" i="3"/>
  <c r="C282" i="3" s="1"/>
  <c r="A284" i="3" l="1"/>
  <c r="D283" i="3"/>
  <c r="B283" i="3"/>
  <c r="C283" i="3" s="1"/>
  <c r="A285" i="3" l="1"/>
  <c r="D284" i="3"/>
  <c r="B284" i="3"/>
  <c r="C284" i="3" s="1"/>
  <c r="A286" i="3" l="1"/>
  <c r="D285" i="3"/>
  <c r="B285" i="3"/>
  <c r="C285" i="3" s="1"/>
  <c r="A287" i="3" l="1"/>
  <c r="D286" i="3"/>
  <c r="B286" i="3"/>
  <c r="C286" i="3" s="1"/>
  <c r="A288" i="3" l="1"/>
  <c r="D287" i="3"/>
  <c r="B287" i="3"/>
  <c r="C287" i="3" s="1"/>
  <c r="A289" i="3" l="1"/>
  <c r="D288" i="3"/>
  <c r="B288" i="3"/>
  <c r="C288" i="3" s="1"/>
  <c r="A290" i="3" l="1"/>
  <c r="D289" i="3"/>
  <c r="B289" i="3"/>
  <c r="C289" i="3" s="1"/>
  <c r="A291" i="3" l="1"/>
  <c r="D290" i="3"/>
  <c r="B290" i="3"/>
  <c r="C290" i="3" s="1"/>
  <c r="A292" i="3" l="1"/>
  <c r="D291" i="3"/>
  <c r="B291" i="3"/>
  <c r="C291" i="3" s="1"/>
  <c r="A293" i="3" l="1"/>
  <c r="D292" i="3"/>
  <c r="B292" i="3"/>
  <c r="C292" i="3" s="1"/>
  <c r="A294" i="3" l="1"/>
  <c r="D293" i="3"/>
  <c r="B293" i="3"/>
  <c r="C293" i="3" s="1"/>
  <c r="A295" i="3" l="1"/>
  <c r="D294" i="3"/>
  <c r="B294" i="3"/>
  <c r="C294" i="3" s="1"/>
  <c r="A296" i="3" l="1"/>
  <c r="D295" i="3"/>
  <c r="B295" i="3"/>
  <c r="C295" i="3" s="1"/>
  <c r="A297" i="3" l="1"/>
  <c r="D296" i="3"/>
  <c r="B296" i="3"/>
  <c r="C296" i="3" s="1"/>
  <c r="A298" i="3" l="1"/>
  <c r="D297" i="3"/>
  <c r="B297" i="3"/>
  <c r="C297" i="3" s="1"/>
  <c r="A299" i="3" l="1"/>
  <c r="D298" i="3"/>
  <c r="B298" i="3"/>
  <c r="C298" i="3" s="1"/>
  <c r="A300" i="3" l="1"/>
  <c r="D299" i="3"/>
  <c r="B299" i="3"/>
  <c r="C299" i="3" s="1"/>
  <c r="A301" i="3" l="1"/>
  <c r="D300" i="3"/>
  <c r="B300" i="3"/>
  <c r="C300" i="3" s="1"/>
  <c r="A302" i="3" l="1"/>
  <c r="D301" i="3"/>
  <c r="B301" i="3"/>
  <c r="C301" i="3" s="1"/>
  <c r="A303" i="3" l="1"/>
  <c r="D302" i="3"/>
  <c r="B302" i="3"/>
  <c r="C302" i="3" s="1"/>
  <c r="A304" i="3" l="1"/>
  <c r="D303" i="3"/>
  <c r="B303" i="3"/>
  <c r="C303" i="3" s="1"/>
  <c r="A305" i="3" l="1"/>
  <c r="D304" i="3"/>
  <c r="B304" i="3"/>
  <c r="C304" i="3" s="1"/>
  <c r="A306" i="3" l="1"/>
  <c r="D305" i="3"/>
  <c r="B305" i="3"/>
  <c r="C305" i="3" s="1"/>
  <c r="A307" i="3" l="1"/>
  <c r="D306" i="3"/>
  <c r="B306" i="3"/>
  <c r="C306" i="3" s="1"/>
  <c r="A308" i="3" l="1"/>
  <c r="D307" i="3"/>
  <c r="B307" i="3"/>
  <c r="C307" i="3" s="1"/>
  <c r="A309" i="3" l="1"/>
  <c r="D308" i="3"/>
  <c r="B308" i="3"/>
  <c r="C308" i="3" s="1"/>
  <c r="A310" i="3" l="1"/>
  <c r="D309" i="3"/>
  <c r="B309" i="3"/>
  <c r="C309" i="3" s="1"/>
  <c r="A311" i="3" l="1"/>
  <c r="D310" i="3"/>
  <c r="B310" i="3"/>
  <c r="C310" i="3" s="1"/>
  <c r="A312" i="3" l="1"/>
  <c r="D311" i="3"/>
  <c r="B311" i="3"/>
  <c r="C311" i="3" s="1"/>
  <c r="A313" i="3" l="1"/>
  <c r="D312" i="3"/>
  <c r="B312" i="3"/>
  <c r="C312" i="3" s="1"/>
  <c r="A314" i="3" l="1"/>
  <c r="D313" i="3"/>
  <c r="B313" i="3"/>
  <c r="C313" i="3" s="1"/>
  <c r="A315" i="3" l="1"/>
  <c r="D314" i="3"/>
  <c r="B314" i="3"/>
  <c r="C314" i="3" s="1"/>
  <c r="A316" i="3" l="1"/>
  <c r="D315" i="3"/>
  <c r="B315" i="3"/>
  <c r="C315" i="3" s="1"/>
  <c r="A317" i="3" l="1"/>
  <c r="D316" i="3"/>
  <c r="B316" i="3"/>
  <c r="C316" i="3" s="1"/>
  <c r="A318" i="3" l="1"/>
  <c r="D317" i="3"/>
  <c r="B317" i="3"/>
  <c r="C317" i="3" s="1"/>
  <c r="A319" i="3" l="1"/>
  <c r="D318" i="3"/>
  <c r="B318" i="3"/>
  <c r="C318" i="3" s="1"/>
  <c r="A320" i="3" l="1"/>
  <c r="D319" i="3"/>
  <c r="B319" i="3"/>
  <c r="C319" i="3" s="1"/>
  <c r="A321" i="3" l="1"/>
  <c r="D320" i="3"/>
  <c r="B320" i="3"/>
  <c r="C320" i="3" s="1"/>
  <c r="A322" i="3" l="1"/>
  <c r="D321" i="3"/>
  <c r="B321" i="3"/>
  <c r="C321" i="3" s="1"/>
  <c r="A323" i="3" l="1"/>
  <c r="D322" i="3"/>
  <c r="B322" i="3"/>
  <c r="C322" i="3" s="1"/>
  <c r="A324" i="3" l="1"/>
  <c r="D323" i="3"/>
  <c r="B323" i="3"/>
  <c r="C323" i="3" s="1"/>
  <c r="A325" i="3" l="1"/>
  <c r="D324" i="3"/>
  <c r="B324" i="3"/>
  <c r="C324" i="3" s="1"/>
  <c r="A326" i="3" l="1"/>
  <c r="D325" i="3"/>
  <c r="B325" i="3"/>
  <c r="C325" i="3" s="1"/>
  <c r="A327" i="3" l="1"/>
  <c r="D326" i="3"/>
  <c r="B326" i="3"/>
  <c r="C326" i="3" s="1"/>
  <c r="A328" i="3" l="1"/>
  <c r="D327" i="3"/>
  <c r="B327" i="3"/>
  <c r="C327" i="3" s="1"/>
  <c r="A329" i="3" l="1"/>
  <c r="D328" i="3"/>
  <c r="B328" i="3"/>
  <c r="C328" i="3" s="1"/>
  <c r="A330" i="3" l="1"/>
  <c r="D329" i="3"/>
  <c r="B329" i="3"/>
  <c r="C329" i="3" s="1"/>
  <c r="A331" i="3" l="1"/>
  <c r="D330" i="3"/>
  <c r="B330" i="3"/>
  <c r="C330" i="3" s="1"/>
  <c r="A332" i="3" l="1"/>
  <c r="D331" i="3"/>
  <c r="B331" i="3"/>
  <c r="C331" i="3" s="1"/>
  <c r="A333" i="3" l="1"/>
  <c r="D332" i="3"/>
  <c r="B332" i="3"/>
  <c r="C332" i="3" s="1"/>
  <c r="A334" i="3" l="1"/>
  <c r="D333" i="3"/>
  <c r="B333" i="3"/>
  <c r="C333" i="3" s="1"/>
  <c r="A335" i="3" l="1"/>
  <c r="D334" i="3"/>
  <c r="B334" i="3"/>
  <c r="C334" i="3" s="1"/>
  <c r="A336" i="3" l="1"/>
  <c r="D335" i="3"/>
  <c r="B335" i="3"/>
  <c r="C335" i="3" s="1"/>
  <c r="A337" i="3" l="1"/>
  <c r="D336" i="3"/>
  <c r="B336" i="3"/>
  <c r="C336" i="3" s="1"/>
  <c r="A338" i="3" l="1"/>
  <c r="D337" i="3"/>
  <c r="B337" i="3"/>
  <c r="C337" i="3" s="1"/>
  <c r="A339" i="3" l="1"/>
  <c r="D338" i="3"/>
  <c r="B338" i="3"/>
  <c r="C338" i="3" s="1"/>
  <c r="A340" i="3" l="1"/>
  <c r="D339" i="3"/>
  <c r="B339" i="3"/>
  <c r="C339" i="3" s="1"/>
  <c r="A341" i="3" l="1"/>
  <c r="D340" i="3"/>
  <c r="B340" i="3"/>
  <c r="C340" i="3" s="1"/>
  <c r="A342" i="3" l="1"/>
  <c r="D341" i="3"/>
  <c r="B341" i="3"/>
  <c r="C341" i="3" s="1"/>
  <c r="A343" i="3" l="1"/>
  <c r="D342" i="3"/>
  <c r="B342" i="3"/>
  <c r="C342" i="3" s="1"/>
  <c r="A344" i="3" l="1"/>
  <c r="D343" i="3"/>
  <c r="B343" i="3"/>
  <c r="C343" i="3" s="1"/>
  <c r="A345" i="3" l="1"/>
  <c r="D344" i="3"/>
  <c r="B344" i="3"/>
  <c r="C344" i="3" s="1"/>
  <c r="A346" i="3" l="1"/>
  <c r="D345" i="3"/>
  <c r="B345" i="3"/>
  <c r="C345" i="3" s="1"/>
  <c r="A347" i="3" l="1"/>
  <c r="D346" i="3"/>
  <c r="B346" i="3"/>
  <c r="C346" i="3" s="1"/>
  <c r="A348" i="3" l="1"/>
  <c r="D347" i="3"/>
  <c r="B347" i="3"/>
  <c r="C347" i="3" s="1"/>
  <c r="A349" i="3" l="1"/>
  <c r="D348" i="3"/>
  <c r="B348" i="3"/>
  <c r="C348" i="3" s="1"/>
  <c r="A350" i="3" l="1"/>
  <c r="D349" i="3"/>
  <c r="B349" i="3"/>
  <c r="C349" i="3" s="1"/>
  <c r="A351" i="3" l="1"/>
  <c r="D350" i="3"/>
  <c r="B350" i="3"/>
  <c r="C350" i="3" s="1"/>
  <c r="A352" i="3" l="1"/>
  <c r="D351" i="3"/>
  <c r="B351" i="3"/>
  <c r="C351" i="3" s="1"/>
  <c r="A353" i="3" l="1"/>
  <c r="D352" i="3"/>
  <c r="B352" i="3"/>
  <c r="C352" i="3" s="1"/>
  <c r="A354" i="3" l="1"/>
  <c r="D353" i="3"/>
  <c r="B353" i="3"/>
  <c r="C353" i="3" s="1"/>
  <c r="A355" i="3" l="1"/>
  <c r="D354" i="3"/>
  <c r="B354" i="3"/>
  <c r="C354" i="3" s="1"/>
  <c r="A356" i="3" l="1"/>
  <c r="D355" i="3"/>
  <c r="B355" i="3"/>
  <c r="C355" i="3" s="1"/>
  <c r="A357" i="3" l="1"/>
  <c r="D356" i="3"/>
  <c r="B356" i="3"/>
  <c r="C356" i="3" s="1"/>
  <c r="A358" i="3" l="1"/>
  <c r="D357" i="3"/>
  <c r="B357" i="3"/>
  <c r="C357" i="3" s="1"/>
  <c r="A359" i="3" l="1"/>
  <c r="D358" i="3"/>
  <c r="B358" i="3"/>
  <c r="C358" i="3" s="1"/>
  <c r="A360" i="3" l="1"/>
  <c r="D359" i="3"/>
  <c r="B359" i="3"/>
  <c r="C359" i="3" s="1"/>
  <c r="A361" i="3" l="1"/>
  <c r="D360" i="3"/>
  <c r="B360" i="3"/>
  <c r="C360" i="3" s="1"/>
  <c r="A362" i="3" l="1"/>
  <c r="D361" i="3"/>
  <c r="B361" i="3"/>
  <c r="C361" i="3" s="1"/>
  <c r="A363" i="3" l="1"/>
  <c r="D362" i="3"/>
  <c r="B362" i="3"/>
  <c r="C362" i="3" s="1"/>
  <c r="A364" i="3" l="1"/>
  <c r="D363" i="3"/>
  <c r="B363" i="3"/>
  <c r="C363" i="3" s="1"/>
  <c r="A365" i="3" l="1"/>
  <c r="D364" i="3"/>
  <c r="B364" i="3"/>
  <c r="C364" i="3" s="1"/>
  <c r="A366" i="3" l="1"/>
  <c r="D365" i="3"/>
  <c r="B365" i="3"/>
  <c r="C365" i="3" s="1"/>
  <c r="A367" i="3" l="1"/>
  <c r="D366" i="3"/>
  <c r="B366" i="3"/>
  <c r="C366" i="3" s="1"/>
  <c r="A368" i="3" l="1"/>
  <c r="D367" i="3"/>
  <c r="B367" i="3"/>
  <c r="C367" i="3" s="1"/>
  <c r="A369" i="3" l="1"/>
  <c r="D368" i="3"/>
  <c r="B368" i="3"/>
  <c r="C368" i="3" s="1"/>
  <c r="A370" i="3" l="1"/>
  <c r="D369" i="3"/>
  <c r="B369" i="3"/>
  <c r="C369" i="3" s="1"/>
  <c r="A371" i="3" l="1"/>
  <c r="D370" i="3"/>
  <c r="B370" i="3"/>
  <c r="C370" i="3" s="1"/>
  <c r="A372" i="3" l="1"/>
  <c r="D371" i="3"/>
  <c r="B371" i="3"/>
  <c r="C371" i="3" s="1"/>
  <c r="A373" i="3" l="1"/>
  <c r="D372" i="3"/>
  <c r="B372" i="3"/>
  <c r="C372" i="3" s="1"/>
  <c r="A374" i="3" l="1"/>
  <c r="D373" i="3"/>
  <c r="B373" i="3"/>
  <c r="C373" i="3" s="1"/>
  <c r="A375" i="3" l="1"/>
  <c r="D374" i="3"/>
  <c r="B374" i="3"/>
  <c r="C374" i="3" s="1"/>
  <c r="A376" i="3" l="1"/>
  <c r="D375" i="3"/>
  <c r="B375" i="3"/>
  <c r="C375" i="3" s="1"/>
  <c r="A377" i="3" l="1"/>
  <c r="D376" i="3"/>
  <c r="B376" i="3"/>
  <c r="C376" i="3" s="1"/>
  <c r="A378" i="3" l="1"/>
  <c r="D377" i="3"/>
  <c r="B377" i="3"/>
  <c r="C377" i="3" s="1"/>
  <c r="A379" i="3" l="1"/>
  <c r="D378" i="3"/>
  <c r="B378" i="3"/>
  <c r="C378" i="3" s="1"/>
  <c r="A380" i="3" l="1"/>
  <c r="D379" i="3"/>
  <c r="B379" i="3"/>
  <c r="C379" i="3" s="1"/>
  <c r="A381" i="3" l="1"/>
  <c r="D380" i="3"/>
  <c r="B380" i="3"/>
  <c r="C380" i="3" s="1"/>
  <c r="A382" i="3" l="1"/>
  <c r="D381" i="3"/>
  <c r="B381" i="3"/>
  <c r="C381" i="3" s="1"/>
  <c r="A383" i="3" l="1"/>
  <c r="D382" i="3"/>
  <c r="B382" i="3"/>
  <c r="C382" i="3" s="1"/>
  <c r="A384" i="3" l="1"/>
  <c r="D383" i="3"/>
  <c r="B383" i="3"/>
  <c r="C383" i="3" s="1"/>
  <c r="A385" i="3" l="1"/>
  <c r="D384" i="3"/>
  <c r="B384" i="3"/>
  <c r="C384" i="3" s="1"/>
  <c r="A386" i="3" l="1"/>
  <c r="D385" i="3"/>
  <c r="B385" i="3"/>
  <c r="C385" i="3" s="1"/>
  <c r="A387" i="3" l="1"/>
  <c r="D386" i="3"/>
  <c r="B386" i="3"/>
  <c r="C386" i="3" s="1"/>
  <c r="A388" i="3" l="1"/>
  <c r="D387" i="3"/>
  <c r="B387" i="3"/>
  <c r="C387" i="3" s="1"/>
  <c r="A389" i="3" l="1"/>
  <c r="D388" i="3"/>
  <c r="B388" i="3"/>
  <c r="C388" i="3" s="1"/>
  <c r="A390" i="3" l="1"/>
  <c r="D389" i="3"/>
  <c r="B389" i="3"/>
  <c r="C389" i="3" s="1"/>
  <c r="A391" i="3" l="1"/>
  <c r="D390" i="3"/>
  <c r="B390" i="3"/>
  <c r="C390" i="3" s="1"/>
  <c r="A392" i="3" l="1"/>
  <c r="D391" i="3"/>
  <c r="B391" i="3"/>
  <c r="C391" i="3" s="1"/>
  <c r="A393" i="3" l="1"/>
  <c r="D392" i="3"/>
  <c r="B392" i="3"/>
  <c r="C392" i="3" s="1"/>
  <c r="A394" i="3" l="1"/>
  <c r="D393" i="3"/>
  <c r="B393" i="3"/>
  <c r="C393" i="3" s="1"/>
  <c r="A395" i="3" l="1"/>
  <c r="D394" i="3"/>
  <c r="B394" i="3"/>
  <c r="C394" i="3" s="1"/>
  <c r="A396" i="3" l="1"/>
  <c r="D395" i="3"/>
  <c r="B395" i="3"/>
  <c r="C395" i="3" s="1"/>
  <c r="A397" i="3" l="1"/>
  <c r="D396" i="3"/>
  <c r="B396" i="3"/>
  <c r="C396" i="3" s="1"/>
  <c r="A398" i="3" l="1"/>
  <c r="D397" i="3"/>
  <c r="B397" i="3"/>
  <c r="C397" i="3" s="1"/>
  <c r="A399" i="3" l="1"/>
  <c r="D398" i="3"/>
  <c r="B398" i="3"/>
  <c r="C398" i="3" s="1"/>
  <c r="A400" i="3" l="1"/>
  <c r="D399" i="3"/>
  <c r="B399" i="3"/>
  <c r="C399" i="3" s="1"/>
  <c r="A401" i="3" l="1"/>
  <c r="D400" i="3"/>
  <c r="B400" i="3"/>
  <c r="C400" i="3" s="1"/>
  <c r="A402" i="3" l="1"/>
  <c r="D401" i="3"/>
  <c r="B401" i="3"/>
  <c r="C401" i="3" s="1"/>
  <c r="A403" i="3" l="1"/>
  <c r="D402" i="3"/>
  <c r="B402" i="3"/>
  <c r="C402" i="3" s="1"/>
  <c r="A404" i="3" l="1"/>
  <c r="D403" i="3"/>
  <c r="B403" i="3"/>
  <c r="C403" i="3" s="1"/>
  <c r="A405" i="3" l="1"/>
  <c r="D404" i="3"/>
  <c r="B404" i="3"/>
  <c r="C404" i="3" s="1"/>
  <c r="A406" i="3" l="1"/>
  <c r="D405" i="3"/>
  <c r="B405" i="3"/>
  <c r="C405" i="3" s="1"/>
  <c r="A407" i="3" l="1"/>
  <c r="D406" i="3"/>
  <c r="B406" i="3"/>
  <c r="C406" i="3" s="1"/>
  <c r="A408" i="3" l="1"/>
  <c r="D407" i="3"/>
  <c r="B407" i="3"/>
  <c r="C407" i="3" s="1"/>
  <c r="A409" i="3" l="1"/>
  <c r="D408" i="3"/>
  <c r="B408" i="3"/>
  <c r="C408" i="3" s="1"/>
  <c r="A410" i="3" l="1"/>
  <c r="D409" i="3"/>
  <c r="B409" i="3"/>
  <c r="C409" i="3" s="1"/>
  <c r="A411" i="3" l="1"/>
  <c r="D410" i="3"/>
  <c r="B410" i="3"/>
  <c r="C410" i="3" s="1"/>
  <c r="A412" i="3" l="1"/>
  <c r="D411" i="3"/>
  <c r="B411" i="3"/>
  <c r="C411" i="3" s="1"/>
  <c r="A413" i="3" l="1"/>
  <c r="D412" i="3"/>
  <c r="B412" i="3"/>
  <c r="C412" i="3" s="1"/>
  <c r="A414" i="3" l="1"/>
  <c r="D413" i="3"/>
  <c r="B413" i="3"/>
  <c r="C413" i="3" s="1"/>
  <c r="A415" i="3" l="1"/>
  <c r="D414" i="3"/>
  <c r="B414" i="3"/>
  <c r="C414" i="3" s="1"/>
  <c r="A416" i="3" l="1"/>
  <c r="D415" i="3"/>
  <c r="B415" i="3"/>
  <c r="C415" i="3" s="1"/>
  <c r="A417" i="3" l="1"/>
  <c r="D416" i="3"/>
  <c r="B416" i="3"/>
  <c r="C416" i="3" s="1"/>
  <c r="A418" i="3" l="1"/>
  <c r="D417" i="3"/>
  <c r="B417" i="3"/>
  <c r="C417" i="3" s="1"/>
  <c r="A419" i="3" l="1"/>
  <c r="D418" i="3"/>
  <c r="B418" i="3"/>
  <c r="C418" i="3" s="1"/>
  <c r="A420" i="3" l="1"/>
  <c r="D419" i="3"/>
  <c r="B419" i="3"/>
  <c r="C419" i="3" s="1"/>
  <c r="A421" i="3" l="1"/>
  <c r="D420" i="3"/>
  <c r="B420" i="3"/>
  <c r="C420" i="3" s="1"/>
  <c r="A422" i="3" l="1"/>
  <c r="D421" i="3"/>
  <c r="B421" i="3"/>
  <c r="C421" i="3" s="1"/>
  <c r="A423" i="3" l="1"/>
  <c r="D422" i="3"/>
  <c r="B422" i="3"/>
  <c r="C422" i="3" s="1"/>
  <c r="A424" i="3" l="1"/>
  <c r="D423" i="3"/>
  <c r="B423" i="3"/>
  <c r="C423" i="3" s="1"/>
  <c r="A425" i="3" l="1"/>
  <c r="D424" i="3"/>
  <c r="B424" i="3"/>
  <c r="C424" i="3" s="1"/>
  <c r="A426" i="3" l="1"/>
  <c r="D425" i="3"/>
  <c r="B425" i="3"/>
  <c r="C425" i="3" s="1"/>
  <c r="A427" i="3" l="1"/>
  <c r="D426" i="3"/>
  <c r="B426" i="3"/>
  <c r="C426" i="3" s="1"/>
  <c r="A428" i="3" l="1"/>
  <c r="D427" i="3"/>
  <c r="B427" i="3"/>
  <c r="C427" i="3" s="1"/>
  <c r="A429" i="3" l="1"/>
  <c r="D428" i="3"/>
  <c r="B428" i="3"/>
  <c r="C428" i="3" s="1"/>
  <c r="A430" i="3" l="1"/>
  <c r="D429" i="3"/>
  <c r="B429" i="3"/>
  <c r="C429" i="3" s="1"/>
  <c r="A431" i="3" l="1"/>
  <c r="D430" i="3"/>
  <c r="B430" i="3"/>
  <c r="C430" i="3" s="1"/>
  <c r="A432" i="3" l="1"/>
  <c r="D431" i="3"/>
  <c r="B431" i="3"/>
  <c r="C431" i="3" s="1"/>
  <c r="A433" i="3" l="1"/>
  <c r="D432" i="3"/>
  <c r="B432" i="3"/>
  <c r="C432" i="3" s="1"/>
  <c r="A434" i="3" l="1"/>
  <c r="D433" i="3"/>
  <c r="B433" i="3"/>
  <c r="C433" i="3" s="1"/>
  <c r="A435" i="3" l="1"/>
  <c r="D434" i="3"/>
  <c r="B434" i="3"/>
  <c r="C434" i="3" s="1"/>
  <c r="A436" i="3" l="1"/>
  <c r="D435" i="3"/>
  <c r="B435" i="3"/>
  <c r="C435" i="3" s="1"/>
  <c r="A437" i="3" l="1"/>
  <c r="D436" i="3"/>
  <c r="B436" i="3"/>
  <c r="C436" i="3" s="1"/>
  <c r="A438" i="3" l="1"/>
  <c r="D437" i="3"/>
  <c r="B437" i="3"/>
  <c r="C437" i="3" s="1"/>
  <c r="A439" i="3" l="1"/>
  <c r="D438" i="3"/>
  <c r="B438" i="3"/>
  <c r="C438" i="3" s="1"/>
  <c r="A440" i="3" l="1"/>
  <c r="D439" i="3"/>
  <c r="B439" i="3"/>
  <c r="C439" i="3" s="1"/>
  <c r="A441" i="3" l="1"/>
  <c r="D440" i="3"/>
  <c r="B440" i="3"/>
  <c r="C440" i="3" s="1"/>
  <c r="A442" i="3" l="1"/>
  <c r="D441" i="3"/>
  <c r="B441" i="3"/>
  <c r="C441" i="3" s="1"/>
  <c r="A443" i="3" l="1"/>
  <c r="D442" i="3"/>
  <c r="B442" i="3"/>
  <c r="C442" i="3" s="1"/>
  <c r="A444" i="3" l="1"/>
  <c r="D443" i="3"/>
  <c r="B443" i="3"/>
  <c r="C443" i="3" s="1"/>
  <c r="A445" i="3" l="1"/>
  <c r="D444" i="3"/>
  <c r="B444" i="3"/>
  <c r="C444" i="3" s="1"/>
  <c r="A446" i="3" l="1"/>
  <c r="D445" i="3"/>
  <c r="B445" i="3"/>
  <c r="C445" i="3" s="1"/>
  <c r="A447" i="3" l="1"/>
  <c r="D446" i="3"/>
  <c r="B446" i="3"/>
  <c r="C446" i="3" s="1"/>
  <c r="A448" i="3" l="1"/>
  <c r="D447" i="3"/>
  <c r="B447" i="3"/>
  <c r="C447" i="3" s="1"/>
  <c r="A449" i="3" l="1"/>
  <c r="D448" i="3"/>
  <c r="B448" i="3"/>
  <c r="C448" i="3" s="1"/>
  <c r="A450" i="3" l="1"/>
  <c r="D449" i="3"/>
  <c r="B449" i="3"/>
  <c r="C449" i="3" s="1"/>
  <c r="A451" i="3" l="1"/>
  <c r="D450" i="3"/>
  <c r="B450" i="3"/>
  <c r="C450" i="3" s="1"/>
  <c r="A452" i="3" l="1"/>
  <c r="D451" i="3"/>
  <c r="B451" i="3"/>
  <c r="C451" i="3" s="1"/>
  <c r="A453" i="3" l="1"/>
  <c r="D452" i="3"/>
  <c r="B452" i="3"/>
  <c r="C452" i="3" s="1"/>
  <c r="A454" i="3" l="1"/>
  <c r="D453" i="3"/>
  <c r="B453" i="3"/>
  <c r="C453" i="3" s="1"/>
  <c r="A455" i="3" l="1"/>
  <c r="D454" i="3"/>
  <c r="B454" i="3"/>
  <c r="C454" i="3" s="1"/>
  <c r="A456" i="3" l="1"/>
  <c r="D455" i="3"/>
  <c r="B455" i="3"/>
  <c r="C455" i="3" s="1"/>
  <c r="A457" i="3" l="1"/>
  <c r="D456" i="3"/>
  <c r="B456" i="3"/>
  <c r="C456" i="3" s="1"/>
  <c r="A458" i="3" l="1"/>
  <c r="D457" i="3"/>
  <c r="B457" i="3"/>
  <c r="C457" i="3" s="1"/>
  <c r="A459" i="3" l="1"/>
  <c r="D458" i="3"/>
  <c r="B458" i="3"/>
  <c r="C458" i="3" s="1"/>
  <c r="A460" i="3" l="1"/>
  <c r="D459" i="3"/>
  <c r="B459" i="3"/>
  <c r="C459" i="3" s="1"/>
  <c r="A461" i="3" l="1"/>
  <c r="D460" i="3"/>
  <c r="B460" i="3"/>
  <c r="C460" i="3" s="1"/>
  <c r="A462" i="3" l="1"/>
  <c r="D461" i="3"/>
  <c r="B461" i="3"/>
  <c r="C461" i="3" s="1"/>
  <c r="A463" i="3" l="1"/>
  <c r="D462" i="3"/>
  <c r="B462" i="3"/>
  <c r="C462" i="3" s="1"/>
  <c r="A464" i="3" l="1"/>
  <c r="D463" i="3"/>
  <c r="B463" i="3"/>
  <c r="C463" i="3" s="1"/>
  <c r="A465" i="3" l="1"/>
  <c r="D464" i="3"/>
  <c r="B464" i="3"/>
  <c r="C464" i="3" s="1"/>
  <c r="A466" i="3" l="1"/>
  <c r="D465" i="3"/>
  <c r="B465" i="3"/>
  <c r="C465" i="3" s="1"/>
  <c r="A467" i="3" l="1"/>
  <c r="D466" i="3"/>
  <c r="B466" i="3"/>
  <c r="C466" i="3" s="1"/>
  <c r="A468" i="3" l="1"/>
  <c r="D467" i="3"/>
  <c r="B467" i="3"/>
  <c r="C467" i="3" s="1"/>
  <c r="A469" i="3" l="1"/>
  <c r="D468" i="3"/>
  <c r="B468" i="3"/>
  <c r="C468" i="3" s="1"/>
  <c r="A470" i="3" l="1"/>
  <c r="D469" i="3"/>
  <c r="B469" i="3"/>
  <c r="C469" i="3" s="1"/>
  <c r="A471" i="3" l="1"/>
  <c r="D470" i="3"/>
  <c r="B470" i="3"/>
  <c r="C470" i="3" s="1"/>
  <c r="A472" i="3" l="1"/>
  <c r="D471" i="3"/>
  <c r="B471" i="3"/>
  <c r="C471" i="3" s="1"/>
  <c r="A473" i="3" l="1"/>
  <c r="D472" i="3"/>
  <c r="B472" i="3"/>
  <c r="C472" i="3" s="1"/>
  <c r="A474" i="3" l="1"/>
  <c r="D473" i="3"/>
  <c r="B473" i="3"/>
  <c r="C473" i="3" s="1"/>
  <c r="A475" i="3" l="1"/>
  <c r="D474" i="3"/>
  <c r="B474" i="3"/>
  <c r="C474" i="3" s="1"/>
  <c r="A476" i="3" l="1"/>
  <c r="D475" i="3"/>
  <c r="B475" i="3"/>
  <c r="C475" i="3" s="1"/>
  <c r="A477" i="3" l="1"/>
  <c r="D476" i="3"/>
  <c r="B476" i="3"/>
  <c r="C476" i="3" s="1"/>
  <c r="A478" i="3" l="1"/>
  <c r="D477" i="3"/>
  <c r="B477" i="3"/>
  <c r="C477" i="3" s="1"/>
  <c r="A479" i="3" l="1"/>
  <c r="D478" i="3"/>
  <c r="B478" i="3"/>
  <c r="C478" i="3" s="1"/>
  <c r="A480" i="3" l="1"/>
  <c r="D479" i="3"/>
  <c r="B479" i="3"/>
  <c r="C479" i="3" s="1"/>
  <c r="A481" i="3" l="1"/>
  <c r="D480" i="3"/>
  <c r="B480" i="3"/>
  <c r="C480" i="3" s="1"/>
  <c r="A482" i="3" l="1"/>
  <c r="D481" i="3"/>
  <c r="B481" i="3"/>
  <c r="C481" i="3" s="1"/>
  <c r="A483" i="3" l="1"/>
  <c r="D482" i="3"/>
  <c r="B482" i="3"/>
  <c r="C482" i="3" s="1"/>
  <c r="A484" i="3" l="1"/>
  <c r="D483" i="3"/>
  <c r="B483" i="3"/>
  <c r="C483" i="3" s="1"/>
  <c r="A485" i="3" l="1"/>
  <c r="D484" i="3"/>
  <c r="B484" i="3"/>
  <c r="C484" i="3" s="1"/>
  <c r="A486" i="3" l="1"/>
  <c r="D485" i="3"/>
  <c r="B485" i="3"/>
  <c r="C485" i="3" s="1"/>
  <c r="A487" i="3" l="1"/>
  <c r="D486" i="3"/>
  <c r="B486" i="3"/>
  <c r="C486" i="3" s="1"/>
  <c r="A488" i="3" l="1"/>
  <c r="D487" i="3"/>
  <c r="B487" i="3"/>
  <c r="C487" i="3" s="1"/>
  <c r="A489" i="3" l="1"/>
  <c r="D488" i="3"/>
  <c r="B488" i="3"/>
  <c r="C488" i="3" s="1"/>
  <c r="A490" i="3" l="1"/>
  <c r="D489" i="3"/>
  <c r="B489" i="3"/>
  <c r="C489" i="3" s="1"/>
  <c r="A491" i="3" l="1"/>
  <c r="D490" i="3"/>
  <c r="B490" i="3"/>
  <c r="C490" i="3" s="1"/>
  <c r="A492" i="3" l="1"/>
  <c r="D491" i="3"/>
  <c r="B491" i="3"/>
  <c r="C491" i="3" s="1"/>
  <c r="A493" i="3" l="1"/>
  <c r="D492" i="3"/>
  <c r="B492" i="3"/>
  <c r="C492" i="3" s="1"/>
  <c r="A494" i="3" l="1"/>
  <c r="D493" i="3"/>
  <c r="B493" i="3"/>
  <c r="C493" i="3" s="1"/>
  <c r="A495" i="3" l="1"/>
  <c r="D494" i="3"/>
  <c r="B494" i="3"/>
  <c r="C494" i="3" s="1"/>
  <c r="A496" i="3" l="1"/>
  <c r="D495" i="3"/>
  <c r="B495" i="3"/>
  <c r="C495" i="3" s="1"/>
  <c r="A497" i="3" l="1"/>
  <c r="D496" i="3"/>
  <c r="B496" i="3"/>
  <c r="C496" i="3" s="1"/>
  <c r="A498" i="3" l="1"/>
  <c r="D497" i="3"/>
  <c r="B497" i="3"/>
  <c r="C497" i="3" s="1"/>
  <c r="A499" i="3" l="1"/>
  <c r="D498" i="3"/>
  <c r="B498" i="3"/>
  <c r="C498" i="3" s="1"/>
  <c r="A500" i="3" l="1"/>
  <c r="D499" i="3"/>
  <c r="B499" i="3"/>
  <c r="C499" i="3" s="1"/>
  <c r="A501" i="3" l="1"/>
  <c r="D500" i="3"/>
  <c r="B500" i="3"/>
  <c r="C500" i="3" s="1"/>
  <c r="A502" i="3" l="1"/>
  <c r="D501" i="3"/>
  <c r="B501" i="3"/>
  <c r="C501" i="3" s="1"/>
  <c r="A503" i="3" l="1"/>
  <c r="D502" i="3"/>
  <c r="B502" i="3"/>
  <c r="C502" i="3" s="1"/>
  <c r="A504" i="3" l="1"/>
  <c r="D503" i="3"/>
  <c r="B503" i="3"/>
  <c r="C503" i="3" s="1"/>
  <c r="A505" i="3" l="1"/>
  <c r="D504" i="3"/>
  <c r="B504" i="3"/>
  <c r="C504" i="3" s="1"/>
  <c r="A506" i="3" l="1"/>
  <c r="D505" i="3"/>
  <c r="B505" i="3"/>
  <c r="C505" i="3" s="1"/>
  <c r="A507" i="3" l="1"/>
  <c r="D506" i="3"/>
  <c r="B506" i="3"/>
  <c r="C506" i="3" s="1"/>
  <c r="A508" i="3" l="1"/>
  <c r="D507" i="3"/>
  <c r="B507" i="3"/>
  <c r="C507" i="3" s="1"/>
  <c r="A509" i="3" l="1"/>
  <c r="D508" i="3"/>
  <c r="B508" i="3"/>
  <c r="C508" i="3" s="1"/>
  <c r="A510" i="3" l="1"/>
  <c r="D509" i="3"/>
  <c r="B509" i="3"/>
  <c r="C509" i="3" s="1"/>
  <c r="A511" i="3" l="1"/>
  <c r="D510" i="3"/>
  <c r="B510" i="3"/>
  <c r="C510" i="3" s="1"/>
  <c r="A512" i="3" l="1"/>
  <c r="D511" i="3"/>
  <c r="B511" i="3"/>
  <c r="C511" i="3" s="1"/>
  <c r="A513" i="3" l="1"/>
  <c r="D512" i="3"/>
  <c r="B512" i="3"/>
  <c r="C512" i="3" s="1"/>
  <c r="A514" i="3" l="1"/>
  <c r="D513" i="3"/>
  <c r="B513" i="3"/>
  <c r="C513" i="3" s="1"/>
  <c r="A515" i="3" l="1"/>
  <c r="D514" i="3"/>
  <c r="B514" i="3"/>
  <c r="C514" i="3" s="1"/>
  <c r="A516" i="3" l="1"/>
  <c r="D515" i="3"/>
  <c r="B515" i="3"/>
  <c r="C515" i="3" s="1"/>
  <c r="A517" i="3" l="1"/>
  <c r="D516" i="3"/>
  <c r="B516" i="3"/>
  <c r="C516" i="3" s="1"/>
  <c r="A518" i="3" l="1"/>
  <c r="D517" i="3"/>
  <c r="B517" i="3"/>
  <c r="C517" i="3" s="1"/>
  <c r="A519" i="3" l="1"/>
  <c r="D518" i="3"/>
  <c r="B518" i="3"/>
  <c r="C518" i="3" s="1"/>
  <c r="A520" i="3" l="1"/>
  <c r="D519" i="3"/>
  <c r="B519" i="3"/>
  <c r="C519" i="3" s="1"/>
  <c r="A521" i="3" l="1"/>
  <c r="D520" i="3"/>
  <c r="B520" i="3"/>
  <c r="C520" i="3" s="1"/>
  <c r="A522" i="3" l="1"/>
  <c r="D521" i="3"/>
  <c r="B521" i="3"/>
  <c r="C521" i="3" s="1"/>
  <c r="A523" i="3" l="1"/>
  <c r="D522" i="3"/>
  <c r="B522" i="3"/>
  <c r="C522" i="3" s="1"/>
  <c r="A524" i="3" l="1"/>
  <c r="D523" i="3"/>
  <c r="B523" i="3"/>
  <c r="C523" i="3" s="1"/>
  <c r="A525" i="3" l="1"/>
  <c r="D524" i="3"/>
  <c r="B524" i="3"/>
  <c r="C524" i="3" s="1"/>
  <c r="A526" i="3" l="1"/>
  <c r="D525" i="3"/>
  <c r="B525" i="3"/>
  <c r="C525" i="3" s="1"/>
  <c r="A527" i="3" l="1"/>
  <c r="D526" i="3"/>
  <c r="B526" i="3"/>
  <c r="C526" i="3" s="1"/>
  <c r="A528" i="3" l="1"/>
  <c r="D527" i="3"/>
  <c r="B527" i="3"/>
  <c r="C527" i="3" s="1"/>
  <c r="A529" i="3" l="1"/>
  <c r="D528" i="3"/>
  <c r="B528" i="3"/>
  <c r="C528" i="3" s="1"/>
  <c r="A530" i="3" l="1"/>
  <c r="D529" i="3"/>
  <c r="B529" i="3"/>
  <c r="C529" i="3" s="1"/>
  <c r="A531" i="3" l="1"/>
  <c r="D530" i="3"/>
  <c r="B530" i="3"/>
  <c r="C530" i="3" s="1"/>
  <c r="A532" i="3" l="1"/>
  <c r="D531" i="3"/>
  <c r="B531" i="3"/>
  <c r="C531" i="3" s="1"/>
  <c r="A533" i="3" l="1"/>
  <c r="D532" i="3"/>
  <c r="B532" i="3"/>
  <c r="C532" i="3" s="1"/>
  <c r="A534" i="3" l="1"/>
  <c r="D533" i="3"/>
  <c r="B533" i="3"/>
  <c r="C533" i="3" s="1"/>
  <c r="A535" i="3" l="1"/>
  <c r="D534" i="3"/>
  <c r="B534" i="3"/>
  <c r="C534" i="3" s="1"/>
  <c r="A536" i="3" l="1"/>
  <c r="D535" i="3"/>
  <c r="B535" i="3"/>
  <c r="C535" i="3" s="1"/>
  <c r="A537" i="3" l="1"/>
  <c r="D536" i="3"/>
  <c r="B536" i="3"/>
  <c r="C536" i="3" s="1"/>
  <c r="A538" i="3" l="1"/>
  <c r="D537" i="3"/>
  <c r="B537" i="3"/>
  <c r="C537" i="3" s="1"/>
  <c r="A539" i="3" l="1"/>
  <c r="D538" i="3"/>
  <c r="B538" i="3"/>
  <c r="C538" i="3" s="1"/>
  <c r="A540" i="3" l="1"/>
  <c r="D539" i="3"/>
  <c r="B539" i="3"/>
  <c r="C539" i="3" s="1"/>
  <c r="A541" i="3" l="1"/>
  <c r="D540" i="3"/>
  <c r="B540" i="3"/>
  <c r="C540" i="3" s="1"/>
  <c r="A542" i="3" l="1"/>
  <c r="D541" i="3"/>
  <c r="B541" i="3"/>
  <c r="C541" i="3" s="1"/>
  <c r="A543" i="3" l="1"/>
  <c r="D542" i="3"/>
  <c r="B542" i="3"/>
  <c r="C542" i="3" s="1"/>
  <c r="A544" i="3" l="1"/>
  <c r="D543" i="3"/>
  <c r="B543" i="3"/>
  <c r="C543" i="3" s="1"/>
  <c r="A545" i="3" l="1"/>
  <c r="D544" i="3"/>
  <c r="B544" i="3"/>
  <c r="C544" i="3" s="1"/>
  <c r="A546" i="3" l="1"/>
  <c r="D545" i="3"/>
  <c r="B545" i="3"/>
  <c r="C545" i="3" s="1"/>
  <c r="A547" i="3" l="1"/>
  <c r="D546" i="3"/>
  <c r="B546" i="3"/>
  <c r="C546" i="3" s="1"/>
  <c r="A548" i="3" l="1"/>
  <c r="D547" i="3"/>
  <c r="B547" i="3"/>
  <c r="C547" i="3" s="1"/>
  <c r="A549" i="3" l="1"/>
  <c r="D548" i="3"/>
  <c r="B548" i="3"/>
  <c r="C548" i="3" s="1"/>
  <c r="A550" i="3" l="1"/>
  <c r="D549" i="3"/>
  <c r="B549" i="3"/>
  <c r="C549" i="3" s="1"/>
  <c r="A551" i="3" l="1"/>
  <c r="D550" i="3"/>
  <c r="B550" i="3"/>
  <c r="C550" i="3" s="1"/>
  <c r="A552" i="3" l="1"/>
  <c r="D551" i="3"/>
  <c r="B551" i="3"/>
  <c r="C551" i="3" s="1"/>
  <c r="A553" i="3" l="1"/>
  <c r="D552" i="3"/>
  <c r="B552" i="3"/>
  <c r="C552" i="3" s="1"/>
  <c r="A554" i="3" l="1"/>
  <c r="D553" i="3"/>
  <c r="B553" i="3"/>
  <c r="C553" i="3" s="1"/>
  <c r="A555" i="3" l="1"/>
  <c r="D554" i="3"/>
  <c r="B554" i="3"/>
  <c r="C554" i="3" s="1"/>
  <c r="A556" i="3" l="1"/>
  <c r="D555" i="3"/>
  <c r="B555" i="3"/>
  <c r="C555" i="3" s="1"/>
  <c r="A557" i="3" l="1"/>
  <c r="D556" i="3"/>
  <c r="B556" i="3"/>
  <c r="C556" i="3" s="1"/>
  <c r="A558" i="3" l="1"/>
  <c r="D557" i="3"/>
  <c r="B557" i="3"/>
  <c r="C557" i="3" s="1"/>
  <c r="A559" i="3" l="1"/>
  <c r="D558" i="3"/>
  <c r="B558" i="3"/>
  <c r="C558" i="3" s="1"/>
  <c r="A560" i="3" l="1"/>
  <c r="D559" i="3"/>
  <c r="B559" i="3"/>
  <c r="C559" i="3" s="1"/>
  <c r="A561" i="3" l="1"/>
  <c r="D560" i="3"/>
  <c r="B560" i="3"/>
  <c r="C560" i="3" s="1"/>
  <c r="A562" i="3" l="1"/>
  <c r="D561" i="3"/>
  <c r="B561" i="3"/>
  <c r="C561" i="3" s="1"/>
  <c r="A563" i="3" l="1"/>
  <c r="D562" i="3"/>
  <c r="B562" i="3"/>
  <c r="C562" i="3" s="1"/>
  <c r="A564" i="3" l="1"/>
  <c r="D563" i="3"/>
  <c r="B563" i="3"/>
  <c r="C563" i="3" s="1"/>
  <c r="A565" i="3" l="1"/>
  <c r="D564" i="3"/>
  <c r="B564" i="3"/>
  <c r="C564" i="3" s="1"/>
  <c r="A566" i="3" l="1"/>
  <c r="D565" i="3"/>
  <c r="B565" i="3"/>
  <c r="C565" i="3" s="1"/>
  <c r="A567" i="3" l="1"/>
  <c r="D566" i="3"/>
  <c r="B566" i="3"/>
  <c r="C566" i="3" s="1"/>
  <c r="A568" i="3" l="1"/>
  <c r="D567" i="3"/>
  <c r="B567" i="3"/>
  <c r="C567" i="3" s="1"/>
  <c r="A569" i="3" l="1"/>
  <c r="D568" i="3"/>
  <c r="B568" i="3"/>
  <c r="C568" i="3" s="1"/>
  <c r="A570" i="3" l="1"/>
  <c r="D569" i="3"/>
  <c r="B569" i="3"/>
  <c r="C569" i="3" s="1"/>
  <c r="A571" i="3" l="1"/>
  <c r="D570" i="3"/>
  <c r="B570" i="3"/>
  <c r="C570" i="3" s="1"/>
  <c r="A572" i="3" l="1"/>
  <c r="D571" i="3"/>
  <c r="B571" i="3"/>
  <c r="C571" i="3" s="1"/>
  <c r="A573" i="3" l="1"/>
  <c r="D572" i="3"/>
  <c r="B572" i="3"/>
  <c r="C572" i="3" s="1"/>
  <c r="A574" i="3" l="1"/>
  <c r="D573" i="3"/>
  <c r="B573" i="3"/>
  <c r="C573" i="3" s="1"/>
  <c r="A575" i="3" l="1"/>
  <c r="D574" i="3"/>
  <c r="B574" i="3"/>
  <c r="C574" i="3" s="1"/>
  <c r="A576" i="3" l="1"/>
  <c r="D575" i="3"/>
  <c r="B575" i="3"/>
  <c r="C575" i="3" s="1"/>
  <c r="A577" i="3" l="1"/>
  <c r="D576" i="3"/>
  <c r="B576" i="3"/>
  <c r="C576" i="3" s="1"/>
  <c r="A578" i="3" l="1"/>
  <c r="D577" i="3"/>
  <c r="B577" i="3"/>
  <c r="C577" i="3" s="1"/>
  <c r="A579" i="3" l="1"/>
  <c r="D578" i="3"/>
  <c r="B578" i="3"/>
  <c r="C578" i="3" s="1"/>
  <c r="A580" i="3" l="1"/>
  <c r="D579" i="3"/>
  <c r="B579" i="3"/>
  <c r="C579" i="3" s="1"/>
  <c r="A581" i="3" l="1"/>
  <c r="D580" i="3"/>
  <c r="B580" i="3"/>
  <c r="C580" i="3" s="1"/>
  <c r="A582" i="3" l="1"/>
  <c r="D581" i="3"/>
  <c r="B581" i="3"/>
  <c r="C581" i="3" s="1"/>
  <c r="A583" i="3" l="1"/>
  <c r="D582" i="3"/>
  <c r="B582" i="3"/>
  <c r="C582" i="3" s="1"/>
  <c r="A584" i="3" l="1"/>
  <c r="D583" i="3"/>
  <c r="B583" i="3"/>
  <c r="C583" i="3" s="1"/>
  <c r="A585" i="3" l="1"/>
  <c r="D584" i="3"/>
  <c r="B584" i="3"/>
  <c r="C584" i="3" s="1"/>
  <c r="A586" i="3" l="1"/>
  <c r="D585" i="3"/>
  <c r="B585" i="3"/>
  <c r="C585" i="3" s="1"/>
  <c r="A587" i="3" l="1"/>
  <c r="D586" i="3"/>
  <c r="B586" i="3"/>
  <c r="C586" i="3" s="1"/>
  <c r="A588" i="3" l="1"/>
  <c r="D587" i="3"/>
  <c r="B587" i="3"/>
  <c r="C587" i="3" s="1"/>
  <c r="A589" i="3" l="1"/>
  <c r="D588" i="3"/>
  <c r="B588" i="3"/>
  <c r="C588" i="3" s="1"/>
  <c r="A590" i="3" l="1"/>
  <c r="D589" i="3"/>
  <c r="B589" i="3"/>
  <c r="C589" i="3" s="1"/>
  <c r="A591" i="3" l="1"/>
  <c r="D590" i="3"/>
  <c r="B590" i="3"/>
  <c r="C590" i="3" s="1"/>
  <c r="A592" i="3" l="1"/>
  <c r="D591" i="3"/>
  <c r="B591" i="3"/>
  <c r="C591" i="3" s="1"/>
  <c r="A593" i="3" l="1"/>
  <c r="D592" i="3"/>
  <c r="B592" i="3"/>
  <c r="C592" i="3" s="1"/>
  <c r="A594" i="3" l="1"/>
  <c r="D593" i="3"/>
  <c r="B593" i="3"/>
  <c r="C593" i="3" s="1"/>
  <c r="A595" i="3" l="1"/>
  <c r="D594" i="3"/>
  <c r="B594" i="3"/>
  <c r="C594" i="3" s="1"/>
  <c r="A596" i="3" l="1"/>
  <c r="D595" i="3"/>
  <c r="B595" i="3"/>
  <c r="C595" i="3" s="1"/>
  <c r="A597" i="3" l="1"/>
  <c r="D596" i="3"/>
  <c r="B596" i="3"/>
  <c r="C596" i="3" s="1"/>
  <c r="A598" i="3" l="1"/>
  <c r="D597" i="3"/>
  <c r="B597" i="3"/>
  <c r="C597" i="3" s="1"/>
  <c r="A599" i="3" l="1"/>
  <c r="D598" i="3"/>
  <c r="B598" i="3"/>
  <c r="C598" i="3" s="1"/>
  <c r="A600" i="3" l="1"/>
  <c r="D599" i="3"/>
  <c r="B599" i="3"/>
  <c r="C599" i="3" s="1"/>
  <c r="A601" i="3" l="1"/>
  <c r="D600" i="3"/>
  <c r="B600" i="3"/>
  <c r="C600" i="3" s="1"/>
  <c r="A602" i="3" l="1"/>
  <c r="D601" i="3"/>
  <c r="B601" i="3"/>
  <c r="C601" i="3" s="1"/>
  <c r="A603" i="3" l="1"/>
  <c r="D602" i="3"/>
  <c r="B602" i="3"/>
  <c r="C602" i="3" s="1"/>
  <c r="A604" i="3" l="1"/>
  <c r="D603" i="3"/>
  <c r="B603" i="3"/>
  <c r="C603" i="3" s="1"/>
  <c r="A605" i="3" l="1"/>
  <c r="D604" i="3"/>
  <c r="B604" i="3"/>
  <c r="C604" i="3" s="1"/>
  <c r="A606" i="3" l="1"/>
  <c r="D605" i="3"/>
  <c r="B605" i="3"/>
  <c r="C605" i="3" s="1"/>
  <c r="A607" i="3" l="1"/>
  <c r="D606" i="3"/>
  <c r="B606" i="3"/>
  <c r="C606" i="3" s="1"/>
  <c r="A608" i="3" l="1"/>
  <c r="D607" i="3"/>
  <c r="B607" i="3"/>
  <c r="C607" i="3" s="1"/>
  <c r="A609" i="3" l="1"/>
  <c r="D608" i="3"/>
  <c r="B608" i="3"/>
  <c r="C608" i="3" s="1"/>
  <c r="A610" i="3" l="1"/>
  <c r="D609" i="3"/>
  <c r="B609" i="3"/>
  <c r="C609" i="3" s="1"/>
  <c r="A611" i="3" l="1"/>
  <c r="D610" i="3"/>
  <c r="B610" i="3"/>
  <c r="C610" i="3" s="1"/>
  <c r="A612" i="3" l="1"/>
  <c r="D611" i="3"/>
  <c r="B611" i="3"/>
  <c r="C611" i="3" s="1"/>
  <c r="A613" i="3" l="1"/>
  <c r="D612" i="3"/>
  <c r="B612" i="3"/>
  <c r="C612" i="3" s="1"/>
  <c r="A614" i="3" l="1"/>
  <c r="D613" i="3"/>
  <c r="B613" i="3"/>
  <c r="C613" i="3" s="1"/>
  <c r="A615" i="3" l="1"/>
  <c r="D614" i="3"/>
  <c r="B614" i="3"/>
  <c r="C614" i="3" s="1"/>
  <c r="A616" i="3" l="1"/>
  <c r="D615" i="3"/>
  <c r="B615" i="3"/>
  <c r="C615" i="3" s="1"/>
  <c r="A617" i="3" l="1"/>
  <c r="D616" i="3"/>
  <c r="B616" i="3"/>
  <c r="C616" i="3" s="1"/>
  <c r="A618" i="3" l="1"/>
  <c r="D617" i="3"/>
  <c r="B617" i="3"/>
  <c r="C617" i="3" s="1"/>
  <c r="A619" i="3" l="1"/>
  <c r="D618" i="3"/>
  <c r="B618" i="3"/>
  <c r="C618" i="3" s="1"/>
  <c r="A620" i="3" l="1"/>
  <c r="D619" i="3"/>
  <c r="B619" i="3"/>
  <c r="C619" i="3" s="1"/>
  <c r="A621" i="3" l="1"/>
  <c r="D620" i="3"/>
  <c r="B620" i="3"/>
  <c r="C620" i="3" s="1"/>
  <c r="A622" i="3" l="1"/>
  <c r="D621" i="3"/>
  <c r="B621" i="3"/>
  <c r="C621" i="3" s="1"/>
  <c r="A623" i="3" l="1"/>
  <c r="D622" i="3"/>
  <c r="B622" i="3"/>
  <c r="C622" i="3" s="1"/>
  <c r="A624" i="3" l="1"/>
  <c r="D623" i="3"/>
  <c r="B623" i="3"/>
  <c r="C623" i="3" s="1"/>
  <c r="A625" i="3" l="1"/>
  <c r="D624" i="3"/>
  <c r="B624" i="3"/>
  <c r="C624" i="3" s="1"/>
  <c r="A626" i="3" l="1"/>
  <c r="D625" i="3"/>
  <c r="B625" i="3"/>
  <c r="C625" i="3" s="1"/>
  <c r="A627" i="3" l="1"/>
  <c r="D626" i="3"/>
  <c r="B626" i="3"/>
  <c r="C626" i="3" s="1"/>
  <c r="A628" i="3" l="1"/>
  <c r="D627" i="3"/>
  <c r="B627" i="3"/>
  <c r="C627" i="3" s="1"/>
  <c r="A629" i="3" l="1"/>
  <c r="D628" i="3"/>
  <c r="B628" i="3"/>
  <c r="C628" i="3" s="1"/>
  <c r="A630" i="3" l="1"/>
  <c r="D629" i="3"/>
  <c r="B629" i="3"/>
  <c r="C629" i="3" s="1"/>
  <c r="A631" i="3" l="1"/>
  <c r="D630" i="3"/>
  <c r="B630" i="3"/>
  <c r="C630" i="3" s="1"/>
  <c r="A632" i="3" l="1"/>
  <c r="D631" i="3"/>
  <c r="B631" i="3"/>
  <c r="C631" i="3" s="1"/>
  <c r="A633" i="3" l="1"/>
  <c r="D632" i="3"/>
  <c r="B632" i="3"/>
  <c r="C632" i="3" s="1"/>
  <c r="A634" i="3" l="1"/>
  <c r="D633" i="3"/>
  <c r="B633" i="3"/>
  <c r="C633" i="3" s="1"/>
  <c r="A635" i="3" l="1"/>
  <c r="D634" i="3"/>
  <c r="B634" i="3"/>
  <c r="C634" i="3" s="1"/>
  <c r="A636" i="3" l="1"/>
  <c r="D635" i="3"/>
  <c r="B635" i="3"/>
  <c r="C635" i="3" s="1"/>
  <c r="A637" i="3" l="1"/>
  <c r="D636" i="3"/>
  <c r="B636" i="3"/>
  <c r="C636" i="3" s="1"/>
  <c r="A638" i="3" l="1"/>
  <c r="D637" i="3"/>
  <c r="B637" i="3"/>
  <c r="C637" i="3" s="1"/>
  <c r="A639" i="3" l="1"/>
  <c r="D638" i="3"/>
  <c r="B638" i="3"/>
  <c r="C638" i="3" s="1"/>
  <c r="A640" i="3" l="1"/>
  <c r="D639" i="3"/>
  <c r="B639" i="3"/>
  <c r="C639" i="3" s="1"/>
  <c r="A641" i="3" l="1"/>
  <c r="D640" i="3"/>
  <c r="B640" i="3"/>
  <c r="C640" i="3" s="1"/>
  <c r="A642" i="3" l="1"/>
  <c r="B641" i="3"/>
  <c r="C641" i="3" s="1"/>
  <c r="D641" i="3"/>
  <c r="A643" i="3" l="1"/>
  <c r="D642" i="3"/>
  <c r="B642" i="3"/>
  <c r="C642" i="3" s="1"/>
  <c r="A644" i="3" l="1"/>
  <c r="D643" i="3"/>
  <c r="B643" i="3"/>
  <c r="C643" i="3" s="1"/>
  <c r="A645" i="3" l="1"/>
  <c r="D644" i="3"/>
  <c r="B644" i="3"/>
  <c r="C644" i="3" s="1"/>
  <c r="A646" i="3" l="1"/>
  <c r="D645" i="3"/>
  <c r="B645" i="3"/>
  <c r="C645" i="3" s="1"/>
  <c r="A647" i="3" l="1"/>
  <c r="D646" i="3"/>
  <c r="B646" i="3"/>
  <c r="C646" i="3" s="1"/>
  <c r="A648" i="3" l="1"/>
  <c r="D647" i="3"/>
  <c r="B647" i="3"/>
  <c r="C647" i="3" s="1"/>
  <c r="A649" i="3" l="1"/>
  <c r="D648" i="3"/>
  <c r="B648" i="3"/>
  <c r="C648" i="3" s="1"/>
  <c r="A650" i="3" l="1"/>
  <c r="B649" i="3"/>
  <c r="C649" i="3" s="1"/>
  <c r="D649" i="3"/>
  <c r="A651" i="3" l="1"/>
  <c r="D650" i="3"/>
  <c r="B650" i="3"/>
  <c r="C650" i="3" s="1"/>
  <c r="A652" i="3" l="1"/>
  <c r="D651" i="3"/>
  <c r="B651" i="3"/>
  <c r="C651" i="3" s="1"/>
  <c r="A653" i="3" l="1"/>
  <c r="D652" i="3"/>
  <c r="B652" i="3"/>
  <c r="C652" i="3" s="1"/>
  <c r="A654" i="3" l="1"/>
  <c r="D653" i="3"/>
  <c r="B653" i="3"/>
  <c r="C653" i="3" s="1"/>
  <c r="A655" i="3" l="1"/>
  <c r="D654" i="3"/>
  <c r="B654" i="3"/>
  <c r="C654" i="3" s="1"/>
  <c r="A656" i="3" l="1"/>
  <c r="D655" i="3"/>
  <c r="B655" i="3"/>
  <c r="C655" i="3" s="1"/>
  <c r="A657" i="3" l="1"/>
  <c r="D656" i="3"/>
  <c r="B656" i="3"/>
  <c r="C656" i="3" s="1"/>
  <c r="A658" i="3" l="1"/>
  <c r="B657" i="3"/>
  <c r="C657" i="3" s="1"/>
  <c r="D657" i="3"/>
  <c r="A659" i="3" l="1"/>
  <c r="D658" i="3"/>
  <c r="B658" i="3"/>
  <c r="C658" i="3" s="1"/>
  <c r="A660" i="3" l="1"/>
  <c r="D659" i="3"/>
  <c r="B659" i="3"/>
  <c r="C659" i="3" s="1"/>
  <c r="A661" i="3" l="1"/>
  <c r="D660" i="3"/>
  <c r="B660" i="3"/>
  <c r="C660" i="3" s="1"/>
  <c r="A662" i="3" l="1"/>
  <c r="D661" i="3"/>
  <c r="B661" i="3"/>
  <c r="C661" i="3" s="1"/>
  <c r="A663" i="3" l="1"/>
  <c r="D662" i="3"/>
  <c r="B662" i="3"/>
  <c r="C662" i="3" s="1"/>
  <c r="A664" i="3" l="1"/>
  <c r="D663" i="3"/>
  <c r="B663" i="3"/>
  <c r="C663" i="3" s="1"/>
  <c r="A665" i="3" l="1"/>
  <c r="D664" i="3"/>
  <c r="B664" i="3"/>
  <c r="C664" i="3" s="1"/>
  <c r="A666" i="3" l="1"/>
  <c r="B665" i="3"/>
  <c r="C665" i="3" s="1"/>
  <c r="D665" i="3"/>
  <c r="A667" i="3" l="1"/>
  <c r="D666" i="3"/>
  <c r="B666" i="3"/>
  <c r="C666" i="3" s="1"/>
  <c r="A668" i="3" l="1"/>
  <c r="D667" i="3"/>
  <c r="B667" i="3"/>
  <c r="C667" i="3" s="1"/>
  <c r="A669" i="3" l="1"/>
  <c r="D668" i="3"/>
  <c r="B668" i="3"/>
  <c r="C668" i="3" s="1"/>
  <c r="A670" i="3" l="1"/>
  <c r="D669" i="3"/>
  <c r="B669" i="3"/>
  <c r="C669" i="3" s="1"/>
  <c r="A671" i="3" l="1"/>
  <c r="D670" i="3"/>
  <c r="B670" i="3"/>
  <c r="C670" i="3" s="1"/>
  <c r="A672" i="3" l="1"/>
  <c r="D671" i="3"/>
  <c r="B671" i="3"/>
  <c r="C671" i="3" s="1"/>
  <c r="A673" i="3" l="1"/>
  <c r="D672" i="3"/>
  <c r="B672" i="3"/>
  <c r="C672" i="3" s="1"/>
  <c r="A674" i="3" l="1"/>
  <c r="B673" i="3"/>
  <c r="C673" i="3" s="1"/>
  <c r="D673" i="3"/>
  <c r="A675" i="3" l="1"/>
  <c r="D674" i="3"/>
  <c r="B674" i="3"/>
  <c r="C674" i="3" s="1"/>
  <c r="A676" i="3" l="1"/>
  <c r="D675" i="3"/>
  <c r="B675" i="3"/>
  <c r="C675" i="3" s="1"/>
  <c r="A677" i="3" l="1"/>
  <c r="D676" i="3"/>
  <c r="B676" i="3"/>
  <c r="C676" i="3" s="1"/>
  <c r="A678" i="3" l="1"/>
  <c r="D677" i="3"/>
  <c r="B677" i="3"/>
  <c r="C677" i="3" s="1"/>
  <c r="A679" i="3" l="1"/>
  <c r="D678" i="3"/>
  <c r="B678" i="3"/>
  <c r="C678" i="3" s="1"/>
  <c r="A680" i="3" l="1"/>
  <c r="D679" i="3"/>
  <c r="B679" i="3"/>
  <c r="C679" i="3" s="1"/>
  <c r="A681" i="3" l="1"/>
  <c r="D680" i="3"/>
  <c r="B680" i="3"/>
  <c r="C680" i="3" s="1"/>
  <c r="A682" i="3" l="1"/>
  <c r="B681" i="3"/>
  <c r="C681" i="3" s="1"/>
  <c r="D681" i="3"/>
  <c r="A683" i="3" l="1"/>
  <c r="D682" i="3"/>
  <c r="B682" i="3"/>
  <c r="C682" i="3" s="1"/>
  <c r="A684" i="3" l="1"/>
  <c r="D683" i="3"/>
  <c r="B683" i="3"/>
  <c r="C683" i="3" s="1"/>
  <c r="A685" i="3" l="1"/>
  <c r="D684" i="3"/>
  <c r="B684" i="3"/>
  <c r="C684" i="3" s="1"/>
  <c r="A686" i="3" l="1"/>
  <c r="D685" i="3"/>
  <c r="B685" i="3"/>
  <c r="C685" i="3" s="1"/>
  <c r="A687" i="3" l="1"/>
  <c r="D686" i="3"/>
  <c r="B686" i="3"/>
  <c r="C686" i="3" s="1"/>
  <c r="A688" i="3" l="1"/>
  <c r="D687" i="3"/>
  <c r="B687" i="3"/>
  <c r="C687" i="3" s="1"/>
  <c r="A689" i="3" l="1"/>
  <c r="D688" i="3"/>
  <c r="B688" i="3"/>
  <c r="C688" i="3" s="1"/>
  <c r="A690" i="3" l="1"/>
  <c r="B689" i="3"/>
  <c r="C689" i="3" s="1"/>
  <c r="D689" i="3"/>
  <c r="A691" i="3" l="1"/>
  <c r="D690" i="3"/>
  <c r="B690" i="3"/>
  <c r="C690" i="3" s="1"/>
  <c r="A692" i="3" l="1"/>
  <c r="D691" i="3"/>
  <c r="B691" i="3"/>
  <c r="C691" i="3" s="1"/>
  <c r="A693" i="3" l="1"/>
  <c r="D692" i="3"/>
  <c r="B692" i="3"/>
  <c r="C692" i="3" s="1"/>
  <c r="A694" i="3" l="1"/>
  <c r="D693" i="3"/>
  <c r="B693" i="3"/>
  <c r="C693" i="3" s="1"/>
  <c r="A695" i="3" l="1"/>
  <c r="D694" i="3"/>
  <c r="B694" i="3"/>
  <c r="C694" i="3" s="1"/>
  <c r="A696" i="3" l="1"/>
  <c r="D695" i="3"/>
  <c r="B695" i="3"/>
  <c r="C695" i="3" s="1"/>
  <c r="A697" i="3" l="1"/>
  <c r="B696" i="3"/>
  <c r="C696" i="3" s="1"/>
  <c r="D696" i="3"/>
  <c r="A698" i="3" l="1"/>
  <c r="D697" i="3"/>
  <c r="B697" i="3"/>
  <c r="C697" i="3" s="1"/>
  <c r="A699" i="3" l="1"/>
  <c r="B698" i="3"/>
  <c r="C698" i="3" s="1"/>
  <c r="D698" i="3"/>
  <c r="A700" i="3" l="1"/>
  <c r="D699" i="3"/>
  <c r="B699" i="3"/>
  <c r="C699" i="3" s="1"/>
  <c r="A701" i="3" l="1"/>
  <c r="B700" i="3"/>
  <c r="C700" i="3" s="1"/>
  <c r="D700" i="3"/>
  <c r="A702" i="3" l="1"/>
  <c r="D701" i="3"/>
  <c r="B701" i="3"/>
  <c r="C701" i="3" s="1"/>
  <c r="A703" i="3" l="1"/>
  <c r="B702" i="3"/>
  <c r="C702" i="3" s="1"/>
  <c r="D702" i="3"/>
  <c r="A704" i="3" l="1"/>
  <c r="D703" i="3"/>
  <c r="B703" i="3"/>
  <c r="C703" i="3" s="1"/>
  <c r="A705" i="3" l="1"/>
  <c r="B704" i="3"/>
  <c r="C704" i="3" s="1"/>
  <c r="D704" i="3"/>
  <c r="A706" i="3" l="1"/>
  <c r="D705" i="3"/>
  <c r="B705" i="3"/>
  <c r="C705" i="3" s="1"/>
  <c r="A707" i="3" l="1"/>
  <c r="B706" i="3"/>
  <c r="C706" i="3" s="1"/>
  <c r="D706" i="3"/>
  <c r="A708" i="3" l="1"/>
  <c r="D707" i="3"/>
  <c r="B707" i="3"/>
  <c r="C707" i="3" s="1"/>
  <c r="A709" i="3" l="1"/>
  <c r="B708" i="3"/>
  <c r="C708" i="3" s="1"/>
  <c r="D708" i="3"/>
  <c r="A710" i="3" l="1"/>
  <c r="D709" i="3"/>
  <c r="B709" i="3"/>
  <c r="C709" i="3" s="1"/>
  <c r="A711" i="3" l="1"/>
  <c r="B710" i="3"/>
  <c r="C710" i="3" s="1"/>
  <c r="D710" i="3"/>
  <c r="A712" i="3" l="1"/>
  <c r="D711" i="3"/>
  <c r="B711" i="3"/>
  <c r="C711" i="3" s="1"/>
  <c r="A713" i="3" l="1"/>
  <c r="B712" i="3"/>
  <c r="C712" i="3" s="1"/>
  <c r="D712" i="3"/>
  <c r="A714" i="3" l="1"/>
  <c r="D713" i="3"/>
  <c r="B713" i="3"/>
  <c r="C713" i="3" s="1"/>
  <c r="A715" i="3" l="1"/>
  <c r="B714" i="3"/>
  <c r="C714" i="3" s="1"/>
  <c r="D714" i="3"/>
  <c r="A716" i="3" l="1"/>
  <c r="D715" i="3"/>
  <c r="B715" i="3"/>
  <c r="C715" i="3" s="1"/>
  <c r="A717" i="3" l="1"/>
  <c r="B716" i="3"/>
  <c r="C716" i="3" s="1"/>
  <c r="D716" i="3"/>
  <c r="A718" i="3" l="1"/>
  <c r="D717" i="3"/>
  <c r="B717" i="3"/>
  <c r="C717" i="3" s="1"/>
  <c r="A719" i="3" l="1"/>
  <c r="B718" i="3"/>
  <c r="C718" i="3" s="1"/>
  <c r="D718" i="3"/>
  <c r="A720" i="3" l="1"/>
  <c r="D719" i="3"/>
  <c r="B719" i="3"/>
  <c r="C719" i="3" s="1"/>
  <c r="A721" i="3" l="1"/>
  <c r="B720" i="3"/>
  <c r="C720" i="3" s="1"/>
  <c r="D720" i="3"/>
  <c r="A722" i="3" l="1"/>
  <c r="D721" i="3"/>
  <c r="B721" i="3"/>
  <c r="C721" i="3" s="1"/>
  <c r="A723" i="3" l="1"/>
  <c r="B722" i="3"/>
  <c r="C722" i="3" s="1"/>
  <c r="D722" i="3"/>
  <c r="A724" i="3" l="1"/>
  <c r="D723" i="3"/>
  <c r="B723" i="3"/>
  <c r="C723" i="3" s="1"/>
  <c r="A725" i="3" l="1"/>
  <c r="B724" i="3"/>
  <c r="C724" i="3" s="1"/>
  <c r="D724" i="3"/>
  <c r="A726" i="3" l="1"/>
  <c r="D725" i="3"/>
  <c r="B725" i="3"/>
  <c r="C725" i="3" s="1"/>
  <c r="A727" i="3" l="1"/>
  <c r="B726" i="3"/>
  <c r="C726" i="3" s="1"/>
  <c r="D726" i="3"/>
  <c r="A728" i="3" l="1"/>
  <c r="D727" i="3"/>
  <c r="B727" i="3"/>
  <c r="C727" i="3" s="1"/>
  <c r="A729" i="3" l="1"/>
  <c r="B728" i="3"/>
  <c r="C728" i="3" s="1"/>
  <c r="D728" i="3"/>
  <c r="A730" i="3" l="1"/>
  <c r="D729" i="3"/>
  <c r="B729" i="3"/>
  <c r="C729" i="3" s="1"/>
  <c r="A731" i="3" l="1"/>
  <c r="B730" i="3"/>
  <c r="C730" i="3" s="1"/>
  <c r="D730" i="3"/>
  <c r="A732" i="3" l="1"/>
  <c r="D731" i="3"/>
  <c r="B731" i="3"/>
  <c r="C731" i="3" s="1"/>
  <c r="A733" i="3" l="1"/>
  <c r="B732" i="3"/>
  <c r="C732" i="3" s="1"/>
  <c r="D732" i="3"/>
  <c r="A734" i="3" l="1"/>
  <c r="D733" i="3"/>
  <c r="B733" i="3"/>
  <c r="C733" i="3" s="1"/>
  <c r="A735" i="3" l="1"/>
  <c r="B734" i="3"/>
  <c r="C734" i="3" s="1"/>
  <c r="D734" i="3"/>
  <c r="A736" i="3" l="1"/>
  <c r="D735" i="3"/>
  <c r="B735" i="3"/>
  <c r="C735" i="3" s="1"/>
  <c r="A737" i="3" l="1"/>
  <c r="B736" i="3"/>
  <c r="C736" i="3" s="1"/>
  <c r="D736" i="3"/>
  <c r="A738" i="3" l="1"/>
  <c r="D737" i="3"/>
  <c r="B737" i="3"/>
  <c r="C737" i="3" s="1"/>
  <c r="A739" i="3" l="1"/>
  <c r="B738" i="3"/>
  <c r="C738" i="3" s="1"/>
  <c r="D738" i="3"/>
  <c r="A740" i="3" l="1"/>
  <c r="D739" i="3"/>
  <c r="B739" i="3"/>
  <c r="C739" i="3" s="1"/>
  <c r="A741" i="3" l="1"/>
  <c r="B740" i="3"/>
  <c r="C740" i="3" s="1"/>
  <c r="D740" i="3"/>
  <c r="A742" i="3" l="1"/>
  <c r="D741" i="3"/>
  <c r="B741" i="3"/>
  <c r="C741" i="3" s="1"/>
  <c r="A743" i="3" l="1"/>
  <c r="B742" i="3"/>
  <c r="C742" i="3" s="1"/>
  <c r="D742" i="3"/>
  <c r="A744" i="3" l="1"/>
  <c r="D743" i="3"/>
  <c r="B743" i="3"/>
  <c r="C743" i="3" s="1"/>
  <c r="A745" i="3" l="1"/>
  <c r="B744" i="3"/>
  <c r="C744" i="3" s="1"/>
  <c r="D744" i="3"/>
  <c r="A746" i="3" l="1"/>
  <c r="D745" i="3"/>
  <c r="B745" i="3"/>
  <c r="C745" i="3" s="1"/>
  <c r="A747" i="3" l="1"/>
  <c r="B746" i="3"/>
  <c r="C746" i="3" s="1"/>
  <c r="D746" i="3"/>
  <c r="A748" i="3" l="1"/>
  <c r="D747" i="3"/>
  <c r="B747" i="3"/>
  <c r="C747" i="3" s="1"/>
  <c r="A749" i="3" l="1"/>
  <c r="B748" i="3"/>
  <c r="C748" i="3" s="1"/>
  <c r="D748" i="3"/>
  <c r="A750" i="3" l="1"/>
  <c r="D749" i="3"/>
  <c r="B749" i="3"/>
  <c r="C749" i="3" s="1"/>
  <c r="A751" i="3" l="1"/>
  <c r="B750" i="3"/>
  <c r="C750" i="3" s="1"/>
  <c r="D750" i="3"/>
  <c r="A752" i="3" l="1"/>
  <c r="D751" i="3"/>
  <c r="B751" i="3"/>
  <c r="C751" i="3" s="1"/>
  <c r="A753" i="3" l="1"/>
  <c r="B752" i="3"/>
  <c r="C752" i="3" s="1"/>
  <c r="D752" i="3"/>
  <c r="A754" i="3" l="1"/>
  <c r="D753" i="3"/>
  <c r="B753" i="3"/>
  <c r="C753" i="3" s="1"/>
  <c r="A755" i="3" l="1"/>
  <c r="B754" i="3"/>
  <c r="C754" i="3" s="1"/>
  <c r="D754" i="3"/>
  <c r="A756" i="3" l="1"/>
  <c r="D755" i="3"/>
  <c r="B755" i="3"/>
  <c r="C755" i="3" s="1"/>
  <c r="A757" i="3" l="1"/>
  <c r="B756" i="3"/>
  <c r="C756" i="3" s="1"/>
  <c r="D756" i="3"/>
  <c r="A758" i="3" l="1"/>
  <c r="D757" i="3"/>
  <c r="B757" i="3"/>
  <c r="C757" i="3" s="1"/>
  <c r="A759" i="3" l="1"/>
  <c r="B758" i="3"/>
  <c r="C758" i="3" s="1"/>
  <c r="D758" i="3"/>
  <c r="A760" i="3" l="1"/>
  <c r="D759" i="3"/>
  <c r="B759" i="3"/>
  <c r="C759" i="3" s="1"/>
  <c r="A761" i="3" l="1"/>
  <c r="B760" i="3"/>
  <c r="C760" i="3" s="1"/>
  <c r="D760" i="3"/>
  <c r="A762" i="3" l="1"/>
  <c r="D761" i="3"/>
  <c r="B761" i="3"/>
  <c r="C761" i="3" s="1"/>
  <c r="A763" i="3" l="1"/>
  <c r="B762" i="3"/>
  <c r="C762" i="3" s="1"/>
  <c r="D762" i="3"/>
  <c r="A764" i="3" l="1"/>
  <c r="D763" i="3"/>
  <c r="B763" i="3"/>
  <c r="C763" i="3" s="1"/>
  <c r="A765" i="3" l="1"/>
  <c r="B764" i="3"/>
  <c r="C764" i="3" s="1"/>
  <c r="D764" i="3"/>
  <c r="A766" i="3" l="1"/>
  <c r="D765" i="3"/>
  <c r="B765" i="3"/>
  <c r="C765" i="3" s="1"/>
  <c r="A767" i="3" l="1"/>
  <c r="B766" i="3"/>
  <c r="C766" i="3" s="1"/>
  <c r="D766" i="3"/>
  <c r="A768" i="3" l="1"/>
  <c r="D767" i="3"/>
  <c r="B767" i="3"/>
  <c r="C767" i="3" s="1"/>
  <c r="A769" i="3" l="1"/>
  <c r="B768" i="3"/>
  <c r="C768" i="3" s="1"/>
  <c r="D768" i="3"/>
  <c r="A770" i="3" l="1"/>
  <c r="D769" i="3"/>
  <c r="B769" i="3"/>
  <c r="C769" i="3" s="1"/>
  <c r="A771" i="3" l="1"/>
  <c r="B770" i="3"/>
  <c r="C770" i="3" s="1"/>
  <c r="D770" i="3"/>
  <c r="A772" i="3" l="1"/>
  <c r="D771" i="3"/>
  <c r="B771" i="3"/>
  <c r="C771" i="3" s="1"/>
  <c r="A773" i="3" l="1"/>
  <c r="B772" i="3"/>
  <c r="C772" i="3" s="1"/>
  <c r="D772" i="3"/>
  <c r="A774" i="3" l="1"/>
  <c r="D773" i="3"/>
  <c r="B773" i="3"/>
  <c r="C773" i="3" s="1"/>
  <c r="A775" i="3" l="1"/>
  <c r="B774" i="3"/>
  <c r="C774" i="3" s="1"/>
  <c r="D774" i="3"/>
  <c r="A776" i="3" l="1"/>
  <c r="D775" i="3"/>
  <c r="B775" i="3"/>
  <c r="C775" i="3" s="1"/>
  <c r="A777" i="3" l="1"/>
  <c r="B776" i="3"/>
  <c r="C776" i="3" s="1"/>
  <c r="D776" i="3"/>
  <c r="A778" i="3" l="1"/>
  <c r="D777" i="3"/>
  <c r="B777" i="3"/>
  <c r="C777" i="3" s="1"/>
  <c r="A779" i="3" l="1"/>
  <c r="B778" i="3"/>
  <c r="C778" i="3" s="1"/>
  <c r="D778" i="3"/>
  <c r="A780" i="3" l="1"/>
  <c r="D779" i="3"/>
  <c r="B779" i="3"/>
  <c r="C779" i="3" s="1"/>
  <c r="A781" i="3" l="1"/>
  <c r="B780" i="3"/>
  <c r="C780" i="3" s="1"/>
  <c r="D780" i="3"/>
  <c r="A782" i="3" l="1"/>
  <c r="D781" i="3"/>
  <c r="B781" i="3"/>
  <c r="C781" i="3" s="1"/>
  <c r="A783" i="3" l="1"/>
  <c r="B782" i="3"/>
  <c r="C782" i="3" s="1"/>
  <c r="D782" i="3"/>
  <c r="A784" i="3" l="1"/>
  <c r="D783" i="3"/>
  <c r="B783" i="3"/>
  <c r="C783" i="3" s="1"/>
  <c r="A785" i="3" l="1"/>
  <c r="B784" i="3"/>
  <c r="C784" i="3" s="1"/>
  <c r="D784" i="3"/>
  <c r="A786" i="3" l="1"/>
  <c r="D785" i="3"/>
  <c r="B785" i="3"/>
  <c r="C785" i="3" s="1"/>
  <c r="A787" i="3" l="1"/>
  <c r="B786" i="3"/>
  <c r="C786" i="3" s="1"/>
  <c r="D786" i="3"/>
  <c r="A788" i="3" l="1"/>
  <c r="D787" i="3"/>
  <c r="B787" i="3"/>
  <c r="C787" i="3" s="1"/>
  <c r="A789" i="3" l="1"/>
  <c r="B788" i="3"/>
  <c r="C788" i="3" s="1"/>
  <c r="D788" i="3"/>
  <c r="A790" i="3" l="1"/>
  <c r="D789" i="3"/>
  <c r="B789" i="3"/>
  <c r="C789" i="3" s="1"/>
  <c r="A791" i="3" l="1"/>
  <c r="B790" i="3"/>
  <c r="C790" i="3" s="1"/>
  <c r="D790" i="3"/>
  <c r="A792" i="3" l="1"/>
  <c r="D791" i="3"/>
  <c r="B791" i="3"/>
  <c r="C791" i="3" s="1"/>
  <c r="A793" i="3" l="1"/>
  <c r="B792" i="3"/>
  <c r="C792" i="3" s="1"/>
  <c r="D792" i="3"/>
  <c r="A794" i="3" l="1"/>
  <c r="D793" i="3"/>
  <c r="B793" i="3"/>
  <c r="C793" i="3" s="1"/>
  <c r="A795" i="3" l="1"/>
  <c r="B794" i="3"/>
  <c r="C794" i="3" s="1"/>
  <c r="D794" i="3"/>
  <c r="A796" i="3" l="1"/>
  <c r="D795" i="3"/>
  <c r="B795" i="3"/>
  <c r="C795" i="3" s="1"/>
  <c r="A797" i="3" l="1"/>
  <c r="B796" i="3"/>
  <c r="C796" i="3" s="1"/>
  <c r="D796" i="3"/>
  <c r="A798" i="3" l="1"/>
  <c r="D797" i="3"/>
  <c r="B797" i="3"/>
  <c r="C797" i="3" s="1"/>
  <c r="A799" i="3" l="1"/>
  <c r="B798" i="3"/>
  <c r="C798" i="3" s="1"/>
  <c r="D798" i="3"/>
  <c r="A800" i="3" l="1"/>
  <c r="D799" i="3"/>
  <c r="B799" i="3"/>
  <c r="C799" i="3" s="1"/>
  <c r="A801" i="3" l="1"/>
  <c r="B800" i="3"/>
  <c r="C800" i="3" s="1"/>
  <c r="D800" i="3"/>
  <c r="A802" i="3" l="1"/>
  <c r="D801" i="3"/>
  <c r="B801" i="3"/>
  <c r="C801" i="3" s="1"/>
  <c r="A803" i="3" l="1"/>
  <c r="B802" i="3"/>
  <c r="C802" i="3" s="1"/>
  <c r="D802" i="3"/>
  <c r="A804" i="3" l="1"/>
  <c r="D803" i="3"/>
  <c r="B803" i="3"/>
  <c r="C803" i="3" s="1"/>
  <c r="A805" i="3" l="1"/>
  <c r="B804" i="3"/>
  <c r="C804" i="3" s="1"/>
  <c r="D804" i="3"/>
  <c r="A806" i="3" l="1"/>
  <c r="D805" i="3"/>
  <c r="B805" i="3"/>
  <c r="C805" i="3" s="1"/>
  <c r="A807" i="3" l="1"/>
  <c r="B806" i="3"/>
  <c r="C806" i="3" s="1"/>
  <c r="D806" i="3"/>
  <c r="A808" i="3" l="1"/>
  <c r="D807" i="3"/>
  <c r="B807" i="3"/>
  <c r="C807" i="3" s="1"/>
  <c r="A809" i="3" l="1"/>
  <c r="B808" i="3"/>
  <c r="C808" i="3" s="1"/>
  <c r="D808" i="3"/>
  <c r="A810" i="3" l="1"/>
  <c r="D809" i="3"/>
  <c r="B809" i="3"/>
  <c r="C809" i="3" s="1"/>
  <c r="A811" i="3" l="1"/>
  <c r="B810" i="3"/>
  <c r="C810" i="3" s="1"/>
  <c r="D810" i="3"/>
  <c r="A812" i="3" l="1"/>
  <c r="D811" i="3"/>
  <c r="B811" i="3"/>
  <c r="C811" i="3" s="1"/>
  <c r="A813" i="3" l="1"/>
  <c r="B812" i="3"/>
  <c r="C812" i="3" s="1"/>
  <c r="D812" i="3"/>
  <c r="A814" i="3" l="1"/>
  <c r="D813" i="3"/>
  <c r="B813" i="3"/>
  <c r="C813" i="3" s="1"/>
  <c r="A815" i="3" l="1"/>
  <c r="B814" i="3"/>
  <c r="C814" i="3" s="1"/>
  <c r="D814" i="3"/>
  <c r="A816" i="3" l="1"/>
  <c r="D815" i="3"/>
  <c r="B815" i="3"/>
  <c r="C815" i="3" s="1"/>
  <c r="A817" i="3" l="1"/>
  <c r="B816" i="3"/>
  <c r="C816" i="3" s="1"/>
  <c r="D816" i="3"/>
  <c r="A818" i="3" l="1"/>
  <c r="D817" i="3"/>
  <c r="B817" i="3"/>
  <c r="C817" i="3" s="1"/>
  <c r="A819" i="3" l="1"/>
  <c r="B818" i="3"/>
  <c r="C818" i="3" s="1"/>
  <c r="D818" i="3"/>
  <c r="A820" i="3" l="1"/>
  <c r="D819" i="3"/>
  <c r="B819" i="3"/>
  <c r="C819" i="3" s="1"/>
  <c r="A821" i="3" l="1"/>
  <c r="B820" i="3"/>
  <c r="C820" i="3" s="1"/>
  <c r="D820" i="3"/>
  <c r="A822" i="3" l="1"/>
  <c r="D821" i="3"/>
  <c r="B821" i="3"/>
  <c r="C821" i="3" s="1"/>
  <c r="A823" i="3" l="1"/>
  <c r="B822" i="3"/>
  <c r="C822" i="3" s="1"/>
  <c r="D822" i="3"/>
  <c r="A824" i="3" l="1"/>
  <c r="D823" i="3"/>
  <c r="B823" i="3"/>
  <c r="C823" i="3" s="1"/>
  <c r="A825" i="3" l="1"/>
  <c r="B824" i="3"/>
  <c r="C824" i="3" s="1"/>
  <c r="D824" i="3"/>
  <c r="A826" i="3" l="1"/>
  <c r="D825" i="3"/>
  <c r="B825" i="3"/>
  <c r="C825" i="3" s="1"/>
  <c r="A827" i="3" l="1"/>
  <c r="B826" i="3"/>
  <c r="C826" i="3" s="1"/>
  <c r="D826" i="3"/>
  <c r="A828" i="3" l="1"/>
  <c r="D827" i="3"/>
  <c r="B827" i="3"/>
  <c r="C827" i="3" s="1"/>
  <c r="A829" i="3" l="1"/>
  <c r="B828" i="3"/>
  <c r="C828" i="3" s="1"/>
  <c r="D828" i="3"/>
  <c r="A830" i="3" l="1"/>
  <c r="D829" i="3"/>
  <c r="B829" i="3"/>
  <c r="C829" i="3" s="1"/>
  <c r="A831" i="3" l="1"/>
  <c r="B830" i="3"/>
  <c r="C830" i="3" s="1"/>
  <c r="D830" i="3"/>
  <c r="A832" i="3" l="1"/>
  <c r="D831" i="3"/>
  <c r="B831" i="3"/>
  <c r="C831" i="3" s="1"/>
  <c r="A833" i="3" l="1"/>
  <c r="B832" i="3"/>
  <c r="C832" i="3" s="1"/>
  <c r="D832" i="3"/>
  <c r="A834" i="3" l="1"/>
  <c r="D833" i="3"/>
  <c r="B833" i="3"/>
  <c r="C833" i="3" s="1"/>
  <c r="A835" i="3" l="1"/>
  <c r="B834" i="3"/>
  <c r="C834" i="3" s="1"/>
  <c r="D834" i="3"/>
  <c r="A836" i="3" l="1"/>
  <c r="D835" i="3"/>
  <c r="B835" i="3"/>
  <c r="C835" i="3" s="1"/>
  <c r="A837" i="3" l="1"/>
  <c r="B836" i="3"/>
  <c r="C836" i="3" s="1"/>
  <c r="D836" i="3"/>
  <c r="A838" i="3" l="1"/>
  <c r="D837" i="3"/>
  <c r="B837" i="3"/>
  <c r="C837" i="3" s="1"/>
  <c r="A839" i="3" l="1"/>
  <c r="B838" i="3"/>
  <c r="C838" i="3" s="1"/>
  <c r="D838" i="3"/>
  <c r="A840" i="3" l="1"/>
  <c r="D839" i="3"/>
  <c r="B839" i="3"/>
  <c r="C839" i="3" s="1"/>
  <c r="A841" i="3" l="1"/>
  <c r="B840" i="3"/>
  <c r="C840" i="3" s="1"/>
  <c r="D840" i="3"/>
  <c r="A842" i="3" l="1"/>
  <c r="D841" i="3"/>
  <c r="B841" i="3"/>
  <c r="C841" i="3" s="1"/>
  <c r="A843" i="3" l="1"/>
  <c r="B842" i="3"/>
  <c r="C842" i="3" s="1"/>
  <c r="D842" i="3"/>
  <c r="A844" i="3" l="1"/>
  <c r="D843" i="3"/>
  <c r="B843" i="3"/>
  <c r="C843" i="3" s="1"/>
  <c r="A845" i="3" l="1"/>
  <c r="B844" i="3"/>
  <c r="C844" i="3" s="1"/>
  <c r="D844" i="3"/>
  <c r="A846" i="3" l="1"/>
  <c r="D845" i="3"/>
  <c r="B845" i="3"/>
  <c r="C845" i="3" s="1"/>
  <c r="A847" i="3" l="1"/>
  <c r="B846" i="3"/>
  <c r="C846" i="3" s="1"/>
  <c r="D846" i="3"/>
  <c r="A848" i="3" l="1"/>
  <c r="D847" i="3"/>
  <c r="B847" i="3"/>
  <c r="C847" i="3" s="1"/>
  <c r="A849" i="3" l="1"/>
  <c r="B848" i="3"/>
  <c r="C848" i="3" s="1"/>
  <c r="D848" i="3"/>
  <c r="A850" i="3" l="1"/>
  <c r="D849" i="3"/>
  <c r="B849" i="3"/>
  <c r="C849" i="3" s="1"/>
  <c r="A851" i="3" l="1"/>
  <c r="B850" i="3"/>
  <c r="C850" i="3" s="1"/>
  <c r="D850" i="3"/>
  <c r="A852" i="3" l="1"/>
  <c r="D851" i="3"/>
  <c r="B851" i="3"/>
  <c r="C851" i="3" s="1"/>
  <c r="A853" i="3" l="1"/>
  <c r="B852" i="3"/>
  <c r="C852" i="3" s="1"/>
  <c r="D852" i="3"/>
  <c r="A854" i="3" l="1"/>
  <c r="D853" i="3"/>
  <c r="B853" i="3"/>
  <c r="C853" i="3" s="1"/>
  <c r="A855" i="3" l="1"/>
  <c r="B854" i="3"/>
  <c r="C854" i="3" s="1"/>
  <c r="D854" i="3"/>
  <c r="A856" i="3" l="1"/>
  <c r="D855" i="3"/>
  <c r="B855" i="3"/>
  <c r="C855" i="3" s="1"/>
  <c r="A857" i="3" l="1"/>
  <c r="B856" i="3"/>
  <c r="C856" i="3" s="1"/>
  <c r="D856" i="3"/>
  <c r="A858" i="3" l="1"/>
  <c r="D857" i="3"/>
  <c r="B857" i="3"/>
  <c r="C857" i="3" s="1"/>
  <c r="A859" i="3" l="1"/>
  <c r="B858" i="3"/>
  <c r="C858" i="3" s="1"/>
  <c r="D858" i="3"/>
  <c r="A860" i="3" l="1"/>
  <c r="D859" i="3"/>
  <c r="B859" i="3"/>
  <c r="C859" i="3" s="1"/>
  <c r="A861" i="3" l="1"/>
  <c r="B860" i="3"/>
  <c r="C860" i="3" s="1"/>
  <c r="D860" i="3"/>
  <c r="A862" i="3" l="1"/>
  <c r="D861" i="3"/>
  <c r="B861" i="3"/>
  <c r="C861" i="3" s="1"/>
  <c r="A863" i="3" l="1"/>
  <c r="B862" i="3"/>
  <c r="C862" i="3" s="1"/>
  <c r="D862" i="3"/>
  <c r="A864" i="3" l="1"/>
  <c r="D863" i="3"/>
  <c r="B863" i="3"/>
  <c r="C863" i="3" s="1"/>
  <c r="A865" i="3" l="1"/>
  <c r="B864" i="3"/>
  <c r="C864" i="3" s="1"/>
  <c r="D864" i="3"/>
  <c r="A866" i="3" l="1"/>
  <c r="D865" i="3"/>
  <c r="B865" i="3"/>
  <c r="C865" i="3" s="1"/>
  <c r="A867" i="3" l="1"/>
  <c r="B866" i="3"/>
  <c r="C866" i="3" s="1"/>
  <c r="D866" i="3"/>
  <c r="A868" i="3" l="1"/>
  <c r="D867" i="3"/>
  <c r="B867" i="3"/>
  <c r="C867" i="3" s="1"/>
  <c r="A869" i="3" l="1"/>
  <c r="B868" i="3"/>
  <c r="C868" i="3" s="1"/>
  <c r="D868" i="3"/>
  <c r="A870" i="3" l="1"/>
  <c r="D869" i="3"/>
  <c r="B869" i="3"/>
  <c r="C869" i="3" s="1"/>
  <c r="A871" i="3" l="1"/>
  <c r="B870" i="3"/>
  <c r="C870" i="3" s="1"/>
  <c r="D870" i="3"/>
  <c r="A872" i="3" l="1"/>
  <c r="D871" i="3"/>
  <c r="B871" i="3"/>
  <c r="C871" i="3" s="1"/>
  <c r="A873" i="3" l="1"/>
  <c r="B872" i="3"/>
  <c r="C872" i="3" s="1"/>
  <c r="D872" i="3"/>
  <c r="A874" i="3" l="1"/>
  <c r="D873" i="3"/>
  <c r="B873" i="3"/>
  <c r="C873" i="3" s="1"/>
  <c r="A875" i="3" l="1"/>
  <c r="B874" i="3"/>
  <c r="C874" i="3" s="1"/>
  <c r="D874" i="3"/>
  <c r="A876" i="3" l="1"/>
  <c r="D875" i="3"/>
  <c r="B875" i="3"/>
  <c r="C875" i="3" s="1"/>
  <c r="A877" i="3" l="1"/>
  <c r="B876" i="3"/>
  <c r="C876" i="3" s="1"/>
  <c r="D876" i="3"/>
  <c r="A878" i="3" l="1"/>
  <c r="D877" i="3"/>
  <c r="B877" i="3"/>
  <c r="C877" i="3" s="1"/>
  <c r="A879" i="3" l="1"/>
  <c r="B878" i="3"/>
  <c r="C878" i="3" s="1"/>
  <c r="D878" i="3"/>
  <c r="A880" i="3" l="1"/>
  <c r="D879" i="3"/>
  <c r="B879" i="3"/>
  <c r="C879" i="3" s="1"/>
  <c r="A881" i="3" l="1"/>
  <c r="B880" i="3"/>
  <c r="C880" i="3" s="1"/>
  <c r="D880" i="3"/>
  <c r="A882" i="3" l="1"/>
  <c r="D881" i="3"/>
  <c r="B881" i="3"/>
  <c r="C881" i="3" s="1"/>
  <c r="A883" i="3" l="1"/>
  <c r="B882" i="3"/>
  <c r="C882" i="3" s="1"/>
  <c r="D882" i="3"/>
  <c r="A884" i="3" l="1"/>
  <c r="D883" i="3"/>
  <c r="B883" i="3"/>
  <c r="C883" i="3" s="1"/>
  <c r="A885" i="3" l="1"/>
  <c r="B884" i="3"/>
  <c r="C884" i="3" s="1"/>
  <c r="D884" i="3"/>
  <c r="A886" i="3" l="1"/>
  <c r="D885" i="3"/>
  <c r="B885" i="3"/>
  <c r="C885" i="3" s="1"/>
  <c r="A887" i="3" l="1"/>
  <c r="B886" i="3"/>
  <c r="C886" i="3" s="1"/>
  <c r="D886" i="3"/>
  <c r="A888" i="3" l="1"/>
  <c r="D887" i="3"/>
  <c r="B887" i="3"/>
  <c r="C887" i="3" s="1"/>
  <c r="A889" i="3" l="1"/>
  <c r="B888" i="3"/>
  <c r="C888" i="3" s="1"/>
  <c r="D888" i="3"/>
  <c r="A890" i="3" l="1"/>
  <c r="D889" i="3"/>
  <c r="B889" i="3"/>
  <c r="C889" i="3" s="1"/>
  <c r="A891" i="3" l="1"/>
  <c r="B890" i="3"/>
  <c r="C890" i="3" s="1"/>
  <c r="D890" i="3"/>
  <c r="A892" i="3" l="1"/>
  <c r="D891" i="3"/>
  <c r="B891" i="3"/>
  <c r="C891" i="3" s="1"/>
  <c r="A893" i="3" l="1"/>
  <c r="B892" i="3"/>
  <c r="C892" i="3" s="1"/>
  <c r="D892" i="3"/>
  <c r="A894" i="3" l="1"/>
  <c r="D893" i="3"/>
  <c r="B893" i="3"/>
  <c r="C893" i="3" s="1"/>
  <c r="A895" i="3" l="1"/>
  <c r="B894" i="3"/>
  <c r="C894" i="3" s="1"/>
  <c r="D894" i="3"/>
  <c r="A896" i="3" l="1"/>
  <c r="D895" i="3"/>
  <c r="B895" i="3"/>
  <c r="C895" i="3" s="1"/>
  <c r="A897" i="3" l="1"/>
  <c r="B896" i="3"/>
  <c r="C896" i="3" s="1"/>
  <c r="D896" i="3"/>
  <c r="A898" i="3" l="1"/>
  <c r="D897" i="3"/>
  <c r="B897" i="3"/>
  <c r="C897" i="3" s="1"/>
  <c r="A899" i="3" l="1"/>
  <c r="B898" i="3"/>
  <c r="C898" i="3" s="1"/>
  <c r="D898" i="3"/>
  <c r="A900" i="3" l="1"/>
  <c r="D899" i="3"/>
  <c r="B899" i="3"/>
  <c r="C899" i="3" s="1"/>
  <c r="A901" i="3" l="1"/>
  <c r="B900" i="3"/>
  <c r="C900" i="3" s="1"/>
  <c r="D900" i="3"/>
  <c r="A902" i="3" l="1"/>
  <c r="D901" i="3"/>
  <c r="B901" i="3"/>
  <c r="C901" i="3" s="1"/>
  <c r="A903" i="3" l="1"/>
  <c r="B902" i="3"/>
  <c r="C902" i="3" s="1"/>
  <c r="D902" i="3"/>
  <c r="A904" i="3" l="1"/>
  <c r="D903" i="3"/>
  <c r="B903" i="3"/>
  <c r="C903" i="3" s="1"/>
  <c r="A905" i="3" l="1"/>
  <c r="B904" i="3"/>
  <c r="C904" i="3" s="1"/>
  <c r="D904" i="3"/>
  <c r="A906" i="3" l="1"/>
  <c r="D905" i="3"/>
  <c r="B905" i="3"/>
  <c r="C905" i="3" s="1"/>
  <c r="A907" i="3" l="1"/>
  <c r="B906" i="3"/>
  <c r="C906" i="3" s="1"/>
  <c r="D906" i="3"/>
  <c r="A908" i="3" l="1"/>
  <c r="D907" i="3"/>
  <c r="B907" i="3"/>
  <c r="C907" i="3" s="1"/>
  <c r="A909" i="3" l="1"/>
  <c r="B908" i="3"/>
  <c r="C908" i="3" s="1"/>
  <c r="D908" i="3"/>
  <c r="A910" i="3" l="1"/>
  <c r="D909" i="3"/>
  <c r="B909" i="3"/>
  <c r="C909" i="3" s="1"/>
  <c r="A911" i="3" l="1"/>
  <c r="B910" i="3"/>
  <c r="C910" i="3" s="1"/>
  <c r="D910" i="3"/>
  <c r="A912" i="3" l="1"/>
  <c r="D911" i="3"/>
  <c r="B911" i="3"/>
  <c r="C911" i="3" s="1"/>
  <c r="A913" i="3" l="1"/>
  <c r="B912" i="3"/>
  <c r="C912" i="3" s="1"/>
  <c r="D912" i="3"/>
  <c r="A914" i="3" l="1"/>
  <c r="D913" i="3"/>
  <c r="B913" i="3"/>
  <c r="C913" i="3" s="1"/>
  <c r="A915" i="3" l="1"/>
  <c r="B914" i="3"/>
  <c r="C914" i="3" s="1"/>
  <c r="D914" i="3"/>
  <c r="A916" i="3" l="1"/>
  <c r="D915" i="3"/>
  <c r="B915" i="3"/>
  <c r="C915" i="3" s="1"/>
  <c r="A917" i="3" l="1"/>
  <c r="B916" i="3"/>
  <c r="C916" i="3" s="1"/>
  <c r="D916" i="3"/>
  <c r="A918" i="3" l="1"/>
  <c r="D917" i="3"/>
  <c r="B917" i="3"/>
  <c r="C917" i="3" s="1"/>
  <c r="A919" i="3" l="1"/>
  <c r="B918" i="3"/>
  <c r="C918" i="3" s="1"/>
  <c r="D918" i="3"/>
  <c r="A920" i="3" l="1"/>
  <c r="D919" i="3"/>
  <c r="B919" i="3"/>
  <c r="C919" i="3" s="1"/>
  <c r="A921" i="3" l="1"/>
  <c r="B920" i="3"/>
  <c r="C920" i="3" s="1"/>
  <c r="D920" i="3"/>
  <c r="A922" i="3" l="1"/>
  <c r="D921" i="3"/>
  <c r="B921" i="3"/>
  <c r="C921" i="3" s="1"/>
  <c r="A923" i="3" l="1"/>
  <c r="B922" i="3"/>
  <c r="C922" i="3" s="1"/>
  <c r="D922" i="3"/>
  <c r="A924" i="3" l="1"/>
  <c r="D923" i="3"/>
  <c r="B923" i="3"/>
  <c r="C923" i="3" s="1"/>
  <c r="A925" i="3" l="1"/>
  <c r="B924" i="3"/>
  <c r="C924" i="3" s="1"/>
  <c r="D924" i="3"/>
  <c r="A926" i="3" l="1"/>
  <c r="D925" i="3"/>
  <c r="B925" i="3"/>
  <c r="C925" i="3" s="1"/>
  <c r="A927" i="3" l="1"/>
  <c r="B926" i="3"/>
  <c r="C926" i="3" s="1"/>
  <c r="D926" i="3"/>
  <c r="A928" i="3" l="1"/>
  <c r="D927" i="3"/>
  <c r="B927" i="3"/>
  <c r="C927" i="3" s="1"/>
  <c r="A929" i="3" l="1"/>
  <c r="B928" i="3"/>
  <c r="C928" i="3" s="1"/>
  <c r="D928" i="3"/>
  <c r="A930" i="3" l="1"/>
  <c r="D929" i="3"/>
  <c r="B929" i="3"/>
  <c r="C929" i="3" s="1"/>
  <c r="A931" i="3" l="1"/>
  <c r="B930" i="3"/>
  <c r="C930" i="3" s="1"/>
  <c r="D930" i="3"/>
  <c r="A932" i="3" l="1"/>
  <c r="D931" i="3"/>
  <c r="B931" i="3"/>
  <c r="C931" i="3" s="1"/>
  <c r="A933" i="3" l="1"/>
  <c r="B932" i="3"/>
  <c r="C932" i="3" s="1"/>
  <c r="D932" i="3"/>
  <c r="A934" i="3" l="1"/>
  <c r="D933" i="3"/>
  <c r="B933" i="3"/>
  <c r="C933" i="3" s="1"/>
  <c r="A935" i="3" l="1"/>
  <c r="B934" i="3"/>
  <c r="C934" i="3" s="1"/>
  <c r="D934" i="3"/>
  <c r="A936" i="3" l="1"/>
  <c r="D935" i="3"/>
  <c r="B935" i="3"/>
  <c r="C935" i="3" s="1"/>
  <c r="A937" i="3" l="1"/>
  <c r="B936" i="3"/>
  <c r="C936" i="3" s="1"/>
  <c r="D936" i="3"/>
  <c r="A938" i="3" l="1"/>
  <c r="D937" i="3"/>
  <c r="B937" i="3"/>
  <c r="C937" i="3" s="1"/>
  <c r="A939" i="3" l="1"/>
  <c r="B938" i="3"/>
  <c r="C938" i="3" s="1"/>
  <c r="D938" i="3"/>
  <c r="A940" i="3" l="1"/>
  <c r="D939" i="3"/>
  <c r="B939" i="3"/>
  <c r="C939" i="3" s="1"/>
  <c r="A941" i="3" l="1"/>
  <c r="B940" i="3"/>
  <c r="C940" i="3" s="1"/>
  <c r="D940" i="3"/>
  <c r="A942" i="3" l="1"/>
  <c r="D941" i="3"/>
  <c r="B941" i="3"/>
  <c r="C941" i="3" s="1"/>
  <c r="A943" i="3" l="1"/>
  <c r="B942" i="3"/>
  <c r="C942" i="3" s="1"/>
  <c r="D942" i="3"/>
  <c r="A944" i="3" l="1"/>
  <c r="D943" i="3"/>
  <c r="B943" i="3"/>
  <c r="C943" i="3" s="1"/>
  <c r="A945" i="3" l="1"/>
  <c r="B944" i="3"/>
  <c r="C944" i="3" s="1"/>
  <c r="D944" i="3"/>
  <c r="A946" i="3" l="1"/>
  <c r="D945" i="3"/>
  <c r="B945" i="3"/>
  <c r="C945" i="3" s="1"/>
  <c r="A947" i="3" l="1"/>
  <c r="B946" i="3"/>
  <c r="C946" i="3" s="1"/>
  <c r="D946" i="3"/>
  <c r="A948" i="3" l="1"/>
  <c r="D947" i="3"/>
  <c r="B947" i="3"/>
  <c r="C947" i="3" s="1"/>
  <c r="A949" i="3" l="1"/>
  <c r="B948" i="3"/>
  <c r="C948" i="3" s="1"/>
  <c r="D948" i="3"/>
  <c r="A950" i="3" l="1"/>
  <c r="D949" i="3"/>
  <c r="B949" i="3"/>
  <c r="C949" i="3" s="1"/>
  <c r="A951" i="3" l="1"/>
  <c r="B950" i="3"/>
  <c r="C950" i="3" s="1"/>
  <c r="D950" i="3"/>
  <c r="A952" i="3" l="1"/>
  <c r="D951" i="3"/>
  <c r="B951" i="3"/>
  <c r="C951" i="3" s="1"/>
  <c r="A953" i="3" l="1"/>
  <c r="B952" i="3"/>
  <c r="C952" i="3" s="1"/>
  <c r="D952" i="3"/>
  <c r="A954" i="3" l="1"/>
  <c r="D953" i="3"/>
  <c r="B953" i="3"/>
  <c r="C953" i="3" s="1"/>
  <c r="A955" i="3" l="1"/>
  <c r="B954" i="3"/>
  <c r="C954" i="3" s="1"/>
  <c r="D954" i="3"/>
  <c r="A956" i="3" l="1"/>
  <c r="D955" i="3"/>
  <c r="B955" i="3"/>
  <c r="C955" i="3" s="1"/>
  <c r="A957" i="3" l="1"/>
  <c r="B956" i="3"/>
  <c r="C956" i="3" s="1"/>
  <c r="D956" i="3"/>
  <c r="A958" i="3" l="1"/>
  <c r="D957" i="3"/>
  <c r="B957" i="3"/>
  <c r="C957" i="3" s="1"/>
  <c r="A959" i="3" l="1"/>
  <c r="B958" i="3"/>
  <c r="C958" i="3" s="1"/>
  <c r="D958" i="3"/>
  <c r="A960" i="3" l="1"/>
  <c r="D959" i="3"/>
  <c r="B959" i="3"/>
  <c r="C959" i="3" s="1"/>
  <c r="A961" i="3" l="1"/>
  <c r="B960" i="3"/>
  <c r="C960" i="3" s="1"/>
  <c r="D960" i="3"/>
  <c r="A962" i="3" l="1"/>
  <c r="D961" i="3"/>
  <c r="B961" i="3"/>
  <c r="C961" i="3" s="1"/>
  <c r="A963" i="3" l="1"/>
  <c r="B962" i="3"/>
  <c r="C962" i="3" s="1"/>
  <c r="D962" i="3"/>
  <c r="A964" i="3" l="1"/>
  <c r="D963" i="3"/>
  <c r="B963" i="3"/>
  <c r="C963" i="3" s="1"/>
  <c r="A965" i="3" l="1"/>
  <c r="B964" i="3"/>
  <c r="C964" i="3" s="1"/>
  <c r="D964" i="3"/>
  <c r="A966" i="3" l="1"/>
  <c r="D965" i="3"/>
  <c r="B965" i="3"/>
  <c r="C965" i="3" s="1"/>
  <c r="A967" i="3" l="1"/>
  <c r="B966" i="3"/>
  <c r="C966" i="3" s="1"/>
  <c r="D966" i="3"/>
  <c r="A968" i="3" l="1"/>
  <c r="D967" i="3"/>
  <c r="B967" i="3"/>
  <c r="C967" i="3" s="1"/>
  <c r="A969" i="3" l="1"/>
  <c r="B968" i="3"/>
  <c r="C968" i="3" s="1"/>
  <c r="D968" i="3"/>
  <c r="A970" i="3" l="1"/>
  <c r="D969" i="3"/>
  <c r="B969" i="3"/>
  <c r="C969" i="3" s="1"/>
  <c r="A971" i="3" l="1"/>
  <c r="B970" i="3"/>
  <c r="C970" i="3" s="1"/>
  <c r="D970" i="3"/>
  <c r="A972" i="3" l="1"/>
  <c r="D971" i="3"/>
  <c r="B971" i="3"/>
  <c r="C971" i="3" s="1"/>
  <c r="A973" i="3" l="1"/>
  <c r="B972" i="3"/>
  <c r="C972" i="3" s="1"/>
  <c r="D972" i="3"/>
  <c r="A974" i="3" l="1"/>
  <c r="D973" i="3"/>
  <c r="B973" i="3"/>
  <c r="C973" i="3" s="1"/>
  <c r="A975" i="3" l="1"/>
  <c r="B974" i="3"/>
  <c r="C974" i="3" s="1"/>
  <c r="D974" i="3"/>
  <c r="A976" i="3" l="1"/>
  <c r="D975" i="3"/>
  <c r="B975" i="3"/>
  <c r="C975" i="3" s="1"/>
  <c r="A977" i="3" l="1"/>
  <c r="B976" i="3"/>
  <c r="C976" i="3" s="1"/>
  <c r="D976" i="3"/>
  <c r="A978" i="3" l="1"/>
  <c r="D977" i="3"/>
  <c r="B977" i="3"/>
  <c r="C977" i="3" s="1"/>
  <c r="A979" i="3" l="1"/>
  <c r="B978" i="3"/>
  <c r="C978" i="3" s="1"/>
  <c r="D978" i="3"/>
  <c r="A980" i="3" l="1"/>
  <c r="D979" i="3"/>
  <c r="B979" i="3"/>
  <c r="C979" i="3" s="1"/>
  <c r="A981" i="3" l="1"/>
  <c r="B980" i="3"/>
  <c r="C980" i="3" s="1"/>
  <c r="D980" i="3"/>
  <c r="A982" i="3" l="1"/>
  <c r="D981" i="3"/>
  <c r="B981" i="3"/>
  <c r="C981" i="3" s="1"/>
  <c r="A983" i="3" l="1"/>
  <c r="B982" i="3"/>
  <c r="C982" i="3" s="1"/>
  <c r="D982" i="3"/>
  <c r="A984" i="3" l="1"/>
  <c r="D983" i="3"/>
  <c r="B983" i="3"/>
  <c r="C983" i="3" s="1"/>
  <c r="A985" i="3" l="1"/>
  <c r="B984" i="3"/>
  <c r="C984" i="3" s="1"/>
  <c r="D984" i="3"/>
  <c r="A986" i="3" l="1"/>
  <c r="D985" i="3"/>
  <c r="B985" i="3"/>
  <c r="C985" i="3" s="1"/>
  <c r="A987" i="3" l="1"/>
  <c r="B986" i="3"/>
  <c r="C986" i="3" s="1"/>
  <c r="D986" i="3"/>
  <c r="A988" i="3" l="1"/>
  <c r="D987" i="3"/>
  <c r="B987" i="3"/>
  <c r="C987" i="3" s="1"/>
  <c r="A989" i="3" l="1"/>
  <c r="B988" i="3"/>
  <c r="C988" i="3" s="1"/>
  <c r="D988" i="3"/>
  <c r="A990" i="3" l="1"/>
  <c r="D989" i="3"/>
  <c r="B989" i="3"/>
  <c r="C989" i="3" s="1"/>
  <c r="A991" i="3" l="1"/>
  <c r="B990" i="3"/>
  <c r="C990" i="3" s="1"/>
  <c r="D990" i="3"/>
  <c r="A992" i="3" l="1"/>
  <c r="D991" i="3"/>
  <c r="B991" i="3"/>
  <c r="C991" i="3" s="1"/>
  <c r="A993" i="3" l="1"/>
  <c r="B992" i="3"/>
  <c r="C992" i="3" s="1"/>
  <c r="D992" i="3"/>
  <c r="A994" i="3" l="1"/>
  <c r="D993" i="3"/>
  <c r="B993" i="3"/>
  <c r="C993" i="3" s="1"/>
  <c r="A995" i="3" l="1"/>
  <c r="B994" i="3"/>
  <c r="C994" i="3" s="1"/>
  <c r="D994" i="3"/>
  <c r="A996" i="3" l="1"/>
  <c r="D995" i="3"/>
  <c r="B995" i="3"/>
  <c r="C995" i="3" s="1"/>
  <c r="A997" i="3" l="1"/>
  <c r="B996" i="3"/>
  <c r="C996" i="3" s="1"/>
  <c r="D996" i="3"/>
  <c r="A998" i="3" l="1"/>
  <c r="D997" i="3"/>
  <c r="B997" i="3"/>
  <c r="C997" i="3" s="1"/>
  <c r="A999" i="3" l="1"/>
  <c r="B998" i="3"/>
  <c r="C998" i="3" s="1"/>
  <c r="D998" i="3"/>
  <c r="A1000" i="3" l="1"/>
  <c r="D999" i="3"/>
  <c r="B999" i="3"/>
  <c r="C999" i="3" s="1"/>
  <c r="B1000" i="3" l="1"/>
  <c r="B1001" i="3" s="1"/>
  <c r="D1000" i="3"/>
  <c r="C1000" i="3" l="1"/>
</calcChain>
</file>

<file path=xl/sharedStrings.xml><?xml version="1.0" encoding="utf-8"?>
<sst xmlns="http://schemas.openxmlformats.org/spreadsheetml/2006/main" count="10" uniqueCount="9">
  <si>
    <t>Frekvensfunktionen virker kun for Word 2010</t>
  </si>
  <si>
    <t>x</t>
  </si>
  <si>
    <t>Goodness of fit</t>
  </si>
  <si>
    <t>Obs. Fordeling</t>
  </si>
  <si>
    <t>Forventet fordeling</t>
  </si>
  <si>
    <t>χ²-værdi:</t>
  </si>
  <si>
    <t>P-værdi:</t>
  </si>
  <si>
    <r>
      <t xml:space="preserve">Hjælp til Goodness of fit </t>
    </r>
    <r>
      <rPr>
        <b/>
        <sz val="11"/>
        <color theme="1"/>
        <rFont val="Calibri"/>
        <family val="2"/>
      </rPr>
      <t>χ²-</t>
    </r>
    <r>
      <rPr>
        <b/>
        <sz val="11"/>
        <color theme="1"/>
        <rFont val="Calibri"/>
        <family val="2"/>
        <scheme val="minor"/>
      </rPr>
      <t>fordeling</t>
    </r>
  </si>
  <si>
    <t>Xmaks: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</si>
</sst>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9" fontId="0" fillId="0" borderId="0" xfId="1" applyFont="1"/>
    <xf numFmtId="9" fontId="0" fillId="0" borderId="0" xfId="0" applyNumberFormat="1"/>
    <xf numFmtId="0" fontId="0" fillId="0" borderId="2" xfId="0" applyBorder="1"/>
    <xf numFmtId="0" fontId="6" fillId="0" borderId="0" xfId="0" applyFont="1"/>
    <xf numFmtId="0" fontId="0" fillId="0" borderId="0" xfId="0" applyBorder="1" applyAlignment="1">
      <alignment horizontal="right"/>
    </xf>
    <xf numFmtId="0" fontId="0" fillId="0" borderId="0" xfId="0" applyBorder="1"/>
    <xf numFmtId="0" fontId="5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9" fontId="0" fillId="0" borderId="0" xfId="1" applyFont="1" applyBorder="1"/>
    <xf numFmtId="0" fontId="2" fillId="0" borderId="0" xfId="0" applyFont="1" applyBorder="1"/>
    <xf numFmtId="9" fontId="2" fillId="0" borderId="0" xfId="1" applyFont="1" applyBorder="1"/>
    <xf numFmtId="0" fontId="0" fillId="0" borderId="3" xfId="0" applyBorder="1"/>
    <xf numFmtId="0" fontId="0" fillId="0" borderId="4" xfId="0" applyBorder="1" applyAlignment="1">
      <alignment wrapText="1"/>
    </xf>
    <xf numFmtId="9" fontId="0" fillId="0" borderId="1" xfId="0" applyNumberFormat="1" applyBorder="1" applyAlignment="1">
      <alignment wrapText="1"/>
    </xf>
    <xf numFmtId="0" fontId="7" fillId="0" borderId="0" xfId="0" applyFont="1" applyBorder="1" applyAlignment="1">
      <alignment horizontal="right"/>
    </xf>
    <xf numFmtId="0" fontId="0" fillId="0" borderId="1" xfId="0" applyBorder="1"/>
    <xf numFmtId="0" fontId="0" fillId="0" borderId="0" xfId="1" applyNumberFormat="1" applyFont="1"/>
    <xf numFmtId="0" fontId="5" fillId="0" borderId="0" xfId="0" applyFont="1" applyBorder="1" applyAlignment="1">
      <alignment horizontal="right" wrapText="1"/>
    </xf>
    <xf numFmtId="9" fontId="0" fillId="0" borderId="1" xfId="1" applyFont="1" applyBorder="1"/>
    <xf numFmtId="9" fontId="0" fillId="0" borderId="0" xfId="1" applyNumberFormat="1" applyFont="1"/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a-DK" sz="1400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8C20-425B-AD41-6BDD35C9F656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0.99946430804965902</c:v>
                </c:pt>
                <c:pt idx="2">
                  <c:v>0.9984920797935557</c:v>
                </c:pt>
                <c:pt idx="3">
                  <c:v>0.99724300864023352</c:v>
                </c:pt>
                <c:pt idx="4">
                  <c:v>0.99577559473213051</c:v>
                </c:pt>
                <c:pt idx="5">
                  <c:v>0.9941243682104941</c:v>
                </c:pt>
                <c:pt idx="6">
                  <c:v>0.9923130805464847</c:v>
                </c:pt>
                <c:pt idx="7">
                  <c:v>0.99035948314640554</c:v>
                </c:pt>
                <c:pt idx="8">
                  <c:v>0.98827756165379821</c:v>
                </c:pt>
                <c:pt idx="9">
                  <c:v>0.98607874540434848</c:v>
                </c:pt>
                <c:pt idx="10">
                  <c:v>0.98377262902201035</c:v>
                </c:pt>
                <c:pt idx="11">
                  <c:v>0.98136743416021077</c:v>
                </c:pt>
                <c:pt idx="12">
                  <c:v>0.97887032105541494</c:v>
                </c:pt>
                <c:pt idx="13">
                  <c:v>0.97628760768961176</c:v>
                </c:pt>
                <c:pt idx="14">
                  <c:v>0.97362492924011246</c:v>
                </c:pt>
                <c:pt idx="15">
                  <c:v>0.97088735735683618</c:v>
                </c:pt>
                <c:pt idx="16">
                  <c:v>0.96807949149790606</c:v>
                </c:pt>
                <c:pt idx="17">
                  <c:v>0.96520553027666389</c:v>
                </c:pt>
                <c:pt idx="18">
                  <c:v>0.96226932816139066</c:v>
                </c:pt>
                <c:pt idx="19">
                  <c:v>0.95927444121581151</c:v>
                </c:pt>
                <c:pt idx="20">
                  <c:v>0.95622416448905456</c:v>
                </c:pt>
                <c:pt idx="21">
                  <c:v>0.953121562939652</c:v>
                </c:pt>
                <c:pt idx="22">
                  <c:v>0.94996949728075553</c:v>
                </c:pt>
                <c:pt idx="23">
                  <c:v>0.94677064578476799</c:v>
                </c:pt>
                <c:pt idx="24">
                  <c:v>0.94352752283609997</c:v>
                </c:pt>
                <c:pt idx="25">
                  <c:v>0.94024249483936073</c:v>
                </c:pt>
                <c:pt idx="26">
                  <c:v>0.93691779395636177</c:v>
                </c:pt>
                <c:pt idx="27">
                  <c:v>0.93355553004504621</c:v>
                </c:pt>
                <c:pt idx="28">
                  <c:v>0.93015770109744478</c:v>
                </c:pt>
                <c:pt idx="29">
                  <c:v>0.926726202415453</c:v>
                </c:pt>
                <c:pt idx="30">
                  <c:v>0.92326283471802506</c:v>
                </c:pt>
                <c:pt idx="31">
                  <c:v>0.91976931133799367</c:v>
                </c:pt>
                <c:pt idx="32">
                  <c:v>0.91624726463876505</c:v>
                </c:pt>
                <c:pt idx="33">
                  <c:v>0.91269825175886277</c:v>
                </c:pt>
                <c:pt idx="34">
                  <c:v>0.90912375977440352</c:v>
                </c:pt>
                <c:pt idx="35">
                  <c:v>0.90552521035511258</c:v>
                </c:pt>
                <c:pt idx="36">
                  <c:v>0.90190396397769823</c:v>
                </c:pt>
                <c:pt idx="37">
                  <c:v>0.89826132375073664</c:v>
                </c:pt>
                <c:pt idx="38">
                  <c:v>0.89459853889724383</c:v>
                </c:pt>
                <c:pt idx="39">
                  <c:v>0.89091680793449934</c:v>
                </c:pt>
                <c:pt idx="40">
                  <c:v>0.88721728158516566</c:v>
                </c:pt>
                <c:pt idx="41">
                  <c:v>0.88350106544912399</c:v>
                </c:pt>
                <c:pt idx="42">
                  <c:v>0.87976922246155242</c:v>
                </c:pt>
                <c:pt idx="43">
                  <c:v>0.87602277515947125</c:v>
                </c:pt>
                <c:pt idx="44">
                  <c:v>0.87226270777618387</c:v>
                </c:pt>
                <c:pt idx="45">
                  <c:v>0.86848996818064628</c:v>
                </c:pt>
                <c:pt idx="46">
                  <c:v>0.86470546967675266</c:v>
                </c:pt>
                <c:pt idx="47">
                  <c:v>0.86091009267576091</c:v>
                </c:pt>
                <c:pt idx="48">
                  <c:v>0.85710468625356451</c:v>
                </c:pt>
                <c:pt idx="49">
                  <c:v>0.85329006960319875</c:v>
                </c:pt>
                <c:pt idx="50">
                  <c:v>0.8494670333918255</c:v>
                </c:pt>
                <c:pt idx="51">
                  <c:v>0.84563634103044838</c:v>
                </c:pt>
                <c:pt idx="52">
                  <c:v>0.84179872986373483</c:v>
                </c:pt>
                <c:pt idx="53">
                  <c:v>0.83795491228655883</c:v>
                </c:pt>
                <c:pt idx="54">
                  <c:v>0.83410557679321118</c:v>
                </c:pt>
                <c:pt idx="55">
                  <c:v>0.83025138896462858</c:v>
                </c:pt>
                <c:pt idx="56">
                  <c:v>0.82639299239847297</c:v>
                </c:pt>
                <c:pt idx="57">
                  <c:v>0.82253100958642933</c:v>
                </c:pt>
                <c:pt idx="58">
                  <c:v>0.81866604274267951</c:v>
                </c:pt>
                <c:pt idx="59">
                  <c:v>0.81479867458714539</c:v>
                </c:pt>
                <c:pt idx="60">
                  <c:v>0.810929469086768</c:v>
                </c:pt>
                <c:pt idx="61">
                  <c:v>0.80705897215779987</c:v>
                </c:pt>
                <c:pt idx="62">
                  <c:v>0.80318771233182407</c:v>
                </c:pt>
                <c:pt idx="63">
                  <c:v>0.79931620138798332</c:v>
                </c:pt>
                <c:pt idx="64">
                  <c:v>0.79544493495369539</c:v>
                </c:pt>
                <c:pt idx="65">
                  <c:v>0.79157439307592825</c:v>
                </c:pt>
                <c:pt idx="66">
                  <c:v>0.78770504076495884</c:v>
                </c:pt>
                <c:pt idx="67">
                  <c:v>0.78383732851236765</c:v>
                </c:pt>
                <c:pt idx="68">
                  <c:v>0.77997169278488898</c:v>
                </c:pt>
                <c:pt idx="69">
                  <c:v>0.77610855649561261</c:v>
                </c:pt>
                <c:pt idx="70">
                  <c:v>0.77224832945391286</c:v>
                </c:pt>
                <c:pt idx="71">
                  <c:v>0.76839140879538159</c:v>
                </c:pt>
                <c:pt idx="72">
                  <c:v>0.76453817939294089</c:v>
                </c:pt>
                <c:pt idx="73">
                  <c:v>0.76068901425023205</c:v>
                </c:pt>
                <c:pt idx="74">
                  <c:v>0.75684427487829153</c:v>
                </c:pt>
                <c:pt idx="75">
                  <c:v>0.75300431165645776</c:v>
                </c:pt>
                <c:pt idx="76">
                  <c:v>0.74916946417838148</c:v>
                </c:pt>
                <c:pt idx="77">
                  <c:v>0.74534006158395605</c:v>
                </c:pt>
                <c:pt idx="78">
                  <c:v>0.74151642287792652</c:v>
                </c:pt>
                <c:pt idx="79">
                  <c:v>0.73769885723588557</c:v>
                </c:pt>
                <c:pt idx="80">
                  <c:v>0.73388766429831453</c:v>
                </c:pt>
                <c:pt idx="81">
                  <c:v>0.73008313445329165</c:v>
                </c:pt>
                <c:pt idx="82">
                  <c:v>0.72628554910844212</c:v>
                </c:pt>
                <c:pt idx="83">
                  <c:v>0.72249518095266851</c:v>
                </c:pt>
                <c:pt idx="84">
                  <c:v>0.71871229420817473</c:v>
                </c:pt>
                <c:pt idx="85">
                  <c:v>0.71493714487325266</c:v>
                </c:pt>
                <c:pt idx="86">
                  <c:v>0.71116998095627926</c:v>
                </c:pt>
                <c:pt idx="87">
                  <c:v>0.70741104270134358</c:v>
                </c:pt>
                <c:pt idx="88">
                  <c:v>0.70366056280589939</c:v>
                </c:pt>
                <c:pt idx="89">
                  <c:v>0.69991876663080776</c:v>
                </c:pt>
                <c:pt idx="90">
                  <c:v>0.69618587240312735</c:v>
                </c:pt>
                <c:pt idx="91">
                  <c:v>0.69246209141197246</c:v>
                </c:pt>
                <c:pt idx="92">
                  <c:v>0.68874762819775626</c:v>
                </c:pt>
                <c:pt idx="93">
                  <c:v>0.68504268073510577</c:v>
                </c:pt>
                <c:pt idx="94">
                  <c:v>0.68134744060973018</c:v>
                </c:pt>
                <c:pt idx="95">
                  <c:v>0.67766209318949899</c:v>
                </c:pt>
                <c:pt idx="96">
                  <c:v>0.67398681778998037</c:v>
                </c:pt>
                <c:pt idx="97">
                  <c:v>0.670321787834671</c:v>
                </c:pt>
                <c:pt idx="98">
                  <c:v>0.6666671710101405</c:v>
                </c:pt>
                <c:pt idx="99">
                  <c:v>0.66302312941629848</c:v>
                </c:pt>
                <c:pt idx="100">
                  <c:v>0.65938981971198463</c:v>
                </c:pt>
                <c:pt idx="101">
                  <c:v>0.65576739325606692</c:v>
                </c:pt>
                <c:pt idx="102">
                  <c:v>0.65215599624423271</c:v>
                </c:pt>
                <c:pt idx="103">
                  <c:v>0.64855576984163665</c:v>
                </c:pt>
                <c:pt idx="104">
                  <c:v>0.64496685031156886</c:v>
                </c:pt>
                <c:pt idx="105">
                  <c:v>0.64138936914030154</c:v>
                </c:pt>
                <c:pt idx="106">
                  <c:v>0.63782345315824984</c:v>
                </c:pt>
                <c:pt idx="107">
                  <c:v>0.63426922465759816</c:v>
                </c:pt>
                <c:pt idx="108">
                  <c:v>0.63072680150651372</c:v>
                </c:pt>
                <c:pt idx="109">
                  <c:v>0.62719629726008064</c:v>
                </c:pt>
                <c:pt idx="110">
                  <c:v>0.62367782126807148</c:v>
                </c:pt>
                <c:pt idx="111">
                  <c:v>0.6201714787796706</c:v>
                </c:pt>
                <c:pt idx="112">
                  <c:v>0.61667737104526277</c:v>
                </c:pt>
                <c:pt idx="113">
                  <c:v>0.61319559541538393</c:v>
                </c:pt>
                <c:pt idx="114">
                  <c:v>0.60972624543694265</c:v>
                </c:pt>
                <c:pt idx="115">
                  <c:v>0.60626941094680309</c:v>
                </c:pt>
                <c:pt idx="116">
                  <c:v>0.60282517816281755</c:v>
                </c:pt>
                <c:pt idx="117">
                  <c:v>0.59939362977240362</c:v>
                </c:pt>
                <c:pt idx="118">
                  <c:v>0.59597484501874232</c:v>
                </c:pt>
                <c:pt idx="119">
                  <c:v>0.59256889978468175</c:v>
                </c:pt>
                <c:pt idx="120">
                  <c:v>0.58917586667441801</c:v>
                </c:pt>
                <c:pt idx="121">
                  <c:v>0.58579581509303291</c:v>
                </c:pt>
                <c:pt idx="122">
                  <c:v>0.58242881132395219</c:v>
                </c:pt>
                <c:pt idx="123">
                  <c:v>0.57907491860439753</c:v>
                </c:pt>
                <c:pt idx="124">
                  <c:v>0.57573419719889118</c:v>
                </c:pt>
                <c:pt idx="125">
                  <c:v>0.5724067044708796</c:v>
                </c:pt>
                <c:pt idx="126">
                  <c:v>0.56909249495253444</c:v>
                </c:pt>
                <c:pt idx="127">
                  <c:v>0.56579162041278641</c:v>
                </c:pt>
                <c:pt idx="128">
                  <c:v>0.56250412992364995</c:v>
                </c:pt>
                <c:pt idx="129">
                  <c:v>0.55923006992488644</c:v>
                </c:pt>
                <c:pt idx="130">
                  <c:v>0.55596948428706405</c:v>
                </c:pt>
                <c:pt idx="131">
                  <c:v>0.5527224143730548</c:v>
                </c:pt>
                <c:pt idx="132">
                  <c:v>0.54948889909802234</c:v>
                </c:pt>
                <c:pt idx="133">
                  <c:v>0.54626897498794258</c:v>
                </c:pt>
                <c:pt idx="134">
                  <c:v>0.54306267623669902</c:v>
                </c:pt>
                <c:pt idx="135">
                  <c:v>0.53987003476179973</c:v>
                </c:pt>
                <c:pt idx="136">
                  <c:v>0.53669108025875079</c:v>
                </c:pt>
                <c:pt idx="137">
                  <c:v>0.5335258402541273</c:v>
                </c:pt>
                <c:pt idx="138">
                  <c:v>0.53037434015738216</c:v>
                </c:pt>
                <c:pt idx="139">
                  <c:v>0.52723660331142308</c:v>
                </c:pt>
                <c:pt idx="140">
                  <c:v>0.52411265104199689</c:v>
                </c:pt>
                <c:pt idx="141">
                  <c:v>0.52100250270591242</c:v>
                </c:pt>
                <c:pt idx="142">
                  <c:v>0.51790617573813758</c:v>
                </c:pt>
                <c:pt idx="143">
                  <c:v>0.51482368569779768</c:v>
                </c:pt>
                <c:pt idx="144">
                  <c:v>0.5117550463131072</c:v>
                </c:pt>
                <c:pt idx="145">
                  <c:v>0.50870026952526493</c:v>
                </c:pt>
                <c:pt idx="146">
                  <c:v>0.50565936553134083</c:v>
                </c:pt>
                <c:pt idx="147">
                  <c:v>0.50263234282617819</c:v>
                </c:pt>
                <c:pt idx="148">
                  <c:v>0.49961920824334238</c:v>
                </c:pt>
                <c:pt idx="149">
                  <c:v>0.49661996699513955</c:v>
                </c:pt>
                <c:pt idx="150">
                  <c:v>0.49363462271172753</c:v>
                </c:pt>
                <c:pt idx="151">
                  <c:v>0.49066317747934718</c:v>
                </c:pt>
                <c:pt idx="152">
                  <c:v>0.48770563187769411</c:v>
                </c:pt>
                <c:pt idx="153">
                  <c:v>0.48476198501645351</c:v>
                </c:pt>
                <c:pt idx="154">
                  <c:v>0.48183223457102131</c:v>
                </c:pt>
                <c:pt idx="155">
                  <c:v>0.47891637681743005</c:v>
                </c:pt>
                <c:pt idx="156">
                  <c:v>0.47601440666650185</c:v>
                </c:pt>
                <c:pt idx="157">
                  <c:v>0.47312631769724678</c:v>
                </c:pt>
                <c:pt idx="158">
                  <c:v>0.47025210218952607</c:v>
                </c:pt>
                <c:pt idx="159">
                  <c:v>0.46739175115599962</c:v>
                </c:pt>
                <c:pt idx="160">
                  <c:v>0.46454525437337324</c:v>
                </c:pt>
                <c:pt idx="161">
                  <c:v>0.4617126004129648</c:v>
                </c:pt>
                <c:pt idx="162">
                  <c:v>0.45889377667060627</c:v>
                </c:pt>
                <c:pt idx="163">
                  <c:v>0.45608876939589604</c:v>
                </c:pt>
                <c:pt idx="164">
                  <c:v>0.45329756372081953</c:v>
                </c:pt>
                <c:pt idx="165">
                  <c:v>0.45052014368775217</c:v>
                </c:pt>
                <c:pt idx="166">
                  <c:v>0.44775649227685965</c:v>
                </c:pt>
                <c:pt idx="167">
                  <c:v>0.44500659143290988</c:v>
                </c:pt>
                <c:pt idx="168">
                  <c:v>0.44227042209151246</c:v>
                </c:pt>
                <c:pt idx="169">
                  <c:v>0.43954796420479447</c:v>
                </c:pt>
                <c:pt idx="170">
                  <c:v>0.43683919676653316</c:v>
                </c:pt>
                <c:pt idx="171">
                  <c:v>0.43414409783675123</c:v>
                </c:pt>
                <c:pt idx="172">
                  <c:v>0.43146264456579131</c:v>
                </c:pt>
                <c:pt idx="173">
                  <c:v>0.42879481321788115</c:v>
                </c:pt>
                <c:pt idx="174">
                  <c:v>0.42614057919419968</c:v>
                </c:pt>
                <c:pt idx="175">
                  <c:v>0.42349991705545886</c:v>
                </c:pt>
                <c:pt idx="176">
                  <c:v>0.420872800544007</c:v>
                </c:pt>
                <c:pt idx="177">
                  <c:v>0.41825920260547012</c:v>
                </c:pt>
                <c:pt idx="178">
                  <c:v>0.41565909540994006</c:v>
                </c:pt>
                <c:pt idx="179">
                  <c:v>0.41307245037271478</c:v>
                </c:pt>
                <c:pt idx="180">
                  <c:v>0.41049923817461109</c:v>
                </c:pt>
                <c:pt idx="181">
                  <c:v>0.40793942878184775</c:v>
                </c:pt>
                <c:pt idx="182">
                  <c:v>0.40539299146551799</c:v>
                </c:pt>
                <c:pt idx="183">
                  <c:v>0.40285989482065554</c:v>
                </c:pt>
                <c:pt idx="184">
                  <c:v>0.40034010678490317</c:v>
                </c:pt>
                <c:pt idx="185">
                  <c:v>0.39783359465679591</c:v>
                </c:pt>
                <c:pt idx="186">
                  <c:v>0.39534032511366424</c:v>
                </c:pt>
                <c:pt idx="187">
                  <c:v>0.39286026422916587</c:v>
                </c:pt>
                <c:pt idx="188">
                  <c:v>0.39039337749045649</c:v>
                </c:pt>
                <c:pt idx="189">
                  <c:v>0.38793962981500318</c:v>
                </c:pt>
                <c:pt idx="190">
                  <c:v>0.38549898556705442</c:v>
                </c:pt>
                <c:pt idx="191">
                  <c:v>0.38307140857376704</c:v>
                </c:pt>
                <c:pt idx="192">
                  <c:v>0.38065686214100225</c:v>
                </c:pt>
                <c:pt idx="193">
                  <c:v>0.37825530906879701</c:v>
                </c:pt>
                <c:pt idx="194">
                  <c:v>0.37586671166651547</c:v>
                </c:pt>
                <c:pt idx="195">
                  <c:v>0.37349103176769077</c:v>
                </c:pt>
                <c:pt idx="196">
                  <c:v>0.37112823074456019</c:v>
                </c:pt>
                <c:pt idx="197">
                  <c:v>0.36877826952230258</c:v>
                </c:pt>
                <c:pt idx="198">
                  <c:v>0.36644110859298373</c:v>
                </c:pt>
                <c:pt idx="199">
                  <c:v>0.36411670802921492</c:v>
                </c:pt>
                <c:pt idx="200">
                  <c:v>0.36180502749753163</c:v>
                </c:pt>
                <c:pt idx="201">
                  <c:v>0.3595060262714978</c:v>
                </c:pt>
                <c:pt idx="202">
                  <c:v>0.35721966324454174</c:v>
                </c:pt>
                <c:pt idx="203">
                  <c:v>0.35494589694252854</c:v>
                </c:pt>
                <c:pt idx="204">
                  <c:v>0.35268468553607452</c:v>
                </c:pt>
                <c:pt idx="205">
                  <c:v>0.35043598685261002</c:v>
                </c:pt>
                <c:pt idx="206">
                  <c:v>0.34819975838819456</c:v>
                </c:pt>
                <c:pt idx="207">
                  <c:v>0.34597595731908964</c:v>
                </c:pt>
                <c:pt idx="208">
                  <c:v>0.34376454051309424</c:v>
                </c:pt>
                <c:pt idx="209">
                  <c:v>0.3415654645406484</c:v>
                </c:pt>
                <c:pt idx="210">
                  <c:v>0.3393786856857085</c:v>
                </c:pt>
                <c:pt idx="211">
                  <c:v>0.33720415995639968</c:v>
                </c:pt>
                <c:pt idx="212">
                  <c:v>0.33504184309544915</c:v>
                </c:pt>
                <c:pt idx="213">
                  <c:v>0.33289169059040613</c:v>
                </c:pt>
                <c:pt idx="214">
                  <c:v>0.33075365768365084</c:v>
                </c:pt>
                <c:pt idx="215">
                  <c:v>0.3286276993821981</c:v>
                </c:pt>
                <c:pt idx="216">
                  <c:v>0.32651377046729951</c:v>
                </c:pt>
                <c:pt idx="217">
                  <c:v>0.32441182550384767</c:v>
                </c:pt>
                <c:pt idx="218">
                  <c:v>0.32232181884958599</c:v>
                </c:pt>
                <c:pt idx="219">
                  <c:v>0.32024370466413032</c:v>
                </c:pt>
                <c:pt idx="220">
                  <c:v>0.3181774369178022</c:v>
                </c:pt>
                <c:pt idx="221">
                  <c:v>0.31612296940028156</c:v>
                </c:pt>
                <c:pt idx="222">
                  <c:v>0.31408025572907877</c:v>
                </c:pt>
                <c:pt idx="223">
                  <c:v>0.31204924935783285</c:v>
                </c:pt>
                <c:pt idx="224">
                  <c:v>0.31002990358443661</c:v>
                </c:pt>
                <c:pt idx="225">
                  <c:v>0.30802217155899303</c:v>
                </c:pt>
                <c:pt idx="226">
                  <c:v>0.30602600629160731</c:v>
                </c:pt>
                <c:pt idx="227">
                  <c:v>0.30404136066001569</c:v>
                </c:pt>
                <c:pt idx="228">
                  <c:v>0.30206818741705599</c:v>
                </c:pt>
                <c:pt idx="229">
                  <c:v>0.30010643919798174</c:v>
                </c:pt>
                <c:pt idx="230">
                  <c:v>0.29815606852762377</c:v>
                </c:pt>
                <c:pt idx="231">
                  <c:v>0.29621702782740161</c:v>
                </c:pt>
                <c:pt idx="232">
                  <c:v>0.29428926942218736</c:v>
                </c:pt>
                <c:pt idx="233">
                  <c:v>0.29237274554702669</c:v>
                </c:pt>
                <c:pt idx="234">
                  <c:v>0.29046740835371648</c:v>
                </c:pt>
                <c:pt idx="235">
                  <c:v>0.28857320991724533</c:v>
                </c:pt>
                <c:pt idx="236">
                  <c:v>0.28669010224209679</c:v>
                </c:pt>
                <c:pt idx="237">
                  <c:v>0.2848180372684197</c:v>
                </c:pt>
                <c:pt idx="238">
                  <c:v>0.28295696687806754</c:v>
                </c:pt>
                <c:pt idx="239">
                  <c:v>0.28110684290050825</c:v>
                </c:pt>
                <c:pt idx="240">
                  <c:v>0.27926761711860987</c:v>
                </c:pt>
                <c:pt idx="241">
                  <c:v>0.27743924127430059</c:v>
                </c:pt>
                <c:pt idx="242">
                  <c:v>0.2756216670741089</c:v>
                </c:pt>
                <c:pt idx="243">
                  <c:v>0.27381484619458374</c:v>
                </c:pt>
                <c:pt idx="244">
                  <c:v>0.27201873028759849</c:v>
                </c:pt>
                <c:pt idx="245">
                  <c:v>0.2702332709855399</c:v>
                </c:pt>
                <c:pt idx="246">
                  <c:v>0.26845841990638508</c:v>
                </c:pt>
                <c:pt idx="247">
                  <c:v>0.26669412865866793</c:v>
                </c:pt>
                <c:pt idx="248">
                  <c:v>0.26494034884633699</c:v>
                </c:pt>
                <c:pt idx="249">
                  <c:v>0.26319703207350775</c:v>
                </c:pt>
                <c:pt idx="250">
                  <c:v>0.26146412994911028</c:v>
                </c:pt>
                <c:pt idx="251">
                  <c:v>0.25974159409143494</c:v>
                </c:pt>
                <c:pt idx="252">
                  <c:v>0.25802937613257726</c:v>
                </c:pt>
                <c:pt idx="253">
                  <c:v>0.2563274277227845</c:v>
                </c:pt>
                <c:pt idx="254">
                  <c:v>0.25463570053470624</c:v>
                </c:pt>
                <c:pt idx="255">
                  <c:v>0.2529541462675492</c:v>
                </c:pt>
                <c:pt idx="256">
                  <c:v>0.25128271665113938</c:v>
                </c:pt>
                <c:pt idx="257">
                  <c:v>0.24962136344989289</c:v>
                </c:pt>
                <c:pt idx="258">
                  <c:v>0.2479700384666973</c:v>
                </c:pt>
                <c:pt idx="259">
                  <c:v>0.24632869354670456</c:v>
                </c:pt>
                <c:pt idx="260">
                  <c:v>0.24469728058103837</c:v>
                </c:pt>
                <c:pt idx="261">
                  <c:v>0.24307575151041561</c:v>
                </c:pt>
                <c:pt idx="262">
                  <c:v>0.24146405832868598</c:v>
                </c:pt>
                <c:pt idx="263">
                  <c:v>0.23986215308628919</c:v>
                </c:pt>
                <c:pt idx="264">
                  <c:v>0.23826998789363199</c:v>
                </c:pt>
                <c:pt idx="265">
                  <c:v>0.23668751492438711</c:v>
                </c:pt>
                <c:pt idx="266">
                  <c:v>0.23511468641871472</c:v>
                </c:pt>
                <c:pt idx="267">
                  <c:v>0.23355145468640809</c:v>
                </c:pt>
                <c:pt idx="268">
                  <c:v>0.23199777210996528</c:v>
                </c:pt>
                <c:pt idx="269">
                  <c:v>0.23045359114758715</c:v>
                </c:pt>
                <c:pt idx="270">
                  <c:v>0.2289188643361047</c:v>
                </c:pt>
                <c:pt idx="271">
                  <c:v>0.22739354429383546</c:v>
                </c:pt>
                <c:pt idx="272">
                  <c:v>0.22587758372337099</c:v>
                </c:pt>
                <c:pt idx="273">
                  <c:v>0.22437093541429698</c:v>
                </c:pt>
                <c:pt idx="274">
                  <c:v>0.22287355224584637</c:v>
                </c:pt>
                <c:pt idx="275">
                  <c:v>0.22138538718948783</c:v>
                </c:pt>
                <c:pt idx="276">
                  <c:v>0.21990639331144984</c:v>
                </c:pt>
                <c:pt idx="277">
                  <c:v>0.21843652377518188</c:v>
                </c:pt>
                <c:pt idx="278">
                  <c:v>0.21697573184375407</c:v>
                </c:pt>
                <c:pt idx="279">
                  <c:v>0.21552397088219627</c:v>
                </c:pt>
                <c:pt idx="280">
                  <c:v>0.21408119435977782</c:v>
                </c:pt>
                <c:pt idx="281">
                  <c:v>0.21264735585222874</c:v>
                </c:pt>
                <c:pt idx="282">
                  <c:v>0.21122240904390374</c:v>
                </c:pt>
                <c:pt idx="283">
                  <c:v>0.20980630772989001</c:v>
                </c:pt>
                <c:pt idx="284">
                  <c:v>0.20839900581805998</c:v>
                </c:pt>
                <c:pt idx="285">
                  <c:v>0.20700045733107011</c:v>
                </c:pt>
                <c:pt idx="286">
                  <c:v>0.20561061640830586</c:v>
                </c:pt>
                <c:pt idx="287">
                  <c:v>0.20422943730777512</c:v>
                </c:pt>
                <c:pt idx="288">
                  <c:v>0.20285687440795031</c:v>
                </c:pt>
                <c:pt idx="289">
                  <c:v>0.20149288220955991</c:v>
                </c:pt>
                <c:pt idx="290">
                  <c:v>0.20013741533733145</c:v>
                </c:pt>
                <c:pt idx="291">
                  <c:v>0.19879042854168497</c:v>
                </c:pt>
                <c:pt idx="292">
                  <c:v>0.19745187670038011</c:v>
                </c:pt>
                <c:pt idx="293">
                  <c:v>0.1961217148201157</c:v>
                </c:pt>
                <c:pt idx="294">
                  <c:v>0.19479989803808404</c:v>
                </c:pt>
                <c:pt idx="295">
                  <c:v>0.19348638162348028</c:v>
                </c:pt>
                <c:pt idx="296">
                  <c:v>0.19218112097896736</c:v>
                </c:pt>
                <c:pt idx="297">
                  <c:v>0.19088407164209822</c:v>
                </c:pt>
                <c:pt idx="298">
                  <c:v>0.18959518928669497</c:v>
                </c:pt>
                <c:pt idx="299">
                  <c:v>0.18831442972418691</c:v>
                </c:pt>
                <c:pt idx="300">
                  <c:v>0.18704174890490738</c:v>
                </c:pt>
                <c:pt idx="301">
                  <c:v>0.18577710291935048</c:v>
                </c:pt>
                <c:pt idx="302">
                  <c:v>0.18452044799938885</c:v>
                </c:pt>
                <c:pt idx="303">
                  <c:v>0.18327174051945161</c:v>
                </c:pt>
                <c:pt idx="304">
                  <c:v>0.18203093699766615</c:v>
                </c:pt>
                <c:pt idx="305">
                  <c:v>0.18079799409696115</c:v>
                </c:pt>
                <c:pt idx="306">
                  <c:v>0.179572868626134</c:v>
                </c:pt>
                <c:pt idx="307">
                  <c:v>0.17835551754088194</c:v>
                </c:pt>
                <c:pt idx="308">
                  <c:v>0.17714589794479829</c:v>
                </c:pt>
                <c:pt idx="309">
                  <c:v>0.17594396709033419</c:v>
                </c:pt>
                <c:pt idx="310">
                  <c:v>0.17474968237972616</c:v>
                </c:pt>
                <c:pt idx="311">
                  <c:v>0.17356300136589095</c:v>
                </c:pt>
                <c:pt idx="312">
                  <c:v>0.17238388175328723</c:v>
                </c:pt>
                <c:pt idx="313">
                  <c:v>0.17121228139874631</c:v>
                </c:pt>
                <c:pt idx="314">
                  <c:v>0.17004815831226994</c:v>
                </c:pt>
                <c:pt idx="315">
                  <c:v>0.16889147065779919</c:v>
                </c:pt>
                <c:pt idx="316">
                  <c:v>0.16774217675395131</c:v>
                </c:pt>
                <c:pt idx="317">
                  <c:v>0.16660023507472863</c:v>
                </c:pt>
                <c:pt idx="318">
                  <c:v>0.1654656042501973</c:v>
                </c:pt>
                <c:pt idx="319">
                  <c:v>0.16433824306713793</c:v>
                </c:pt>
                <c:pt idx="320">
                  <c:v>0.16321811046966828</c:v>
                </c:pt>
                <c:pt idx="321">
                  <c:v>0.16210516555983884</c:v>
                </c:pt>
                <c:pt idx="322">
                  <c:v>0.16099936759820072</c:v>
                </c:pt>
                <c:pt idx="323">
                  <c:v>0.15990067600434818</c:v>
                </c:pt>
                <c:pt idx="324">
                  <c:v>0.15880905035743437</c:v>
                </c:pt>
                <c:pt idx="325">
                  <c:v>0.15772445039666261</c:v>
                </c:pt>
                <c:pt idx="326">
                  <c:v>0.156646836021752</c:v>
                </c:pt>
                <c:pt idx="327">
                  <c:v>0.15557616729337898</c:v>
                </c:pt>
                <c:pt idx="328">
                  <c:v>0.15451240443359526</c:v>
                </c:pt>
                <c:pt idx="329">
                  <c:v>0.15345550782622194</c:v>
                </c:pt>
                <c:pt idx="330">
                  <c:v>0.15240543801722051</c:v>
                </c:pt>
                <c:pt idx="331">
                  <c:v>0.15136215571504183</c:v>
                </c:pt>
                <c:pt idx="332">
                  <c:v>0.15032562179095252</c:v>
                </c:pt>
                <c:pt idx="333">
                  <c:v>0.14929579727934011</c:v>
                </c:pt>
                <c:pt idx="334">
                  <c:v>0.14827264337799642</c:v>
                </c:pt>
                <c:pt idx="335">
                  <c:v>0.14725612144838071</c:v>
                </c:pt>
                <c:pt idx="336">
                  <c:v>0.14624619301586217</c:v>
                </c:pt>
                <c:pt idx="337">
                  <c:v>0.14524281976994194</c:v>
                </c:pt>
                <c:pt idx="338">
                  <c:v>0.14424596356445654</c:v>
                </c:pt>
                <c:pt idx="339">
                  <c:v>0.14325558641776129</c:v>
                </c:pt>
                <c:pt idx="340">
                  <c:v>0.14227165051289517</c:v>
                </c:pt>
                <c:pt idx="341">
                  <c:v>0.14129411819772714</c:v>
                </c:pt>
                <c:pt idx="342">
                  <c:v>0.14032295198508449</c:v>
                </c:pt>
                <c:pt idx="343">
                  <c:v>0.13935811455286345</c:v>
                </c:pt>
                <c:pt idx="344">
                  <c:v>0.13839956874412263</c:v>
                </c:pt>
                <c:pt idx="345">
                  <c:v>0.13744727756715883</c:v>
                </c:pt>
                <c:pt idx="346">
                  <c:v>0.13650120419556705</c:v>
                </c:pt>
                <c:pt idx="347">
                  <c:v>0.13556131196828367</c:v>
                </c:pt>
                <c:pt idx="348">
                  <c:v>0.13462756438961351</c:v>
                </c:pt>
                <c:pt idx="349">
                  <c:v>0.13369992512924192</c:v>
                </c:pt>
                <c:pt idx="350">
                  <c:v>0.1327783580222309</c:v>
                </c:pt>
                <c:pt idx="351">
                  <c:v>0.13186282706900029</c:v>
                </c:pt>
                <c:pt idx="352">
                  <c:v>0.13095329643529474</c:v>
                </c:pt>
                <c:pt idx="353">
                  <c:v>0.13004973045213555</c:v>
                </c:pt>
                <c:pt idx="354">
                  <c:v>0.12915209361575949</c:v>
                </c:pt>
                <c:pt idx="355">
                  <c:v>0.1282603505875424</c:v>
                </c:pt>
                <c:pt idx="356">
                  <c:v>0.12737446619391066</c:v>
                </c:pt>
                <c:pt idx="357">
                  <c:v>0.12649440542623869</c:v>
                </c:pt>
                <c:pt idx="358">
                  <c:v>0.12562013344073372</c:v>
                </c:pt>
                <c:pt idx="359">
                  <c:v>0.1247516155583079</c:v>
                </c:pt>
                <c:pt idx="360">
                  <c:v>0.12388881726443793</c:v>
                </c:pt>
                <c:pt idx="361">
                  <c:v>0.12303170420901297</c:v>
                </c:pt>
                <c:pt idx="362">
                  <c:v>0.12218024220617016</c:v>
                </c:pt>
                <c:pt idx="363">
                  <c:v>0.12133439723411886</c:v>
                </c:pt>
                <c:pt idx="364">
                  <c:v>0.12049413543495366</c:v>
                </c:pt>
                <c:pt idx="365">
                  <c:v>0.11965942311445603</c:v>
                </c:pt>
                <c:pt idx="366">
                  <c:v>0.11883022674188523</c:v>
                </c:pt>
                <c:pt idx="367">
                  <c:v>0.11800651294975881</c:v>
                </c:pt>
                <c:pt idx="368">
                  <c:v>0.11718824853362247</c:v>
                </c:pt>
                <c:pt idx="369">
                  <c:v>0.11637540045181</c:v>
                </c:pt>
                <c:pt idx="370">
                  <c:v>0.11556793582519323</c:v>
                </c:pt>
                <c:pt idx="371">
                  <c:v>0.11476582193692234</c:v>
                </c:pt>
                <c:pt idx="372">
                  <c:v>0.1139690262321565</c:v>
                </c:pt>
                <c:pt idx="373">
                  <c:v>0.11317751631778605</c:v>
                </c:pt>
                <c:pt idx="374">
                  <c:v>0.11239125996214443</c:v>
                </c:pt>
                <c:pt idx="375">
                  <c:v>0.11161022509471238</c:v>
                </c:pt>
                <c:pt idx="376">
                  <c:v>0.11083437980581294</c:v>
                </c:pt>
                <c:pt idx="377">
                  <c:v>0.11006369234629855</c:v>
                </c:pt>
                <c:pt idx="378">
                  <c:v>0.10929813112722919</c:v>
                </c:pt>
                <c:pt idx="379">
                  <c:v>0.10853766471954339</c:v>
                </c:pt>
                <c:pt idx="380">
                  <c:v>0.10778226185372072</c:v>
                </c:pt>
                <c:pt idx="381">
                  <c:v>0.10703189141943707</c:v>
                </c:pt>
                <c:pt idx="382">
                  <c:v>0.10628652246521249</c:v>
                </c:pt>
                <c:pt idx="383">
                  <c:v>0.10554612419805143</c:v>
                </c:pt>
                <c:pt idx="384">
                  <c:v>0.10481066598307641</c:v>
                </c:pt>
                <c:pt idx="385">
                  <c:v>0.10408011734315424</c:v>
                </c:pt>
                <c:pt idx="386">
                  <c:v>0.10335444795851614</c:v>
                </c:pt>
                <c:pt idx="387">
                  <c:v>0.1026336276663707</c:v>
                </c:pt>
                <c:pt idx="388">
                  <c:v>0.10191762646051086</c:v>
                </c:pt>
                <c:pt idx="389">
                  <c:v>0.10120641449091462</c:v>
                </c:pt>
                <c:pt idx="390">
                  <c:v>0.10049996206333953</c:v>
                </c:pt>
                <c:pt idx="391">
                  <c:v>9.9798239638911296E-2</c:v>
                </c:pt>
                <c:pt idx="392">
                  <c:v>9.9101217833706942E-2</c:v>
                </c:pt>
                <c:pt idx="393">
                  <c:v>9.8408867418332047E-2</c:v>
                </c:pt>
                <c:pt idx="394">
                  <c:v>9.772115931749259E-2</c:v>
                </c:pt>
                <c:pt idx="395">
                  <c:v>9.7038064609561769E-2</c:v>
                </c:pt>
                <c:pt idx="396">
                  <c:v>9.6359554526141394E-2</c:v>
                </c:pt>
                <c:pt idx="397">
                  <c:v>9.5685600451618252E-2</c:v>
                </c:pt>
                <c:pt idx="398">
                  <c:v>9.5016173922716121E-2</c:v>
                </c:pt>
                <c:pt idx="399">
                  <c:v>9.435124662804216E-2</c:v>
                </c:pt>
                <c:pt idx="400">
                  <c:v>9.3690790407629759E-2</c:v>
                </c:pt>
                <c:pt idx="401">
                  <c:v>9.3034777252475984E-2</c:v>
                </c:pt>
                <c:pt idx="402">
                  <c:v>9.2383179304075483E-2</c:v>
                </c:pt>
                <c:pt idx="403">
                  <c:v>9.1735968853949565E-2</c:v>
                </c:pt>
                <c:pt idx="404">
                  <c:v>9.1093118343171769E-2</c:v>
                </c:pt>
                <c:pt idx="405">
                  <c:v>9.0454600361888987E-2</c:v>
                </c:pt>
                <c:pt idx="406">
                  <c:v>8.9820387648839192E-2</c:v>
                </c:pt>
                <c:pt idx="407">
                  <c:v>8.9190453090865027E-2</c:v>
                </c:pt>
                <c:pt idx="408">
                  <c:v>8.8564769722424497E-2</c:v>
                </c:pt>
                <c:pt idx="409">
                  <c:v>8.7943310725097229E-2</c:v>
                </c:pt>
                <c:pt idx="410">
                  <c:v>8.7326049427088409E-2</c:v>
                </c:pt>
                <c:pt idx="411">
                  <c:v>8.6712959302728598E-2</c:v>
                </c:pt>
                <c:pt idx="412">
                  <c:v>8.6104013971971025E-2</c:v>
                </c:pt>
                <c:pt idx="413">
                  <c:v>8.5499187199885612E-2</c:v>
                </c:pt>
                <c:pt idx="414">
                  <c:v>8.4898452896149973E-2</c:v>
                </c:pt>
                <c:pt idx="415">
                  <c:v>8.4301785114537856E-2</c:v>
                </c:pt>
                <c:pt idx="416">
                  <c:v>8.3709158052404739E-2</c:v>
                </c:pt>
                <c:pt idx="417">
                  <c:v>8.3120546050170677E-2</c:v>
                </c:pt>
                <c:pt idx="418">
                  <c:v>8.2535923590800961E-2</c:v>
                </c:pt>
                <c:pt idx="419">
                  <c:v>8.1955265299284069E-2</c:v>
                </c:pt>
                <c:pt idx="420">
                  <c:v>8.1378545942107444E-2</c:v>
                </c:pt>
                <c:pt idx="421">
                  <c:v>8.080574042673086E-2</c:v>
                </c:pt>
                <c:pt idx="422">
                  <c:v>8.023682380105808E-2</c:v>
                </c:pt>
                <c:pt idx="423">
                  <c:v>7.967177125290581E-2</c:v>
                </c:pt>
                <c:pt idx="424">
                  <c:v>7.9110558109471346E-2</c:v>
                </c:pt>
                <c:pt idx="425">
                  <c:v>7.8553159836797837E-2</c:v>
                </c:pt>
                <c:pt idx="426">
                  <c:v>7.799955203923821E-2</c:v>
                </c:pt>
                <c:pt idx="427">
                  <c:v>7.7449710458916771E-2</c:v>
                </c:pt>
                <c:pt idx="428">
                  <c:v>7.6903610975190106E-2</c:v>
                </c:pt>
                <c:pt idx="429">
                  <c:v>7.6361229604105324E-2</c:v>
                </c:pt>
                <c:pt idx="430">
                  <c:v>7.5822542497857803E-2</c:v>
                </c:pt>
                <c:pt idx="431">
                  <c:v>7.5287525944246966E-2</c:v>
                </c:pt>
                <c:pt idx="432">
                  <c:v>7.4756156366130894E-2</c:v>
                </c:pt>
                <c:pt idx="433">
                  <c:v>7.4228410320879887E-2</c:v>
                </c:pt>
                <c:pt idx="434">
                  <c:v>7.3704264499828601E-2</c:v>
                </c:pt>
                <c:pt idx="435">
                  <c:v>7.3183695727727149E-2</c:v>
                </c:pt>
                <c:pt idx="436">
                  <c:v>7.2666680962191227E-2</c:v>
                </c:pt>
                <c:pt idx="437">
                  <c:v>7.215319729315145E-2</c:v>
                </c:pt>
                <c:pt idx="438">
                  <c:v>7.1643221942301341E-2</c:v>
                </c:pt>
                <c:pt idx="439">
                  <c:v>7.1136732262545022E-2</c:v>
                </c:pt>
                <c:pt idx="440">
                  <c:v>7.0633705737443819E-2</c:v>
                </c:pt>
                <c:pt idx="441">
                  <c:v>7.0134119980662241E-2</c:v>
                </c:pt>
                <c:pt idx="442">
                  <c:v>6.9637952735413358E-2</c:v>
                </c:pt>
                <c:pt idx="443">
                  <c:v>6.9145181873903686E-2</c:v>
                </c:pt>
                <c:pt idx="444">
                  <c:v>6.8655785396777483E-2</c:v>
                </c:pt>
                <c:pt idx="445">
                  <c:v>6.816974143256041E-2</c:v>
                </c:pt>
                <c:pt idx="446">
                  <c:v>6.7687028237103236E-2</c:v>
                </c:pt>
                <c:pt idx="447">
                  <c:v>6.7207624193024756E-2</c:v>
                </c:pt>
                <c:pt idx="448">
                  <c:v>6.6731507809154988E-2</c:v>
                </c:pt>
                <c:pt idx="449">
                  <c:v>6.6258657719977174E-2</c:v>
                </c:pt>
                <c:pt idx="450">
                  <c:v>6.5789052685070848E-2</c:v>
                </c:pt>
                <c:pt idx="451">
                  <c:v>6.5322671588553843E-2</c:v>
                </c:pt>
                <c:pt idx="452">
                  <c:v>6.4859493438524651E-2</c:v>
                </c:pt>
                <c:pt idx="453">
                  <c:v>6.4399497366504604E-2</c:v>
                </c:pt>
                <c:pt idx="454">
                  <c:v>6.3942662626880212E-2</c:v>
                </c:pt>
                <c:pt idx="455">
                  <c:v>6.3488968596345605E-2</c:v>
                </c:pt>
                <c:pt idx="456">
                  <c:v>6.3038394773344816E-2</c:v>
                </c:pt>
                <c:pt idx="457">
                  <c:v>6.2590920777514672E-2</c:v>
                </c:pt>
                <c:pt idx="458">
                  <c:v>6.2146526349127436E-2</c:v>
                </c:pt>
                <c:pt idx="459">
                  <c:v>6.1705191348534291E-2</c:v>
                </c:pt>
                <c:pt idx="460">
                  <c:v>6.1266895755608453E-2</c:v>
                </c:pt>
                <c:pt idx="461">
                  <c:v>6.0831619669189221E-2</c:v>
                </c:pt>
                <c:pt idx="462">
                  <c:v>6.0399343306526063E-2</c:v>
                </c:pt>
                <c:pt idx="463">
                  <c:v>5.9970047002723362E-2</c:v>
                </c:pt>
                <c:pt idx="464">
                  <c:v>5.9543711210185438E-2</c:v>
                </c:pt>
                <c:pt idx="465">
                  <c:v>5.9120316498062167E-2</c:v>
                </c:pt>
                <c:pt idx="466">
                  <c:v>5.8699843551695302E-2</c:v>
                </c:pt>
                <c:pt idx="467">
                  <c:v>5.8282273172065066E-2</c:v>
                </c:pt>
                <c:pt idx="468">
                  <c:v>5.7867586275237609E-2</c:v>
                </c:pt>
                <c:pt idx="469">
                  <c:v>5.7455763891813338E-2</c:v>
                </c:pt>
                <c:pt idx="470">
                  <c:v>5.7046787166375103E-2</c:v>
                </c:pt>
                <c:pt idx="471">
                  <c:v>5.6640637356938306E-2</c:v>
                </c:pt>
                <c:pt idx="472">
                  <c:v>5.6237295834400708E-2</c:v>
                </c:pt>
                <c:pt idx="473">
                  <c:v>5.5836744081993774E-2</c:v>
                </c:pt>
                <c:pt idx="474">
                  <c:v>5.5438963694734472E-2</c:v>
                </c:pt>
                <c:pt idx="475">
                  <c:v>5.5043936378877875E-2</c:v>
                </c:pt>
                <c:pt idx="476">
                  <c:v>5.4651643951371169E-2</c:v>
                </c:pt>
                <c:pt idx="477">
                  <c:v>5.4262068339307877E-2</c:v>
                </c:pt>
                <c:pt idx="478">
                  <c:v>5.3875191579383599E-2</c:v>
                </c:pt>
                <c:pt idx="479">
                  <c:v>5.3490995817352394E-2</c:v>
                </c:pt>
                <c:pt idx="480">
                  <c:v>5.3109463307484513E-2</c:v>
                </c:pt>
                <c:pt idx="481">
                  <c:v>5.2730576412024686E-2</c:v>
                </c:pt>
                <c:pt idx="482">
                  <c:v>5.2354317600651942E-2</c:v>
                </c:pt>
                <c:pt idx="483">
                  <c:v>5.1980669449940384E-2</c:v>
                </c:pt>
                <c:pt idx="484">
                  <c:v>5.1609614642820836E-2</c:v>
                </c:pt>
                <c:pt idx="485">
                  <c:v>5.1241135968043916E-2</c:v>
                </c:pt>
                <c:pt idx="486">
                  <c:v>5.0875216319644298E-2</c:v>
                </c:pt>
                <c:pt idx="487">
                  <c:v>5.0511838696405874E-2</c:v>
                </c:pt>
                <c:pt idx="488">
                  <c:v>5.0150986201328518E-2</c:v>
                </c:pt>
                <c:pt idx="489">
                  <c:v>4.9792642041095674E-2</c:v>
                </c:pt>
                <c:pt idx="490">
                  <c:v>4.943678952554352E-2</c:v>
                </c:pt>
                <c:pt idx="491">
                  <c:v>4.9083412067131391E-2</c:v>
                </c:pt>
                <c:pt idx="492">
                  <c:v>4.8732493180413228E-2</c:v>
                </c:pt>
                <c:pt idx="493">
                  <c:v>4.8384016481510722E-2</c:v>
                </c:pt>
                <c:pt idx="494">
                  <c:v>4.8037965687587524E-2</c:v>
                </c:pt>
                <c:pt idx="495">
                  <c:v>4.7694324616324946E-2</c:v>
                </c:pt>
                <c:pt idx="496">
                  <c:v>4.7353077185399058E-2</c:v>
                </c:pt>
                <c:pt idx="497">
                  <c:v>4.7014207411959025E-2</c:v>
                </c:pt>
                <c:pt idx="498">
                  <c:v>4.6677699412107108E-2</c:v>
                </c:pt>
                <c:pt idx="499">
                  <c:v>4.6343537400379942E-2</c:v>
                </c:pt>
                <c:pt idx="500">
                  <c:v>4.6011705689231269E-2</c:v>
                </c:pt>
                <c:pt idx="501">
                  <c:v>4.5682188688516118E-2</c:v>
                </c:pt>
                <c:pt idx="502">
                  <c:v>4.5354970904976741E-2</c:v>
                </c:pt>
                <c:pt idx="503">
                  <c:v>4.5030036941729523E-2</c:v>
                </c:pt>
                <c:pt idx="504">
                  <c:v>4.4707371497754077E-2</c:v>
                </c:pt>
                <c:pt idx="505">
                  <c:v>4.4386959367383114E-2</c:v>
                </c:pt>
                <c:pt idx="506">
                  <c:v>4.4068785439794679E-2</c:v>
                </c:pt>
                <c:pt idx="507">
                  <c:v>4.3752834698505223E-2</c:v>
                </c:pt>
                <c:pt idx="508">
                  <c:v>4.3439092220864686E-2</c:v>
                </c:pt>
                <c:pt idx="509">
                  <c:v>4.3127543177553018E-2</c:v>
                </c:pt>
                <c:pt idx="510">
                  <c:v>4.2818172832078324E-2</c:v>
                </c:pt>
                <c:pt idx="511">
                  <c:v>4.2510966540276619E-2</c:v>
                </c:pt>
                <c:pt idx="512">
                  <c:v>4.2205909749813232E-2</c:v>
                </c:pt>
                <c:pt idx="513">
                  <c:v>4.1902987999685823E-2</c:v>
                </c:pt>
                <c:pt idx="514">
                  <c:v>4.1602186919728945E-2</c:v>
                </c:pt>
                <c:pt idx="515">
                  <c:v>4.1303492230120489E-2</c:v>
                </c:pt>
                <c:pt idx="516">
                  <c:v>4.1006889740889736E-2</c:v>
                </c:pt>
                <c:pt idx="517">
                  <c:v>4.0712365351426832E-2</c:v>
                </c:pt>
                <c:pt idx="518">
                  <c:v>4.0419905049994306E-2</c:v>
                </c:pt>
                <c:pt idx="519">
                  <c:v>4.0129494913240069E-2</c:v>
                </c:pt>
                <c:pt idx="520">
                  <c:v>3.9841121105712238E-2</c:v>
                </c:pt>
                <c:pt idx="521">
                  <c:v>3.9554769879375576E-2</c:v>
                </c:pt>
                <c:pt idx="522">
                  <c:v>3.927042757312979E-2</c:v>
                </c:pt>
                <c:pt idx="523">
                  <c:v>3.8988080612329307E-2</c:v>
                </c:pt>
                <c:pt idx="524">
                  <c:v>3.8707715508305172E-2</c:v>
                </c:pt>
                <c:pt idx="525">
                  <c:v>3.842931885788841E-2</c:v>
                </c:pt>
                <c:pt idx="526">
                  <c:v>3.8152877342935147E-2</c:v>
                </c:pt>
                <c:pt idx="527">
                  <c:v>3.7878377729853772E-2</c:v>
                </c:pt>
                <c:pt idx="528">
                  <c:v>3.760580686913341E-2</c:v>
                </c:pt>
                <c:pt idx="529">
                  <c:v>3.7335151694874676E-2</c:v>
                </c:pt>
                <c:pt idx="530">
                  <c:v>3.7066399224321825E-2</c:v>
                </c:pt>
                <c:pt idx="531">
                  <c:v>3.6799536557396921E-2</c:v>
                </c:pt>
                <c:pt idx="532">
                  <c:v>3.6534550876235652E-2</c:v>
                </c:pt>
                <c:pt idx="533">
                  <c:v>3.6271429444725098E-2</c:v>
                </c:pt>
                <c:pt idx="534">
                  <c:v>3.6010159608043137E-2</c:v>
                </c:pt>
                <c:pt idx="535">
                  <c:v>3.5750728792199829E-2</c:v>
                </c:pt>
                <c:pt idx="536">
                  <c:v>3.5493124503580387E-2</c:v>
                </c:pt>
                <c:pt idx="537">
                  <c:v>3.5237334328490341E-2</c:v>
                </c:pt>
                <c:pt idx="538">
                  <c:v>3.498334593270204E-2</c:v>
                </c:pt>
                <c:pt idx="539">
                  <c:v>3.4731147061003505E-2</c:v>
                </c:pt>
                <c:pt idx="540">
                  <c:v>3.4480725536748642E-2</c:v>
                </c:pt>
                <c:pt idx="541">
                  <c:v>3.4232069261409523E-2</c:v>
                </c:pt>
                <c:pt idx="542">
                  <c:v>3.3985166214130627E-2</c:v>
                </c:pt>
                <c:pt idx="543">
                  <c:v>3.3740004451284611E-2</c:v>
                </c:pt>
                <c:pt idx="544">
                  <c:v>3.3496572106030173E-2</c:v>
                </c:pt>
                <c:pt idx="545">
                  <c:v>3.3254857387871609E-2</c:v>
                </c:pt>
                <c:pt idx="546">
                  <c:v>3.3014848582220396E-2</c:v>
                </c:pt>
                <c:pt idx="547">
                  <c:v>3.2776534049958443E-2</c:v>
                </c:pt>
                <c:pt idx="548">
                  <c:v>3.2539902227003245E-2</c:v>
                </c:pt>
                <c:pt idx="549">
                  <c:v>3.2304941623874935E-2</c:v>
                </c:pt>
                <c:pt idx="550">
                  <c:v>3.2071640825265257E-2</c:v>
                </c:pt>
                <c:pt idx="551">
                  <c:v>3.1839988489608194E-2</c:v>
                </c:pt>
                <c:pt idx="552">
                  <c:v>3.1609973348652655E-2</c:v>
                </c:pt>
                <c:pt idx="553">
                  <c:v>3.1381584207036843E-2</c:v>
                </c:pt>
                <c:pt idx="554">
                  <c:v>3.1154809941864786E-2</c:v>
                </c:pt>
                <c:pt idx="555">
                  <c:v>3.0929639502284206E-2</c:v>
                </c:pt>
                <c:pt idx="556">
                  <c:v>3.0706061909066905E-2</c:v>
                </c:pt>
                <c:pt idx="557">
                  <c:v>3.0484066254190447E-2</c:v>
                </c:pt>
                <c:pt idx="558">
                  <c:v>3.0263641700422034E-2</c:v>
                </c:pt>
                <c:pt idx="559">
                  <c:v>3.0044777480904082E-2</c:v>
                </c:pt>
                <c:pt idx="560">
                  <c:v>2.9827462898741851E-2</c:v>
                </c:pt>
                <c:pt idx="561">
                  <c:v>2.9611687326592587E-2</c:v>
                </c:pt>
                <c:pt idx="562">
                  <c:v>2.9397440206256956E-2</c:v>
                </c:pt>
                <c:pt idx="563">
                  <c:v>2.9184711048272007E-2</c:v>
                </c:pt>
                <c:pt idx="564">
                  <c:v>2.8973489431506152E-2</c:v>
                </c:pt>
                <c:pt idx="565">
                  <c:v>2.8763765002755987E-2</c:v>
                </c:pt>
                <c:pt idx="566">
                  <c:v>2.8555527476344884E-2</c:v>
                </c:pt>
                <c:pt idx="567">
                  <c:v>2.8348766633723609E-2</c:v>
                </c:pt>
                <c:pt idx="568">
                  <c:v>2.8143472323072592E-2</c:v>
                </c:pt>
                <c:pt idx="569">
                  <c:v>2.7939634458906244E-2</c:v>
                </c:pt>
                <c:pt idx="570">
                  <c:v>2.773724302167898E-2</c:v>
                </c:pt>
                <c:pt idx="571">
                  <c:v>2.7536288057393138E-2</c:v>
                </c:pt>
                <c:pt idx="572">
                  <c:v>2.7336759677208781E-2</c:v>
                </c:pt>
                <c:pt idx="573">
                  <c:v>2.7138648057055362E-2</c:v>
                </c:pt>
                <c:pt idx="574">
                  <c:v>2.6941943437245135E-2</c:v>
                </c:pt>
                <c:pt idx="575">
                  <c:v>2.6746636122088444E-2</c:v>
                </c:pt>
                <c:pt idx="576">
                  <c:v>2.6552716479511022E-2</c:v>
                </c:pt>
                <c:pt idx="577">
                  <c:v>2.6360174940672752E-2</c:v>
                </c:pt>
                <c:pt idx="578">
                  <c:v>2.6169001999588697E-2</c:v>
                </c:pt>
                <c:pt idx="579">
                  <c:v>2.5979188212751678E-2</c:v>
                </c:pt>
                <c:pt idx="580">
                  <c:v>2.5790724198756707E-2</c:v>
                </c:pt>
                <c:pt idx="581">
                  <c:v>2.5603600637927416E-2</c:v>
                </c:pt>
                <c:pt idx="582">
                  <c:v>2.5417808271944117E-2</c:v>
                </c:pt>
                <c:pt idx="583">
                  <c:v>2.5233337903473742E-2</c:v>
                </c:pt>
                <c:pt idx="584">
                  <c:v>2.5050180395801744E-2</c:v>
                </c:pt>
                <c:pt idx="585">
                  <c:v>2.4868326672465524E-2</c:v>
                </c:pt>
                <c:pt idx="586">
                  <c:v>2.4687767716889946E-2</c:v>
                </c:pt>
                <c:pt idx="587">
                  <c:v>2.4508494572024506E-2</c:v>
                </c:pt>
                <c:pt idx="588">
                  <c:v>2.4330498339982392E-2</c:v>
                </c:pt>
                <c:pt idx="589">
                  <c:v>2.4153770181681196E-2</c:v>
                </c:pt>
                <c:pt idx="590">
                  <c:v>2.3978301316485671E-2</c:v>
                </c:pt>
                <c:pt idx="591">
                  <c:v>2.3804083021852007E-2</c:v>
                </c:pt>
                <c:pt idx="592">
                  <c:v>2.3631106632974089E-2</c:v>
                </c:pt>
                <c:pt idx="593">
                  <c:v>2.3459363542431447E-2</c:v>
                </c:pt>
                <c:pt idx="594">
                  <c:v>2.3288845199839075E-2</c:v>
                </c:pt>
                <c:pt idx="595">
                  <c:v>2.31195431114989E-2</c:v>
                </c:pt>
                <c:pt idx="596">
                  <c:v>2.2951448840053148E-2</c:v>
                </c:pt>
                <c:pt idx="597">
                  <c:v>2.278455400413933E-2</c:v>
                </c:pt>
                <c:pt idx="598">
                  <c:v>2.2618850278047276E-2</c:v>
                </c:pt>
                <c:pt idx="599">
                  <c:v>2.2454329391377474E-2</c:v>
                </c:pt>
                <c:pt idx="600">
                  <c:v>2.2290983128701713E-2</c:v>
                </c:pt>
                <c:pt idx="601">
                  <c:v>2.2128803329224955E-2</c:v>
                </c:pt>
                <c:pt idx="602">
                  <c:v>2.196778188644935E-2</c:v>
                </c:pt>
                <c:pt idx="603">
                  <c:v>2.1807910747839752E-2</c:v>
                </c:pt>
                <c:pt idx="604">
                  <c:v>2.1649181914491087E-2</c:v>
                </c:pt>
                <c:pt idx="605">
                  <c:v>2.1491587440797485E-2</c:v>
                </c:pt>
                <c:pt idx="606">
                  <c:v>2.13351194341229E-2</c:v>
                </c:pt>
                <c:pt idx="607">
                  <c:v>2.1179770054473853E-2</c:v>
                </c:pt>
                <c:pt idx="608">
                  <c:v>2.1025531514173523E-2</c:v>
                </c:pt>
                <c:pt idx="609">
                  <c:v>2.0872396077537738E-2</c:v>
                </c:pt>
                <c:pt idx="610">
                  <c:v>2.0720356060552635E-2</c:v>
                </c:pt>
                <c:pt idx="611">
                  <c:v>2.0569403830554053E-2</c:v>
                </c:pt>
                <c:pt idx="612">
                  <c:v>2.0419531805908539E-2</c:v>
                </c:pt>
                <c:pt idx="613">
                  <c:v>2.0270732455696151E-2</c:v>
                </c:pt>
                <c:pt idx="614">
                  <c:v>2.0122998299394901E-2</c:v>
                </c:pt>
                <c:pt idx="615">
                  <c:v>1.9976321906566803E-2</c:v>
                </c:pt>
                <c:pt idx="616">
                  <c:v>1.9830695896545781E-2</c:v>
                </c:pt>
                <c:pt idx="617">
                  <c:v>1.9686112938127075E-2</c:v>
                </c:pt>
                <c:pt idx="618">
                  <c:v>1.9542565749258417E-2</c:v>
                </c:pt>
                <c:pt idx="619">
                  <c:v>1.9400047096732761E-2</c:v>
                </c:pt>
                <c:pt idx="620">
                  <c:v>1.9258549795882863E-2</c:v>
                </c:pt>
                <c:pt idx="621">
                  <c:v>1.9118066710277271E-2</c:v>
                </c:pt>
                <c:pt idx="622">
                  <c:v>1.8978590751418108E-2</c:v>
                </c:pt>
                <c:pt idx="623">
                  <c:v>1.8840114878440523E-2</c:v>
                </c:pt>
                <c:pt idx="624">
                  <c:v>1.8702632097813605E-2</c:v>
                </c:pt>
                <c:pt idx="625">
                  <c:v>1.8566135463043167E-2</c:v>
                </c:pt>
                <c:pt idx="626">
                  <c:v>1.8430618074375883E-2</c:v>
                </c:pt>
                <c:pt idx="627">
                  <c:v>1.8296073078505289E-2</c:v>
                </c:pt>
                <c:pt idx="628">
                  <c:v>1.8162493668279184E-2</c:v>
                </c:pt>
                <c:pt idx="629">
                  <c:v>1.8029873082408839E-2</c:v>
                </c:pt>
                <c:pt idx="630">
                  <c:v>1.7898204605179647E-2</c:v>
                </c:pt>
                <c:pt idx="631">
                  <c:v>1.7767481566163399E-2</c:v>
                </c:pt>
                <c:pt idx="632">
                  <c:v>1.7637697339932243E-2</c:v>
                </c:pt>
                <c:pt idx="633">
                  <c:v>1.750884534577405E-2</c:v>
                </c:pt>
                <c:pt idx="634">
                  <c:v>1.7380919047409574E-2</c:v>
                </c:pt>
                <c:pt idx="635">
                  <c:v>1.7253911952710976E-2</c:v>
                </c:pt>
                <c:pt idx="636">
                  <c:v>1.7127817613422074E-2</c:v>
                </c:pt>
                <c:pt idx="637">
                  <c:v>1.700262962488E-2</c:v>
                </c:pt>
                <c:pt idx="638">
                  <c:v>1.687834162573856E-2</c:v>
                </c:pt>
                <c:pt idx="639">
                  <c:v>1.675494729769306E-2</c:v>
                </c:pt>
                <c:pt idx="640">
                  <c:v>1.6632440365206638E-2</c:v>
                </c:pt>
                <c:pt idx="641">
                  <c:v>1.6510814595238218E-2</c:v>
                </c:pt>
                <c:pt idx="642">
                  <c:v>1.6390063796971971E-2</c:v>
                </c:pt>
                <c:pt idx="643">
                  <c:v>1.6270181821548203E-2</c:v>
                </c:pt>
                <c:pt idx="644">
                  <c:v>1.6151162561795898E-2</c:v>
                </c:pt>
                <c:pt idx="645">
                  <c:v>1.6032999951966696E-2</c:v>
                </c:pt>
                <c:pt idx="646">
                  <c:v>1.5915687967470362E-2</c:v>
                </c:pt>
                <c:pt idx="647">
                  <c:v>1.579922062461183E-2</c:v>
                </c:pt>
                <c:pt idx="648">
                  <c:v>1.5683591980329609E-2</c:v>
                </c:pt>
                <c:pt idx="649">
                  <c:v>1.5568796131935845E-2</c:v>
                </c:pt>
                <c:pt idx="650">
                  <c:v>1.5454827216857694E-2</c:v>
                </c:pt>
                <c:pt idx="651">
                  <c:v>1.5341679412380311E-2</c:v>
                </c:pt>
                <c:pt idx="652">
                  <c:v>1.5229346935391198E-2</c:v>
                </c:pt>
                <c:pt idx="653">
                  <c:v>1.5117824042126093E-2</c:v>
                </c:pt>
                <c:pt idx="654">
                  <c:v>1.5007105027916219E-2</c:v>
                </c:pt>
                <c:pt idx="655">
                  <c:v>1.489718422693715E-2</c:v>
                </c:pt>
                <c:pt idx="656">
                  <c:v>1.4788056011958909E-2</c:v>
                </c:pt>
                <c:pt idx="657">
                  <c:v>1.4679714794097659E-2</c:v>
                </c:pt>
                <c:pt idx="658">
                  <c:v>1.4572155022568777E-2</c:v>
                </c:pt>
                <c:pt idx="659">
                  <c:v>1.4465371184441359E-2</c:v>
                </c:pt>
                <c:pt idx="660">
                  <c:v>1.4359357804394075E-2</c:v>
                </c:pt>
                <c:pt idx="661">
                  <c:v>1.4254109444472581E-2</c:v>
                </c:pt>
                <c:pt idx="662">
                  <c:v>1.4149620703848191E-2</c:v>
                </c:pt>
                <c:pt idx="663">
                  <c:v>1.4045886218578033E-2</c:v>
                </c:pt>
                <c:pt idx="664">
                  <c:v>1.3942900661366575E-2</c:v>
                </c:pt>
                <c:pt idx="665">
                  <c:v>1.3840658741328563E-2</c:v>
                </c:pt>
                <c:pt idx="666">
                  <c:v>1.3739155203753286E-2</c:v>
                </c:pt>
                <c:pt idx="667">
                  <c:v>1.3638384829870247E-2</c:v>
                </c:pt>
                <c:pt idx="668">
                  <c:v>1.3538342436616259E-2</c:v>
                </c:pt>
                <c:pt idx="669">
                  <c:v>1.3439022876403773E-2</c:v>
                </c:pt>
                <c:pt idx="670">
                  <c:v>1.3340421036890702E-2</c:v>
                </c:pt>
                <c:pt idx="671">
                  <c:v>1.3242531840751526E-2</c:v>
                </c:pt>
                <c:pt idx="672">
                  <c:v>1.3145350245449708E-2</c:v>
                </c:pt>
                <c:pt idx="673">
                  <c:v>1.3048871243011552E-2</c:v>
                </c:pt>
                <c:pt idx="674">
                  <c:v>1.2953089859801302E-2</c:v>
                </c:pt>
                <c:pt idx="675">
                  <c:v>1.2858001156297573E-2</c:v>
                </c:pt>
                <c:pt idx="676">
                  <c:v>1.2763600226871183E-2</c:v>
                </c:pt>
                <c:pt idx="677">
                  <c:v>1.2669882199564176E-2</c:v>
                </c:pt>
                <c:pt idx="678">
                  <c:v>1.2576842235870314E-2</c:v>
                </c:pt>
                <c:pt idx="679">
                  <c:v>1.2484475530516655E-2</c:v>
                </c:pt>
                <c:pt idx="680">
                  <c:v>1.2392777311246654E-2</c:v>
                </c:pt>
                <c:pt idx="681">
                  <c:v>1.2301742838604393E-2</c:v>
                </c:pt>
                <c:pt idx="682">
                  <c:v>1.2211367405720168E-2</c:v>
                </c:pt>
                <c:pt idx="683">
                  <c:v>1.2121646338097305E-2</c:v>
                </c:pt>
                <c:pt idx="684">
                  <c:v>1.2032574993400338E-2</c:v>
                </c:pt>
                <c:pt idx="685">
                  <c:v>1.1944148761244317E-2</c:v>
                </c:pt>
                <c:pt idx="686">
                  <c:v>1.1856363062985494E-2</c:v>
                </c:pt>
                <c:pt idx="687">
                  <c:v>1.1769213351513218E-2</c:v>
                </c:pt>
                <c:pt idx="688">
                  <c:v>1.1682695111043043E-2</c:v>
                </c:pt>
                <c:pt idx="689">
                  <c:v>1.1596803856911139E-2</c:v>
                </c:pt>
                <c:pt idx="690">
                  <c:v>1.1511535135369896E-2</c:v>
                </c:pt>
                <c:pt idx="691">
                  <c:v>1.142688452338478E-2</c:v>
                </c:pt>
                <c:pt idx="692">
                  <c:v>1.1342847628432379E-2</c:v>
                </c:pt>
                <c:pt idx="693">
                  <c:v>1.1259420088299695E-2</c:v>
                </c:pt>
                <c:pt idx="694">
                  <c:v>1.1176597570884668E-2</c:v>
                </c:pt>
                <c:pt idx="695">
                  <c:v>1.1094375773997831E-2</c:v>
                </c:pt>
                <c:pt idx="696">
                  <c:v>1.1012750425165243E-2</c:v>
                </c:pt>
                <c:pt idx="697">
                  <c:v>1.0931717281432548E-2</c:v>
                </c:pt>
                <c:pt idx="698">
                  <c:v>1.0851272129170293E-2</c:v>
                </c:pt>
                <c:pt idx="699">
                  <c:v>1.0771410783880362E-2</c:v>
                </c:pt>
                <c:pt idx="700">
                  <c:v>1.0692129090003609E-2</c:v>
                </c:pt>
                <c:pt idx="701">
                  <c:v>1.0613422920728682E-2</c:v>
                </c:pt>
                <c:pt idx="702">
                  <c:v>1.053528817780197E-2</c:v>
                </c:pt>
                <c:pt idx="703">
                  <c:v>1.045772079133872E-2</c:v>
                </c:pt>
                <c:pt idx="704">
                  <c:v>1.0380716719635367E-2</c:v>
                </c:pt>
                <c:pt idx="705">
                  <c:v>1.0304271948982886E-2</c:v>
                </c:pt>
                <c:pt idx="706">
                  <c:v>1.0228382493481378E-2</c:v>
                </c:pt>
                <c:pt idx="707">
                  <c:v>1.0153044394855797E-2</c:v>
                </c:pt>
                <c:pt idx="708">
                  <c:v>1.0078253722272725E-2</c:v>
                </c:pt>
                <c:pt idx="709">
                  <c:v>1.0004006572158369E-2</c:v>
                </c:pt>
                <c:pt idx="710">
                  <c:v>9.9302990680175708E-3</c:v>
                </c:pt>
                <c:pt idx="711">
                  <c:v>9.8571273602540196E-3</c:v>
                </c:pt>
                <c:pt idx="712">
                  <c:v>9.7844876259915066E-3</c:v>
                </c:pt>
                <c:pt idx="713">
                  <c:v>9.7123760688963261E-3</c:v>
                </c:pt>
                <c:pt idx="714">
                  <c:v>9.640788919000734E-3</c:v>
                </c:pt>
                <c:pt idx="715">
                  <c:v>9.5697224325275027E-3</c:v>
                </c:pt>
                <c:pt idx="716">
                  <c:v>9.4991728917155765E-3</c:v>
                </c:pt>
                <c:pt idx="717">
                  <c:v>9.429136604646773E-3</c:v>
                </c:pt>
                <c:pt idx="718">
                  <c:v>9.3596099050735869E-3</c:v>
                </c:pt>
                <c:pt idx="719">
                  <c:v>9.2905891522480598E-3</c:v>
                </c:pt>
                <c:pt idx="720">
                  <c:v>9.2220707307516369E-3</c:v>
                </c:pt>
                <c:pt idx="721">
                  <c:v>9.1540510503262135E-3</c:v>
                </c:pt>
                <c:pt idx="722">
                  <c:v>9.0865265457060942E-3</c:v>
                </c:pt>
                <c:pt idx="723">
                  <c:v>9.0194936764510722E-3</c:v>
                </c:pt>
                <c:pt idx="724">
                  <c:v>8.9529489267805452E-3</c:v>
                </c:pt>
                <c:pt idx="725">
                  <c:v>8.886888805408593E-3</c:v>
                </c:pt>
                <c:pt idx="726">
                  <c:v>8.8213098453802166E-3</c:v>
                </c:pt>
                <c:pt idx="727">
                  <c:v>8.7562086039084143E-3</c:v>
                </c:pt>
                <c:pt idx="728">
                  <c:v>8.6915816622124605E-3</c:v>
                </c:pt>
                <c:pt idx="729">
                  <c:v>8.6274256253570589E-3</c:v>
                </c:pt>
                <c:pt idx="730">
                  <c:v>8.5637371220925636E-3</c:v>
                </c:pt>
                <c:pt idx="731">
                  <c:v>8.5005128046961968E-3</c:v>
                </c:pt>
                <c:pt idx="732">
                  <c:v>8.4377493488142098E-3</c:v>
                </c:pt>
                <c:pt idx="733">
                  <c:v>8.3754434533051206E-3</c:v>
                </c:pt>
                <c:pt idx="734">
                  <c:v>8.3135918400838449E-3</c:v>
                </c:pt>
                <c:pt idx="735">
                  <c:v>8.2521912539668535E-3</c:v>
                </c:pt>
                <c:pt idx="736">
                  <c:v>8.1912384625183222E-3</c:v>
                </c:pt>
                <c:pt idx="737">
                  <c:v>8.130730255897169E-3</c:v>
                </c:pt>
                <c:pt idx="738">
                  <c:v>8.0706634467051404E-3</c:v>
                </c:pt>
                <c:pt idx="739">
                  <c:v>8.0110348698357956E-3</c:v>
                </c:pt>
                <c:pt idx="740">
                  <c:v>7.9518413823244701E-3</c:v>
                </c:pt>
                <c:pt idx="741">
                  <c:v>7.8930798631991917E-3</c:v>
                </c:pt>
                <c:pt idx="742">
                  <c:v>7.8347472133324953E-3</c:v>
                </c:pt>
                <c:pt idx="743">
                  <c:v>7.7768403552942143E-3</c:v>
                </c:pt>
                <c:pt idx="744">
                  <c:v>7.719356233205194E-3</c:v>
                </c:pt>
                <c:pt idx="745">
                  <c:v>7.6622918125919216E-3</c:v>
                </c:pt>
                <c:pt idx="746">
                  <c:v>7.6056440802420681E-3</c:v>
                </c:pt>
                <c:pt idx="747">
                  <c:v>7.5494100440609644E-3</c:v>
                </c:pt>
                <c:pt idx="748">
                  <c:v>7.4935867329290022E-3</c:v>
                </c:pt>
                <c:pt idx="749">
                  <c:v>7.4381711965598573E-3</c:v>
                </c:pt>
                <c:pt idx="750">
                  <c:v>7.3831605053597382E-3</c:v>
                </c:pt>
                <c:pt idx="751">
                  <c:v>7.328551750287419E-3</c:v>
                </c:pt>
                <c:pt idx="752">
                  <c:v>7.2743420427152147E-3</c:v>
                </c:pt>
                <c:pt idx="753">
                  <c:v>7.2205285142908464E-3</c:v>
                </c:pt>
                <c:pt idx="754">
                  <c:v>7.1671083168001514E-3</c:v>
                </c:pt>
                <c:pt idx="755">
                  <c:v>7.1140786220306954E-3</c:v>
                </c:pt>
                <c:pt idx="756">
                  <c:v>7.061436621636252E-3</c:v>
                </c:pt>
                <c:pt idx="757">
                  <c:v>7.0091795270021346E-3</c:v>
                </c:pt>
                <c:pt idx="758">
                  <c:v>6.9573045691113918E-3</c:v>
                </c:pt>
                <c:pt idx="759">
                  <c:v>6.9058089984118847E-3</c:v>
                </c:pt>
                <c:pt idx="760">
                  <c:v>6.8546900846841452E-3</c:v>
                </c:pt>
                <c:pt idx="761">
                  <c:v>6.8039451169101669E-3</c:v>
                </c:pt>
                <c:pt idx="762">
                  <c:v>6.7535714031429772E-3</c:v>
                </c:pt>
                <c:pt idx="763">
                  <c:v>6.7035662703770742E-3</c:v>
                </c:pt>
                <c:pt idx="764">
                  <c:v>6.6539270644196472E-3</c:v>
                </c:pt>
                <c:pt idx="765">
                  <c:v>6.6046511497626992E-3</c:v>
                </c:pt>
                <c:pt idx="766">
                  <c:v>6.5557359094559385E-3</c:v>
                </c:pt>
                <c:pt idx="767">
                  <c:v>6.5071787449804798E-3</c:v>
                </c:pt>
                <c:pt idx="768">
                  <c:v>6.4589770761233987E-3</c:v>
                </c:pt>
                <c:pt idx="769">
                  <c:v>6.4111283408530544E-3</c:v>
                </c:pt>
                <c:pt idx="770">
                  <c:v>6.3636299951952404E-3</c:v>
                </c:pt>
                <c:pt idx="771">
                  <c:v>6.3164795131101211E-3</c:v>
                </c:pt>
                <c:pt idx="772">
                  <c:v>6.2696743863699667E-3</c:v>
                </c:pt>
                <c:pt idx="773">
                  <c:v>6.2232121244376673E-3</c:v>
                </c:pt>
                <c:pt idx="774">
                  <c:v>6.1770902543460396E-3</c:v>
                </c:pt>
                <c:pt idx="775">
                  <c:v>6.131306320577924E-3</c:v>
                </c:pt>
                <c:pt idx="776">
                  <c:v>6.0858578849470185E-3</c:v>
                </c:pt>
                <c:pt idx="777">
                  <c:v>6.0407425264795448E-3</c:v>
                </c:pt>
                <c:pt idx="778">
                  <c:v>5.9959578412966154E-3</c:v>
                </c:pt>
                <c:pt idx="779">
                  <c:v>5.9515014424974004E-3</c:v>
                </c:pt>
                <c:pt idx="780">
                  <c:v>5.907370960043048E-3</c:v>
                </c:pt>
                <c:pt idx="781">
                  <c:v>5.8635640406413444E-3</c:v>
                </c:pt>
                <c:pt idx="782">
                  <c:v>5.8200783476321264E-3</c:v>
                </c:pt>
                <c:pt idx="783">
                  <c:v>5.7769115608734675E-3</c:v>
                </c:pt>
                <c:pt idx="784">
                  <c:v>5.7340613766285404E-3</c:v>
                </c:pt>
                <c:pt idx="785">
                  <c:v>5.6915255074532741E-3</c:v>
                </c:pt>
                <c:pt idx="786">
                  <c:v>5.6493016820847114E-3</c:v>
                </c:pt>
                <c:pt idx="787">
                  <c:v>5.6073876453301081E-3</c:v>
                </c:pt>
                <c:pt idx="788">
                  <c:v>5.5657811579567333E-3</c:v>
                </c:pt>
                <c:pt idx="789">
                  <c:v>5.5244799965824066E-3</c:v>
                </c:pt>
                <c:pt idx="790">
                  <c:v>5.4834819535667587E-3</c:v>
                </c:pt>
                <c:pt idx="791">
                  <c:v>5.4427848369031639E-3</c:v>
                </c:pt>
                <c:pt idx="792">
                  <c:v>5.4023864701114041E-3</c:v>
                </c:pt>
                <c:pt idx="793">
                  <c:v>5.3622846921310471E-3</c:v>
                </c:pt>
                <c:pt idx="794">
                  <c:v>5.3224773572154802E-3</c:v>
                </c:pt>
                <c:pt idx="795">
                  <c:v>5.2829623348266764E-3</c:v>
                </c:pt>
                <c:pt idx="796">
                  <c:v>5.2437375095306339E-3</c:v>
                </c:pt>
                <c:pt idx="797">
                  <c:v>5.2048007808934791E-3</c:v>
                </c:pt>
                <c:pt idx="798">
                  <c:v>5.166150063378303E-3</c:v>
                </c:pt>
                <c:pt idx="799">
                  <c:v>5.1277832862426089E-3</c:v>
                </c:pt>
                <c:pt idx="800">
                  <c:v>5.0896983934364893E-3</c:v>
                </c:pt>
                <c:pt idx="801">
                  <c:v>5.0518933435014356E-3</c:v>
                </c:pt>
                <c:pt idx="802">
                  <c:v>5.0143661094698136E-3</c:v>
                </c:pt>
                <c:pt idx="803">
                  <c:v>4.9771146787650237E-3</c:v>
                </c:pt>
                <c:pt idx="804">
                  <c:v>4.940137053102295E-3</c:v>
                </c:pt>
                <c:pt idx="805">
                  <c:v>4.9034312483901381E-3</c:v>
                </c:pt>
                <c:pt idx="806">
                  <c:v>4.8669952946324407E-3</c:v>
                </c:pt>
                <c:pt idx="807">
                  <c:v>4.8308272358312315E-3</c:v>
                </c:pt>
                <c:pt idx="808">
                  <c:v>4.7949251298900417E-3</c:v>
                </c:pt>
                <c:pt idx="809">
                  <c:v>4.7592870485179458E-3</c:v>
                </c:pt>
                <c:pt idx="810">
                  <c:v>4.723911077134206E-3</c:v>
                </c:pt>
                <c:pt idx="811">
                  <c:v>4.6887953147735683E-3</c:v>
                </c:pt>
                <c:pt idx="812">
                  <c:v>4.6539378739921585E-3</c:v>
                </c:pt>
                <c:pt idx="813">
                  <c:v>4.61933688077403E-3</c:v>
                </c:pt>
                <c:pt idx="814">
                  <c:v>4.5849904744382827E-3</c:v>
                </c:pt>
                <c:pt idx="815">
                  <c:v>4.5508968075468588E-3</c:v>
                </c:pt>
                <c:pt idx="816">
                  <c:v>4.5170540458128929E-3</c:v>
                </c:pt>
                <c:pt idx="817">
                  <c:v>4.4834603680097051E-3</c:v>
                </c:pt>
                <c:pt idx="818">
                  <c:v>4.4501139658803561E-3</c:v>
                </c:pt>
                <c:pt idx="819">
                  <c:v>4.4170130440478591E-3</c:v>
                </c:pt>
                <c:pt idx="820">
                  <c:v>4.3841558199259343E-3</c:v>
                </c:pt>
                <c:pt idx="821">
                  <c:v>4.3515405236303813E-3</c:v>
                </c:pt>
                <c:pt idx="822">
                  <c:v>4.3191653978910255E-3</c:v>
                </c:pt>
                <c:pt idx="823">
                  <c:v>4.2870286979642767E-3</c:v>
                </c:pt>
                <c:pt idx="824">
                  <c:v>4.25512869154622E-3</c:v>
                </c:pt>
                <c:pt idx="825">
                  <c:v>4.2234636586863427E-3</c:v>
                </c:pt>
                <c:pt idx="826">
                  <c:v>4.1920318917017755E-3</c:v>
                </c:pt>
                <c:pt idx="827">
                  <c:v>4.1608316950921542E-3</c:v>
                </c:pt>
                <c:pt idx="828">
                  <c:v>4.1298613854550172E-3</c:v>
                </c:pt>
                <c:pt idx="829">
                  <c:v>4.0991192914017812E-3</c:v>
                </c:pt>
                <c:pt idx="830">
                  <c:v>4.0686037534742609E-3</c:v>
                </c:pt>
                <c:pt idx="831">
                  <c:v>4.0383131240617548E-3</c:v>
                </c:pt>
                <c:pt idx="832">
                  <c:v>4.0082457673186996E-3</c:v>
                </c:pt>
                <c:pt idx="833">
                  <c:v>3.978400059082841E-3</c:v>
                </c:pt>
                <c:pt idx="834">
                  <c:v>3.9487743867939688E-3</c:v>
                </c:pt>
                <c:pt idx="835">
                  <c:v>3.9193671494132049E-3</c:v>
                </c:pt>
                <c:pt idx="836">
                  <c:v>3.8901767573428017E-3</c:v>
                </c:pt>
                <c:pt idx="837">
                  <c:v>3.8612016323465001E-3</c:v>
                </c:pt>
                <c:pt idx="838">
                  <c:v>3.8324402074704214E-3</c:v>
                </c:pt>
                <c:pt idx="839">
                  <c:v>3.8038909269644591E-3</c:v>
                </c:pt>
                <c:pt idx="840">
                  <c:v>3.7755522462042342E-3</c:v>
                </c:pt>
                <c:pt idx="841">
                  <c:v>3.7474226316135525E-3</c:v>
                </c:pt>
                <c:pt idx="842">
                  <c:v>3.7195005605873692E-3</c:v>
                </c:pt>
                <c:pt idx="843">
                  <c:v>3.6917845214153055E-3</c:v>
                </c:pt>
                <c:pt idx="844">
                  <c:v>3.6642730132056484E-3</c:v>
                </c:pt>
                <c:pt idx="845">
                  <c:v>3.6369645458098642E-3</c:v>
                </c:pt>
                <c:pt idx="846">
                  <c:v>3.6098576397476231E-3</c:v>
                </c:pt>
                <c:pt idx="847">
                  <c:v>3.5829508261323332E-3</c:v>
                </c:pt>
                <c:pt idx="848">
                  <c:v>3.5562426465971641E-3</c:v>
                </c:pt>
                <c:pt idx="849">
                  <c:v>3.5297316532215727E-3</c:v>
                </c:pt>
                <c:pt idx="850">
                  <c:v>3.5034164084583128E-3</c:v>
                </c:pt>
                <c:pt idx="851">
                  <c:v>3.4772954850609567E-3</c:v>
                </c:pt>
                <c:pt idx="852">
                  <c:v>3.4513674660118826E-3</c:v>
                </c:pt>
                <c:pt idx="853">
                  <c:v>3.4256309444507635E-3</c:v>
                </c:pt>
                <c:pt idx="854">
                  <c:v>3.4000845236035137E-3</c:v>
                </c:pt>
                <c:pt idx="855">
                  <c:v>3.3747268167117483E-3</c:v>
                </c:pt>
                <c:pt idx="856">
                  <c:v>3.3495564469626857E-3</c:v>
                </c:pt>
                <c:pt idx="857">
                  <c:v>3.3245720474195449E-3</c:v>
                </c:pt>
                <c:pt idx="858">
                  <c:v>3.2997722609523954E-3</c:v>
                </c:pt>
                <c:pt idx="859">
                  <c:v>3.2751557401694852E-3</c:v>
                </c:pt>
                <c:pt idx="860">
                  <c:v>3.2507211473490273E-3</c:v>
                </c:pt>
                <c:pt idx="861">
                  <c:v>3.226467154371449E-3</c:v>
                </c:pt>
                <c:pt idx="862">
                  <c:v>3.2023924426520995E-3</c:v>
                </c:pt>
                <c:pt idx="863">
                  <c:v>3.1784957030744042E-3</c:v>
                </c:pt>
                <c:pt idx="864">
                  <c:v>3.1547756359234778E-3</c:v>
                </c:pt>
                <c:pt idx="865">
                  <c:v>3.1312309508201965E-3</c:v>
                </c:pt>
                <c:pt idx="866">
                  <c:v>3.1078603666556898E-3</c:v>
                </c:pt>
                <c:pt idx="867">
                  <c:v>3.0846626115262994E-3</c:v>
                </c:pt>
                <c:pt idx="868">
                  <c:v>3.0616364226689636E-3</c:v>
                </c:pt>
                <c:pt idx="869">
                  <c:v>3.0387805463970626E-3</c:v>
                </c:pt>
                <c:pt idx="870">
                  <c:v>3.0160937380366609E-3</c:v>
                </c:pt>
                <c:pt idx="871">
                  <c:v>2.9935747618632042E-3</c:v>
                </c:pt>
                <c:pt idx="872">
                  <c:v>2.9712223910386653E-3</c:v>
                </c:pt>
                <c:pt idx="873">
                  <c:v>2.9490354075490709E-3</c:v>
                </c:pt>
                <c:pt idx="874">
                  <c:v>2.9270126021424901E-3</c:v>
                </c:pt>
                <c:pt idx="875">
                  <c:v>2.9051527742674234E-3</c:v>
                </c:pt>
                <c:pt idx="876">
                  <c:v>2.8834547320116225E-3</c:v>
                </c:pt>
                <c:pt idx="877">
                  <c:v>2.861917292041312E-3</c:v>
                </c:pt>
                <c:pt idx="878">
                  <c:v>2.8405392795408492E-3</c:v>
                </c:pt>
                <c:pt idx="879">
                  <c:v>2.819319528152757E-3</c:v>
                </c:pt>
                <c:pt idx="880">
                  <c:v>2.7982568799181894E-3</c:v>
                </c:pt>
                <c:pt idx="881">
                  <c:v>2.7773501852178207E-3</c:v>
                </c:pt>
                <c:pt idx="882">
                  <c:v>2.756598302713078E-3</c:v>
                </c:pt>
                <c:pt idx="883">
                  <c:v>2.7360000992878398E-3</c:v>
                </c:pt>
                <c:pt idx="884">
                  <c:v>2.7155544499904822E-3</c:v>
                </c:pt>
                <c:pt idx="885">
                  <c:v>2.6952602379763475E-3</c:v>
                </c:pt>
                <c:pt idx="886">
                  <c:v>2.675116354450609E-3</c:v>
                </c:pt>
                <c:pt idx="887">
                  <c:v>2.6551216986114914E-3</c:v>
                </c:pt>
                <c:pt idx="888">
                  <c:v>2.6352751775939147E-3</c:v>
                </c:pt>
                <c:pt idx="889">
                  <c:v>2.615575706413503E-3</c:v>
                </c:pt>
                <c:pt idx="890">
                  <c:v>2.5960222079109922E-3</c:v>
                </c:pt>
                <c:pt idx="891">
                  <c:v>2.5766136126969827E-3</c:v>
                </c:pt>
                <c:pt idx="892">
                  <c:v>2.5573488590971316E-3</c:v>
                </c:pt>
                <c:pt idx="893">
                  <c:v>2.5382268930976334E-3</c:v>
                </c:pt>
                <c:pt idx="894">
                  <c:v>2.5192466682911682E-3</c:v>
                </c:pt>
                <c:pt idx="895">
                  <c:v>2.5004071458231323E-3</c:v>
                </c:pt>
                <c:pt idx="896">
                  <c:v>2.4817072943383125E-3</c:v>
                </c:pt>
                <c:pt idx="897">
                  <c:v>2.4631460899278619E-3</c:v>
                </c:pt>
                <c:pt idx="898">
                  <c:v>2.4447225160766726E-3</c:v>
                </c:pt>
                <c:pt idx="899">
                  <c:v>2.4264355636111228E-3</c:v>
                </c:pt>
                <c:pt idx="900">
                  <c:v>2.4082842306471339E-3</c:v>
                </c:pt>
                <c:pt idx="901">
                  <c:v>2.3902675225386289E-3</c:v>
                </c:pt>
                <c:pt idx="902">
                  <c:v>2.3723844518263172E-3</c:v>
                </c:pt>
                <c:pt idx="903">
                  <c:v>2.3546340381868521E-3</c:v>
                </c:pt>
                <c:pt idx="904">
                  <c:v>2.3370153083823141E-3</c:v>
                </c:pt>
                <c:pt idx="905">
                  <c:v>2.3195272962100509E-3</c:v>
                </c:pt>
                <c:pt idx="906">
                  <c:v>2.302169042452873E-3</c:v>
                </c:pt>
                <c:pt idx="907">
                  <c:v>2.2849395948295807E-3</c:v>
                </c:pt>
                <c:pt idx="908">
                  <c:v>2.2678380079458106E-3</c:v>
                </c:pt>
                <c:pt idx="909">
                  <c:v>2.2508633432452756E-3</c:v>
                </c:pt>
                <c:pt idx="910">
                  <c:v>2.2340146689612699E-3</c:v>
                </c:pt>
                <c:pt idx="911">
                  <c:v>2.2172910600685618E-3</c:v>
                </c:pt>
                <c:pt idx="912">
                  <c:v>2.2006915982356033E-3</c:v>
                </c:pt>
                <c:pt idx="913">
                  <c:v>2.1842153717770447E-3</c:v>
                </c:pt>
                <c:pt idx="914">
                  <c:v>2.1678614756066071E-3</c:v>
                </c:pt>
                <c:pt idx="915">
                  <c:v>2.1516290111902644E-3</c:v>
                </c:pt>
                <c:pt idx="916">
                  <c:v>2.1355170864997583E-3</c:v>
                </c:pt>
                <c:pt idx="917">
                  <c:v>2.1195248159664084E-3</c:v>
                </c:pt>
                <c:pt idx="918">
                  <c:v>2.1036513204352714E-3</c:v>
                </c:pt>
                <c:pt idx="919">
                  <c:v>2.0878957271195987E-3</c:v>
                </c:pt>
                <c:pt idx="920">
                  <c:v>2.0722571695556092E-3</c:v>
                </c:pt>
                <c:pt idx="921">
                  <c:v>2.0567347875575875E-3</c:v>
                </c:pt>
                <c:pt idx="922">
                  <c:v>2.0413277271732633E-3</c:v>
                </c:pt>
                <c:pt idx="923">
                  <c:v>2.0260351406395346E-3</c:v>
                </c:pt>
                <c:pt idx="924">
                  <c:v>2.0108561863384708E-3</c:v>
                </c:pt>
                <c:pt idx="925">
                  <c:v>1.9957900287536309E-3</c:v>
                </c:pt>
                <c:pt idx="926">
                  <c:v>1.9808358384266773E-3</c:v>
                </c:pt>
                <c:pt idx="927">
                  <c:v>1.9659927919142839E-3</c:v>
                </c:pt>
                <c:pt idx="928">
                  <c:v>1.9512600717453779E-3</c:v>
                </c:pt>
                <c:pt idx="929">
                  <c:v>1.9366368663786191E-3</c:v>
                </c:pt>
                <c:pt idx="930">
                  <c:v>1.9221223701602205E-3</c:v>
                </c:pt>
                <c:pt idx="931">
                  <c:v>1.9077157832820509E-3</c:v>
                </c:pt>
                <c:pt idx="932">
                  <c:v>1.8934163117400001E-3</c:v>
                </c:pt>
                <c:pt idx="933">
                  <c:v>1.8792231672926732E-3</c:v>
                </c:pt>
                <c:pt idx="934">
                  <c:v>1.8651355674203435E-3</c:v>
                </c:pt>
                <c:pt idx="935">
                  <c:v>1.8511527352841916E-3</c:v>
                </c:pt>
                <c:pt idx="936">
                  <c:v>1.8372738996858499E-3</c:v>
                </c:pt>
                <c:pt idx="937">
                  <c:v>1.8234982950271867E-3</c:v>
                </c:pt>
                <c:pt idx="938">
                  <c:v>1.8098251612704188E-3</c:v>
                </c:pt>
                <c:pt idx="939">
                  <c:v>1.796253743898449E-3</c:v>
                </c:pt>
                <c:pt idx="940">
                  <c:v>1.7827832938755272E-3</c:v>
                </c:pt>
                <c:pt idx="941">
                  <c:v>1.7694130676081496E-3</c:v>
                </c:pt>
                <c:pt idx="942">
                  <c:v>1.7561423269062423E-3</c:v>
                </c:pt>
                <c:pt idx="943">
                  <c:v>1.7429703389446178E-3</c:v>
                </c:pt>
                <c:pt idx="944">
                  <c:v>1.7298963762246923E-3</c:v>
                </c:pt>
                <c:pt idx="945">
                  <c:v>1.7169197165364746E-3</c:v>
                </c:pt>
                <c:pt idx="946">
                  <c:v>1.7040396429208128E-3</c:v>
                </c:pt>
                <c:pt idx="947">
                  <c:v>1.6912554436319099E-3</c:v>
                </c:pt>
                <c:pt idx="948">
                  <c:v>1.6785664121000993E-3</c:v>
                </c:pt>
                <c:pt idx="949">
                  <c:v>1.6659718468948674E-3</c:v>
                </c:pt>
                <c:pt idx="950">
                  <c:v>1.6534710516881578E-3</c:v>
                </c:pt>
                <c:pt idx="951">
                  <c:v>1.6410633352179039E-3</c:v>
                </c:pt>
                <c:pt idx="952">
                  <c:v>1.6287480112518351E-3</c:v>
                </c:pt>
                <c:pt idx="953">
                  <c:v>1.6165243985515245E-3</c:v>
                </c:pt>
                <c:pt idx="954">
                  <c:v>1.6043918208366946E-3</c:v>
                </c:pt>
                <c:pt idx="955">
                  <c:v>1.5923496067497575E-3</c:v>
                </c:pt>
                <c:pt idx="956">
                  <c:v>1.5803970898206241E-3</c:v>
                </c:pt>
                <c:pt idx="957">
                  <c:v>1.5685336084317384E-3</c:v>
                </c:pt>
                <c:pt idx="958">
                  <c:v>1.5567585057833643E-3</c:v>
                </c:pt>
                <c:pt idx="959">
                  <c:v>1.5450711298591263E-3</c:v>
                </c:pt>
                <c:pt idx="960">
                  <c:v>1.5334708333917544E-3</c:v>
                </c:pt>
                <c:pt idx="961">
                  <c:v>1.5219569738291168E-3</c:v>
                </c:pt>
                <c:pt idx="962">
                  <c:v>1.510528913300448E-3</c:v>
                </c:pt>
                <c:pt idx="963">
                  <c:v>1.4991860185828354E-3</c:v>
                </c:pt>
                <c:pt idx="964">
                  <c:v>1.4879276610679391E-3</c:v>
                </c:pt>
                <c:pt idx="965">
                  <c:v>1.4767532167289329E-3</c:v>
                </c:pt>
                <c:pt idx="966">
                  <c:v>1.465662066087677E-3</c:v>
                </c:pt>
                <c:pt idx="967">
                  <c:v>1.4546535941821451E-3</c:v>
                </c:pt>
                <c:pt idx="968">
                  <c:v>1.4437271905340385E-3</c:v>
                </c:pt>
                <c:pt idx="969">
                  <c:v>1.4328822491166586E-3</c:v>
                </c:pt>
                <c:pt idx="970">
                  <c:v>1.4221181683229975E-3</c:v>
                </c:pt>
                <c:pt idx="971">
                  <c:v>1.4114343509340401E-3</c:v>
                </c:pt>
                <c:pt idx="972">
                  <c:v>1.4008302040872972E-3</c:v>
                </c:pt>
                <c:pt idx="973">
                  <c:v>1.390305139245559E-3</c:v>
                </c:pt>
                <c:pt idx="974">
                  <c:v>1.379858572165871E-3</c:v>
                </c:pt>
                <c:pt idx="975">
                  <c:v>1.3694899228687139E-3</c:v>
                </c:pt>
                <c:pt idx="976">
                  <c:v>1.3591986156074123E-3</c:v>
                </c:pt>
                <c:pt idx="977">
                  <c:v>1.3489840788377489E-3</c:v>
                </c:pt>
                <c:pt idx="978">
                  <c:v>1.3388457451878042E-3</c:v>
                </c:pt>
                <c:pt idx="979">
                  <c:v>1.3287830514279923E-3</c:v>
                </c:pt>
                <c:pt idx="980">
                  <c:v>1.3187954384413184E-3</c:v>
                </c:pt>
                <c:pt idx="981">
                  <c:v>1.3088823511938313E-3</c:v>
                </c:pt>
                <c:pt idx="982">
                  <c:v>1.2990432387053109E-3</c:v>
                </c:pt>
                <c:pt idx="983">
                  <c:v>1.289277554020119E-3</c:v>
                </c:pt>
                <c:pt idx="984">
                  <c:v>1.2795847541782986E-3</c:v>
                </c:pt>
                <c:pt idx="985">
                  <c:v>1.2699643001868484E-3</c:v>
                </c:pt>
                <c:pt idx="986">
                  <c:v>1.2604156569912032E-3</c:v>
                </c:pt>
                <c:pt idx="987">
                  <c:v>1.2509382934469267E-3</c:v>
                </c:pt>
                <c:pt idx="988">
                  <c:v>1.2415316822915828E-3</c:v>
                </c:pt>
                <c:pt idx="989">
                  <c:v>1.2321953001168326E-3</c:v>
                </c:pt>
                <c:pt idx="990">
                  <c:v>1.2229286273406983E-3</c:v>
                </c:pt>
                <c:pt idx="991">
                  <c:v>1.2137311481800355E-3</c:v>
                </c:pt>
                <c:pt idx="992">
                  <c:v>1.2046023506232101E-3</c:v>
                </c:pt>
                <c:pt idx="993">
                  <c:v>1.1955417264029474E-3</c:v>
                </c:pt>
                <c:pt idx="994">
                  <c:v>1.1865487709693794E-3</c:v>
                </c:pt>
                <c:pt idx="995">
                  <c:v>1.1776229834632899E-3</c:v>
                </c:pt>
                <c:pt idx="996">
                  <c:v>1.1687638666895372E-3</c:v>
                </c:pt>
                <c:pt idx="997">
                  <c:v>1.1599709270906705E-3</c:v>
                </c:pt>
                <c:pt idx="998">
                  <c:v>1.1512436747207282E-3</c:v>
                </c:pt>
                <c:pt idx="999">
                  <c:v>1.1425816232192259E-3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0-425B-AD41-6BDD35C9F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99648"/>
        <c:axId val="16750118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numRef>
              <c:f>Hjælp!$F$2:$F$4</c:f>
              <c:numCache>
                <c:formatCode>General</c:formatCode>
                <c:ptCount val="3"/>
                <c:pt idx="0">
                  <c:v>1.9999999999999998</c:v>
                </c:pt>
                <c:pt idx="1">
                  <c:v>1.9999999999999998</c:v>
                </c:pt>
                <c:pt idx="2">
                  <c:v>0</c:v>
                </c:pt>
              </c:numCache>
            </c:numRef>
          </c:xVal>
          <c:yVal>
            <c:numRef>
              <c:f>Hjælp!$G$2:$G$4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0.57240670447087982</c:v>
                </c:pt>
                <c:pt idx="2">
                  <c:v>0.57240670447087982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20-425B-AD41-6BDD35C9F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99648"/>
        <c:axId val="167501184"/>
      </c:scatterChart>
      <c:valAx>
        <c:axId val="16749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501184"/>
        <c:crosses val="autoZero"/>
        <c:crossBetween val="midCat"/>
        <c:majorUnit val="1"/>
      </c:valAx>
      <c:valAx>
        <c:axId val="16750118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67499648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a-DK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2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8-4A5D-A437-A04E97CF3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60160"/>
        <c:axId val="167658624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5.0060559744146423E-2</c:v>
                </c:pt>
                <c:pt idx="1">
                  <c:v>5.0060559744146423E-2</c:v>
                </c:pt>
                <c:pt idx="2">
                  <c:v>7.0232211403017164E-2</c:v>
                </c:pt>
                <c:pt idx="3">
                  <c:v>8.533115360043822E-2</c:v>
                </c:pt>
                <c:pt idx="4">
                  <c:v>9.774681820138445E-2</c:v>
                </c:pt>
                <c:pt idx="5">
                  <c:v>0.10841347871048637</c:v>
                </c:pt>
                <c:pt idx="6">
                  <c:v>0.11781471776790522</c:v>
                </c:pt>
                <c:pt idx="7">
                  <c:v>0.12624046517460152</c:v>
                </c:pt>
                <c:pt idx="8">
                  <c:v>0.13388138725877138</c:v>
                </c:pt>
                <c:pt idx="9">
                  <c:v>0.14087116595794844</c:v>
                </c:pt>
                <c:pt idx="10">
                  <c:v>0.14730805612132938</c:v>
                </c:pt>
                <c:pt idx="11">
                  <c:v>0.15326693950372319</c:v>
                </c:pt>
                <c:pt idx="12">
                  <c:v>0.1588065496008387</c:v>
                </c:pt>
                <c:pt idx="13">
                  <c:v>0.16397404385755371</c:v>
                </c:pt>
                <c:pt idx="14">
                  <c:v>0.16880802663961955</c:v>
                </c:pt>
                <c:pt idx="15">
                  <c:v>0.17334062129521516</c:v>
                </c:pt>
                <c:pt idx="16">
                  <c:v>0.17759893404233479</c:v>
                </c:pt>
                <c:pt idx="17">
                  <c:v>0.18160611516828212</c:v>
                </c:pt>
                <c:pt idx="18">
                  <c:v>0.18538214558323712</c:v>
                </c:pt>
                <c:pt idx="19">
                  <c:v>0.18894443119537252</c:v>
                </c:pt>
                <c:pt idx="20">
                  <c:v>0.19230825976786159</c:v>
                </c:pt>
                <c:pt idx="21">
                  <c:v>0.19548715740956371</c:v>
                </c:pt>
                <c:pt idx="22">
                  <c:v>0.19849317051819093</c:v>
                </c:pt>
                <c:pt idx="23">
                  <c:v>0.20133709147737824</c:v>
                </c:pt>
                <c:pt idx="24">
                  <c:v>0.2040286413125646</c:v>
                </c:pt>
                <c:pt idx="25">
                  <c:v>0.20657661898691132</c:v>
                </c:pt>
                <c:pt idx="26">
                  <c:v>0.20898902453870699</c:v>
                </c:pt>
                <c:pt idx="27">
                  <c:v>0.21127316148828126</c:v>
                </c:pt>
                <c:pt idx="28">
                  <c:v>0.213435722655449</c:v>
                </c:pt>
                <c:pt idx="29">
                  <c:v>0.21548286258186183</c:v>
                </c:pt>
                <c:pt idx="30">
                  <c:v>0.2174202590477157</c:v>
                </c:pt>
                <c:pt idx="31">
                  <c:v>0.21925316564130073</c:v>
                </c:pt>
                <c:pt idx="32">
                  <c:v>0.22098645693571781</c:v>
                </c:pt>
                <c:pt idx="33">
                  <c:v>0.22262466751642293</c:v>
                </c:pt>
                <c:pt idx="34">
                  <c:v>0.22417202586226384</c:v>
                </c:pt>
                <c:pt idx="35">
                  <c:v>0.22563248389414692</c:v>
                </c:pt>
                <c:pt idx="36">
                  <c:v>0.22700974285679318</c:v>
                </c:pt>
                <c:pt idx="37">
                  <c:v>0.22830727608092613</c:v>
                </c:pt>
                <c:pt idx="38">
                  <c:v>0.22952834907872927</c:v>
                </c:pt>
                <c:pt idx="39">
                  <c:v>0.23067603734930459</c:v>
                </c:pt>
                <c:pt idx="40">
                  <c:v>0.23175324220918617</c:v>
                </c:pt>
                <c:pt idx="41">
                  <c:v>0.2327627049126873</c:v>
                </c:pt>
                <c:pt idx="42">
                  <c:v>0.23370701928564969</c:v>
                </c:pt>
                <c:pt idx="43">
                  <c:v>0.23458864306220664</c:v>
                </c:pt>
                <c:pt idx="44">
                  <c:v>0.2354099080860492</c:v>
                </c:pt>
                <c:pt idx="45">
                  <c:v>0.2361730295142862</c:v>
                </c:pt>
                <c:pt idx="46">
                  <c:v>0.23688011414243162</c:v>
                </c:pt>
                <c:pt idx="47">
                  <c:v>0.23753316795263416</c:v>
                </c:pt>
                <c:pt idx="48">
                  <c:v>0.2381341029734263</c:v>
                </c:pt>
                <c:pt idx="49">
                  <c:v>0.23868474352756211</c:v>
                </c:pt>
                <c:pt idx="50">
                  <c:v>0.23918683193456394</c:v>
                </c:pt>
                <c:pt idx="51">
                  <c:v>0.23964203372612469</c:v>
                </c:pt>
                <c:pt idx="52">
                  <c:v>0.24005194242525696</c:v>
                </c:pt>
                <c:pt idx="53">
                  <c:v>0.24041808393386127</c:v>
                </c:pt>
                <c:pt idx="54">
                  <c:v>0.24074192056802651</c:v>
                </c:pt>
                <c:pt idx="55">
                  <c:v>0.24102485477575131</c:v>
                </c:pt>
                <c:pt idx="56">
                  <c:v>0.24126823256776941</c:v>
                </c:pt>
                <c:pt idx="57">
                  <c:v>0.2414733466886842</c:v>
                </c:pt>
                <c:pt idx="58">
                  <c:v>0.24164143955258802</c:v>
                </c:pt>
                <c:pt idx="59">
                  <c:v>0.24177370596469874</c:v>
                </c:pt>
                <c:pt idx="60">
                  <c:v>0.24187129564823129</c:v>
                </c:pt>
                <c:pt idx="61">
                  <c:v>0.24193531559369236</c:v>
                </c:pt>
                <c:pt idx="62">
                  <c:v>0.24196683224600063</c:v>
                </c:pt>
                <c:pt idx="63">
                  <c:v>0.24196687354326268</c:v>
                </c:pt>
                <c:pt idx="64">
                  <c:v>0.24193643081964356</c:v>
                </c:pt>
                <c:pt idx="65">
                  <c:v>0.24187646058354284</c:v>
                </c:pt>
                <c:pt idx="66">
                  <c:v>0.24178788618119576</c:v>
                </c:pt>
                <c:pt idx="67">
                  <c:v>0.24167159935484786</c:v>
                </c:pt>
                <c:pt idx="68">
                  <c:v>0.24152846170379236</c:v>
                </c:pt>
                <c:pt idx="69">
                  <c:v>0.24135930605578565</c:v>
                </c:pt>
                <c:pt idx="70">
                  <c:v>0.24116493775567155</c:v>
                </c:pt>
                <c:pt idx="71">
                  <c:v>0.24094613587742797</c:v>
                </c:pt>
                <c:pt idx="72">
                  <c:v>0.24070365436529717</c:v>
                </c:pt>
                <c:pt idx="73">
                  <c:v>0.24043822310916685</c:v>
                </c:pt>
                <c:pt idx="74">
                  <c:v>0.24015054895892113</c:v>
                </c:pt>
                <c:pt idx="75">
                  <c:v>0.23984131668207989</c:v>
                </c:pt>
                <c:pt idx="76">
                  <c:v>0.23951118986868361</c:v>
                </c:pt>
                <c:pt idx="77">
                  <c:v>0.23916081178705045</c:v>
                </c:pt>
                <c:pt idx="78">
                  <c:v>0.23879080619373869</c:v>
                </c:pt>
                <c:pt idx="79">
                  <c:v>0.23840177810077773</c:v>
                </c:pt>
                <c:pt idx="80">
                  <c:v>0.23799431450298753</c:v>
                </c:pt>
                <c:pt idx="81">
                  <c:v>0.23756898506798538</c:v>
                </c:pt>
                <c:pt idx="82">
                  <c:v>0.23712634279127642</c:v>
                </c:pt>
                <c:pt idx="83">
                  <c:v>0.23666692461864289</c:v>
                </c:pt>
                <c:pt idx="84">
                  <c:v>0.23619125203787755</c:v>
                </c:pt>
                <c:pt idx="85">
                  <c:v>0.23569983164175601</c:v>
                </c:pt>
                <c:pt idx="86">
                  <c:v>0.23519315566400248</c:v>
                </c:pt>
                <c:pt idx="87">
                  <c:v>0.2346717024898744</c:v>
                </c:pt>
                <c:pt idx="88">
                  <c:v>0.23413593714287737</c:v>
                </c:pt>
                <c:pt idx="89">
                  <c:v>0.23358631174901182</c:v>
                </c:pt>
                <c:pt idx="90">
                  <c:v>0.23302326597985545</c:v>
                </c:pt>
                <c:pt idx="91">
                  <c:v>0.23244722747569554</c:v>
                </c:pt>
                <c:pt idx="92">
                  <c:v>0.23185861224984047</c:v>
                </c:pt>
                <c:pt idx="93">
                  <c:v>0.2312578250751654</c:v>
                </c:pt>
                <c:pt idx="94">
                  <c:v>0.23064525985387346</c:v>
                </c:pt>
                <c:pt idx="95">
                  <c:v>0.23002129997139217</c:v>
                </c:pt>
                <c:pt idx="96">
                  <c:v>0.22938631863526082</c:v>
                </c:pt>
                <c:pt idx="97">
                  <c:v>0.22874067919981275</c:v>
                </c:pt>
                <c:pt idx="98">
                  <c:v>0.2280847354774016</c:v>
                </c:pt>
                <c:pt idx="99">
                  <c:v>0.22741883203687549</c:v>
                </c:pt>
                <c:pt idx="100">
                  <c:v>0.22674330448995822</c:v>
                </c:pt>
                <c:pt idx="101">
                  <c:v>0.22605847976615437</c:v>
                </c:pt>
                <c:pt idx="102">
                  <c:v>0.22536467637675978</c:v>
                </c:pt>
                <c:pt idx="103">
                  <c:v>0.22466220466852108</c:v>
                </c:pt>
                <c:pt idx="104">
                  <c:v>0.22395136706745694</c:v>
                </c:pt>
                <c:pt idx="105">
                  <c:v>0.22323245831332203</c:v>
                </c:pt>
                <c:pt idx="106">
                  <c:v>0.22250576568516786</c:v>
                </c:pt>
                <c:pt idx="107">
                  <c:v>0.22177156921842553</c:v>
                </c:pt>
                <c:pt idx="108">
                  <c:v>0.22103014191391424</c:v>
                </c:pt>
                <c:pt idx="109">
                  <c:v>0.22028174993915328</c:v>
                </c:pt>
                <c:pt idx="110">
                  <c:v>0.21952665282233597</c:v>
                </c:pt>
                <c:pt idx="111">
                  <c:v>0.21876510363930252</c:v>
                </c:pt>
                <c:pt idx="112">
                  <c:v>0.21799734919383085</c:v>
                </c:pt>
                <c:pt idx="113">
                  <c:v>0.21722363019154681</c:v>
                </c:pt>
                <c:pt idx="114">
                  <c:v>0.21644418140773844</c:v>
                </c:pt>
                <c:pt idx="115">
                  <c:v>0.21565923184934319</c:v>
                </c:pt>
                <c:pt idx="116">
                  <c:v>0.21486900491136485</c:v>
                </c:pt>
                <c:pt idx="117">
                  <c:v>0.21407371852795989</c:v>
                </c:pt>
                <c:pt idx="118">
                  <c:v>0.2132735853184228</c:v>
                </c:pt>
                <c:pt idx="119">
                  <c:v>0.21246881272828819</c:v>
                </c:pt>
                <c:pt idx="120">
                  <c:v>0.21165960316575411</c:v>
                </c:pt>
                <c:pt idx="121">
                  <c:v>0.21084615413362304</c:v>
                </c:pt>
                <c:pt idx="122">
                  <c:v>0.21002865835694526</c:v>
                </c:pt>
                <c:pt idx="123">
                  <c:v>0.20920730390654083</c:v>
                </c:pt>
                <c:pt idx="124">
                  <c:v>0.20838227431856807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8-4A5D-A437-A04E97CF3EED}"/>
            </c:ext>
          </c:extLst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'Goodness of fit'!$A$4:$A$5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xVal>
          <c:yVal>
            <c:numRef>
              <c:f>'Goodness of fit'!$B$4:$B$5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8-4A5D-A437-A04E97CF3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51200"/>
        <c:axId val="167652736"/>
      </c:scatterChart>
      <c:valAx>
        <c:axId val="167651200"/>
        <c:scaling>
          <c:orientation val="minMax"/>
          <c:max val="1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7652736"/>
        <c:crosses val="autoZero"/>
        <c:crossBetween val="midCat"/>
      </c:valAx>
      <c:valAx>
        <c:axId val="167652736"/>
        <c:scaling>
          <c:orientation val="minMax"/>
          <c:max val="4.442999999999999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651200"/>
        <c:crossesAt val="0"/>
        <c:crossBetween val="midCat"/>
      </c:valAx>
      <c:valAx>
        <c:axId val="167658624"/>
        <c:scaling>
          <c:orientation val="minMax"/>
          <c:max val="4.4429999999999996"/>
        </c:scaling>
        <c:delete val="1"/>
        <c:axPos val="r"/>
        <c:numFmt formatCode="General" sourceLinked="1"/>
        <c:majorTickMark val="out"/>
        <c:minorTickMark val="none"/>
        <c:tickLblPos val="nextTo"/>
        <c:crossAx val="167660160"/>
        <c:crosses val="max"/>
        <c:crossBetween val="midCat"/>
      </c:valAx>
      <c:catAx>
        <c:axId val="167660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658624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0.99946430804965902</c:v>
                </c:pt>
                <c:pt idx="2">
                  <c:v>0.9984920797935557</c:v>
                </c:pt>
                <c:pt idx="3">
                  <c:v>0.99724300864023352</c:v>
                </c:pt>
                <c:pt idx="4">
                  <c:v>0.99577559473213051</c:v>
                </c:pt>
                <c:pt idx="5">
                  <c:v>0.9941243682104941</c:v>
                </c:pt>
                <c:pt idx="6">
                  <c:v>0.9923130805464847</c:v>
                </c:pt>
                <c:pt idx="7">
                  <c:v>0.99035948314640554</c:v>
                </c:pt>
                <c:pt idx="8">
                  <c:v>0.98827756165379821</c:v>
                </c:pt>
                <c:pt idx="9">
                  <c:v>0.98607874540434848</c:v>
                </c:pt>
                <c:pt idx="10">
                  <c:v>0.98377262902201035</c:v>
                </c:pt>
                <c:pt idx="11">
                  <c:v>0.98136743416021077</c:v>
                </c:pt>
                <c:pt idx="12">
                  <c:v>0.97887032105541494</c:v>
                </c:pt>
                <c:pt idx="13">
                  <c:v>0.97628760768961176</c:v>
                </c:pt>
                <c:pt idx="14">
                  <c:v>0.97362492924011246</c:v>
                </c:pt>
                <c:pt idx="15">
                  <c:v>0.97088735735683618</c:v>
                </c:pt>
                <c:pt idx="16">
                  <c:v>0.96807949149790606</c:v>
                </c:pt>
                <c:pt idx="17">
                  <c:v>0.96520553027666389</c:v>
                </c:pt>
                <c:pt idx="18">
                  <c:v>0.96226932816139066</c:v>
                </c:pt>
                <c:pt idx="19">
                  <c:v>0.95927444121581151</c:v>
                </c:pt>
                <c:pt idx="20">
                  <c:v>0.95622416448905456</c:v>
                </c:pt>
                <c:pt idx="21">
                  <c:v>0.953121562939652</c:v>
                </c:pt>
                <c:pt idx="22">
                  <c:v>0.94996949728075553</c:v>
                </c:pt>
                <c:pt idx="23">
                  <c:v>0.94677064578476799</c:v>
                </c:pt>
                <c:pt idx="24">
                  <c:v>0.94352752283609997</c:v>
                </c:pt>
                <c:pt idx="25">
                  <c:v>0.94024249483936073</c:v>
                </c:pt>
                <c:pt idx="26">
                  <c:v>0.93691779395636177</c:v>
                </c:pt>
                <c:pt idx="27">
                  <c:v>0.93355553004504621</c:v>
                </c:pt>
                <c:pt idx="28">
                  <c:v>0.93015770109744478</c:v>
                </c:pt>
                <c:pt idx="29">
                  <c:v>0.926726202415453</c:v>
                </c:pt>
                <c:pt idx="30">
                  <c:v>0.92326283471802506</c:v>
                </c:pt>
                <c:pt idx="31">
                  <c:v>0.91976931133799367</c:v>
                </c:pt>
                <c:pt idx="32">
                  <c:v>0.91624726463876505</c:v>
                </c:pt>
                <c:pt idx="33">
                  <c:v>0.91269825175886277</c:v>
                </c:pt>
                <c:pt idx="34">
                  <c:v>0.90912375977440352</c:v>
                </c:pt>
                <c:pt idx="35">
                  <c:v>0.90552521035511258</c:v>
                </c:pt>
                <c:pt idx="36">
                  <c:v>0.90190396397769823</c:v>
                </c:pt>
                <c:pt idx="37">
                  <c:v>0.89826132375073664</c:v>
                </c:pt>
                <c:pt idx="38">
                  <c:v>0.89459853889724383</c:v>
                </c:pt>
                <c:pt idx="39">
                  <c:v>0.89091680793449934</c:v>
                </c:pt>
                <c:pt idx="40">
                  <c:v>0.88721728158516566</c:v>
                </c:pt>
                <c:pt idx="41">
                  <c:v>0.88350106544912399</c:v>
                </c:pt>
                <c:pt idx="42">
                  <c:v>0.87976922246155242</c:v>
                </c:pt>
                <c:pt idx="43">
                  <c:v>0.87602277515947125</c:v>
                </c:pt>
                <c:pt idx="44">
                  <c:v>0.87226270777618387</c:v>
                </c:pt>
                <c:pt idx="45">
                  <c:v>0.86848996818064628</c:v>
                </c:pt>
                <c:pt idx="46">
                  <c:v>0.86470546967675266</c:v>
                </c:pt>
                <c:pt idx="47">
                  <c:v>0.86091009267576091</c:v>
                </c:pt>
                <c:pt idx="48">
                  <c:v>0.85710468625356451</c:v>
                </c:pt>
                <c:pt idx="49">
                  <c:v>0.85329006960319875</c:v>
                </c:pt>
                <c:pt idx="50">
                  <c:v>0.8494670333918255</c:v>
                </c:pt>
                <c:pt idx="51">
                  <c:v>0.84563634103044838</c:v>
                </c:pt>
                <c:pt idx="52">
                  <c:v>0.84179872986373483</c:v>
                </c:pt>
                <c:pt idx="53">
                  <c:v>0.83795491228655883</c:v>
                </c:pt>
                <c:pt idx="54">
                  <c:v>0.83410557679321118</c:v>
                </c:pt>
                <c:pt idx="55">
                  <c:v>0.83025138896462858</c:v>
                </c:pt>
                <c:pt idx="56">
                  <c:v>0.82639299239847297</c:v>
                </c:pt>
                <c:pt idx="57">
                  <c:v>0.82253100958642933</c:v>
                </c:pt>
                <c:pt idx="58">
                  <c:v>0.81866604274267951</c:v>
                </c:pt>
                <c:pt idx="59">
                  <c:v>0.81479867458714539</c:v>
                </c:pt>
                <c:pt idx="60">
                  <c:v>0.810929469086768</c:v>
                </c:pt>
                <c:pt idx="61">
                  <c:v>0.80705897215779987</c:v>
                </c:pt>
                <c:pt idx="62">
                  <c:v>0.80318771233182407</c:v>
                </c:pt>
                <c:pt idx="63">
                  <c:v>0.79931620138798332</c:v>
                </c:pt>
                <c:pt idx="64">
                  <c:v>0.79544493495369539</c:v>
                </c:pt>
                <c:pt idx="65">
                  <c:v>0.79157439307592825</c:v>
                </c:pt>
                <c:pt idx="66">
                  <c:v>0.78770504076495884</c:v>
                </c:pt>
                <c:pt idx="67">
                  <c:v>0.78383732851236765</c:v>
                </c:pt>
                <c:pt idx="68">
                  <c:v>0.77997169278488898</c:v>
                </c:pt>
                <c:pt idx="69">
                  <c:v>0.77610855649561261</c:v>
                </c:pt>
                <c:pt idx="70">
                  <c:v>0.77224832945391286</c:v>
                </c:pt>
                <c:pt idx="71">
                  <c:v>0.76839140879538159</c:v>
                </c:pt>
                <c:pt idx="72">
                  <c:v>0.76453817939294089</c:v>
                </c:pt>
                <c:pt idx="73">
                  <c:v>0.76068901425023205</c:v>
                </c:pt>
                <c:pt idx="74">
                  <c:v>0.75684427487829153</c:v>
                </c:pt>
                <c:pt idx="75">
                  <c:v>0.75300431165645776</c:v>
                </c:pt>
                <c:pt idx="76">
                  <c:v>0.74916946417838148</c:v>
                </c:pt>
                <c:pt idx="77">
                  <c:v>0.74534006158395605</c:v>
                </c:pt>
                <c:pt idx="78">
                  <c:v>0.74151642287792652</c:v>
                </c:pt>
                <c:pt idx="79">
                  <c:v>0.73769885723588557</c:v>
                </c:pt>
                <c:pt idx="80">
                  <c:v>0.73388766429831453</c:v>
                </c:pt>
                <c:pt idx="81">
                  <c:v>0.73008313445329165</c:v>
                </c:pt>
                <c:pt idx="82">
                  <c:v>0.72628554910844212</c:v>
                </c:pt>
                <c:pt idx="83">
                  <c:v>0.72249518095266851</c:v>
                </c:pt>
                <c:pt idx="84">
                  <c:v>0.71871229420817473</c:v>
                </c:pt>
                <c:pt idx="85">
                  <c:v>0.71493714487325266</c:v>
                </c:pt>
                <c:pt idx="86">
                  <c:v>0.71116998095627926</c:v>
                </c:pt>
                <c:pt idx="87">
                  <c:v>0.70741104270134358</c:v>
                </c:pt>
                <c:pt idx="88">
                  <c:v>0.70366056280589939</c:v>
                </c:pt>
                <c:pt idx="89">
                  <c:v>0.69991876663080776</c:v>
                </c:pt>
                <c:pt idx="90">
                  <c:v>0.69618587240312735</c:v>
                </c:pt>
                <c:pt idx="91">
                  <c:v>0.69246209141197246</c:v>
                </c:pt>
                <c:pt idx="92">
                  <c:v>0.68874762819775626</c:v>
                </c:pt>
                <c:pt idx="93">
                  <c:v>0.68504268073510577</c:v>
                </c:pt>
                <c:pt idx="94">
                  <c:v>0.68134744060973018</c:v>
                </c:pt>
                <c:pt idx="95">
                  <c:v>0.67766209318949899</c:v>
                </c:pt>
                <c:pt idx="96">
                  <c:v>0.67398681778998037</c:v>
                </c:pt>
                <c:pt idx="97">
                  <c:v>0.670321787834671</c:v>
                </c:pt>
                <c:pt idx="98">
                  <c:v>0.6666671710101405</c:v>
                </c:pt>
                <c:pt idx="99">
                  <c:v>0.66302312941629848</c:v>
                </c:pt>
                <c:pt idx="100">
                  <c:v>0.65938981971198463</c:v>
                </c:pt>
                <c:pt idx="101">
                  <c:v>0.65576739325606692</c:v>
                </c:pt>
                <c:pt idx="102">
                  <c:v>0.65215599624423271</c:v>
                </c:pt>
                <c:pt idx="103">
                  <c:v>0.64855576984163665</c:v>
                </c:pt>
                <c:pt idx="104">
                  <c:v>0.64496685031156886</c:v>
                </c:pt>
                <c:pt idx="105">
                  <c:v>0.64138936914030154</c:v>
                </c:pt>
                <c:pt idx="106">
                  <c:v>0.63782345315824984</c:v>
                </c:pt>
                <c:pt idx="107">
                  <c:v>0.63426922465759816</c:v>
                </c:pt>
                <c:pt idx="108">
                  <c:v>0.63072680150651372</c:v>
                </c:pt>
                <c:pt idx="109">
                  <c:v>0.62719629726008064</c:v>
                </c:pt>
                <c:pt idx="110">
                  <c:v>0.62367782126807148</c:v>
                </c:pt>
                <c:pt idx="111">
                  <c:v>0.6201714787796706</c:v>
                </c:pt>
                <c:pt idx="112">
                  <c:v>0.61667737104526277</c:v>
                </c:pt>
                <c:pt idx="113">
                  <c:v>0.61319559541538393</c:v>
                </c:pt>
                <c:pt idx="114">
                  <c:v>0.60972624543694265</c:v>
                </c:pt>
                <c:pt idx="115">
                  <c:v>0.60626941094680309</c:v>
                </c:pt>
                <c:pt idx="116">
                  <c:v>0.60282517816281755</c:v>
                </c:pt>
                <c:pt idx="117">
                  <c:v>0.59939362977240362</c:v>
                </c:pt>
                <c:pt idx="118">
                  <c:v>0.59597484501874232</c:v>
                </c:pt>
                <c:pt idx="119">
                  <c:v>0.59256889978468175</c:v>
                </c:pt>
                <c:pt idx="120">
                  <c:v>0.58917586667441801</c:v>
                </c:pt>
                <c:pt idx="121">
                  <c:v>0.58579581509303291</c:v>
                </c:pt>
                <c:pt idx="122">
                  <c:v>0.58242881132395219</c:v>
                </c:pt>
                <c:pt idx="123">
                  <c:v>0.57907491860439753</c:v>
                </c:pt>
                <c:pt idx="124">
                  <c:v>0.57573419719889118</c:v>
                </c:pt>
                <c:pt idx="125">
                  <c:v>0.5724067044708796</c:v>
                </c:pt>
                <c:pt idx="126">
                  <c:v>0.56909249495253444</c:v>
                </c:pt>
                <c:pt idx="127">
                  <c:v>0.56579162041278641</c:v>
                </c:pt>
                <c:pt idx="128">
                  <c:v>0.56250412992364995</c:v>
                </c:pt>
                <c:pt idx="129">
                  <c:v>0.55923006992488644</c:v>
                </c:pt>
                <c:pt idx="130">
                  <c:v>0.55596948428706405</c:v>
                </c:pt>
                <c:pt idx="131">
                  <c:v>0.5527224143730548</c:v>
                </c:pt>
                <c:pt idx="132">
                  <c:v>0.54948889909802234</c:v>
                </c:pt>
                <c:pt idx="133">
                  <c:v>0.54626897498794258</c:v>
                </c:pt>
                <c:pt idx="134">
                  <c:v>0.54306267623669902</c:v>
                </c:pt>
                <c:pt idx="135">
                  <c:v>0.53987003476179973</c:v>
                </c:pt>
                <c:pt idx="136">
                  <c:v>0.53669108025875079</c:v>
                </c:pt>
                <c:pt idx="137">
                  <c:v>0.5335258402541273</c:v>
                </c:pt>
                <c:pt idx="138">
                  <c:v>0.53037434015738216</c:v>
                </c:pt>
                <c:pt idx="139">
                  <c:v>0.52723660331142308</c:v>
                </c:pt>
                <c:pt idx="140">
                  <c:v>0.52411265104199689</c:v>
                </c:pt>
                <c:pt idx="141">
                  <c:v>0.52100250270591242</c:v>
                </c:pt>
                <c:pt idx="142">
                  <c:v>0.51790617573813758</c:v>
                </c:pt>
                <c:pt idx="143">
                  <c:v>0.51482368569779768</c:v>
                </c:pt>
                <c:pt idx="144">
                  <c:v>0.5117550463131072</c:v>
                </c:pt>
                <c:pt idx="145">
                  <c:v>0.50870026952526493</c:v>
                </c:pt>
                <c:pt idx="146">
                  <c:v>0.50565936553134083</c:v>
                </c:pt>
                <c:pt idx="147">
                  <c:v>0.50263234282617819</c:v>
                </c:pt>
                <c:pt idx="148">
                  <c:v>0.49961920824334238</c:v>
                </c:pt>
                <c:pt idx="149">
                  <c:v>0.49661996699513955</c:v>
                </c:pt>
                <c:pt idx="150">
                  <c:v>0.49363462271172753</c:v>
                </c:pt>
                <c:pt idx="151">
                  <c:v>0.49066317747934718</c:v>
                </c:pt>
                <c:pt idx="152">
                  <c:v>0.48770563187769411</c:v>
                </c:pt>
                <c:pt idx="153">
                  <c:v>0.48476198501645351</c:v>
                </c:pt>
                <c:pt idx="154">
                  <c:v>0.48183223457102131</c:v>
                </c:pt>
                <c:pt idx="155">
                  <c:v>0.47891637681743005</c:v>
                </c:pt>
                <c:pt idx="156">
                  <c:v>0.47601440666650185</c:v>
                </c:pt>
                <c:pt idx="157">
                  <c:v>0.47312631769724678</c:v>
                </c:pt>
                <c:pt idx="158">
                  <c:v>0.47025210218952607</c:v>
                </c:pt>
                <c:pt idx="159">
                  <c:v>0.46739175115599962</c:v>
                </c:pt>
                <c:pt idx="160">
                  <c:v>0.46454525437337324</c:v>
                </c:pt>
                <c:pt idx="161">
                  <c:v>0.4617126004129648</c:v>
                </c:pt>
                <c:pt idx="162">
                  <c:v>0.45889377667060627</c:v>
                </c:pt>
                <c:pt idx="163">
                  <c:v>0.45608876939589604</c:v>
                </c:pt>
                <c:pt idx="164">
                  <c:v>0.45329756372081953</c:v>
                </c:pt>
                <c:pt idx="165">
                  <c:v>0.45052014368775217</c:v>
                </c:pt>
                <c:pt idx="166">
                  <c:v>0.44775649227685965</c:v>
                </c:pt>
                <c:pt idx="167">
                  <c:v>0.44500659143290988</c:v>
                </c:pt>
                <c:pt idx="168">
                  <c:v>0.44227042209151246</c:v>
                </c:pt>
                <c:pt idx="169">
                  <c:v>0.43954796420479447</c:v>
                </c:pt>
                <c:pt idx="170">
                  <c:v>0.43683919676653316</c:v>
                </c:pt>
                <c:pt idx="171">
                  <c:v>0.43414409783675123</c:v>
                </c:pt>
                <c:pt idx="172">
                  <c:v>0.43146264456579131</c:v>
                </c:pt>
                <c:pt idx="173">
                  <c:v>0.42879481321788115</c:v>
                </c:pt>
                <c:pt idx="174">
                  <c:v>0.42614057919419968</c:v>
                </c:pt>
                <c:pt idx="175">
                  <c:v>0.42349991705545886</c:v>
                </c:pt>
                <c:pt idx="176">
                  <c:v>0.420872800544007</c:v>
                </c:pt>
                <c:pt idx="177">
                  <c:v>0.41825920260547012</c:v>
                </c:pt>
                <c:pt idx="178">
                  <c:v>0.41565909540994006</c:v>
                </c:pt>
                <c:pt idx="179">
                  <c:v>0.41307245037271478</c:v>
                </c:pt>
                <c:pt idx="180">
                  <c:v>0.41049923817461109</c:v>
                </c:pt>
                <c:pt idx="181">
                  <c:v>0.40793942878184775</c:v>
                </c:pt>
                <c:pt idx="182">
                  <c:v>0.40539299146551799</c:v>
                </c:pt>
                <c:pt idx="183">
                  <c:v>0.40285989482065554</c:v>
                </c:pt>
                <c:pt idx="184">
                  <c:v>0.40034010678490317</c:v>
                </c:pt>
                <c:pt idx="185">
                  <c:v>0.39783359465679591</c:v>
                </c:pt>
                <c:pt idx="186">
                  <c:v>0.39534032511366424</c:v>
                </c:pt>
                <c:pt idx="187">
                  <c:v>0.39286026422916587</c:v>
                </c:pt>
                <c:pt idx="188">
                  <c:v>0.39039337749045649</c:v>
                </c:pt>
                <c:pt idx="189">
                  <c:v>0.38793962981500318</c:v>
                </c:pt>
                <c:pt idx="190">
                  <c:v>0.38549898556705442</c:v>
                </c:pt>
                <c:pt idx="191">
                  <c:v>0.38307140857376704</c:v>
                </c:pt>
                <c:pt idx="192">
                  <c:v>0.38065686214100225</c:v>
                </c:pt>
                <c:pt idx="193">
                  <c:v>0.37825530906879701</c:v>
                </c:pt>
                <c:pt idx="194">
                  <c:v>0.37586671166651547</c:v>
                </c:pt>
                <c:pt idx="195">
                  <c:v>0.37349103176769077</c:v>
                </c:pt>
                <c:pt idx="196">
                  <c:v>0.37112823074456019</c:v>
                </c:pt>
                <c:pt idx="197">
                  <c:v>0.36877826952230258</c:v>
                </c:pt>
                <c:pt idx="198">
                  <c:v>0.36644110859298373</c:v>
                </c:pt>
                <c:pt idx="199">
                  <c:v>0.36411670802921492</c:v>
                </c:pt>
                <c:pt idx="200">
                  <c:v>0.36180502749753163</c:v>
                </c:pt>
                <c:pt idx="201">
                  <c:v>0.3595060262714978</c:v>
                </c:pt>
                <c:pt idx="202">
                  <c:v>0.35721966324454174</c:v>
                </c:pt>
                <c:pt idx="203">
                  <c:v>0.35494589694252854</c:v>
                </c:pt>
                <c:pt idx="204">
                  <c:v>0.35268468553607452</c:v>
                </c:pt>
                <c:pt idx="205">
                  <c:v>0.35043598685261002</c:v>
                </c:pt>
                <c:pt idx="206">
                  <c:v>0.34819975838819456</c:v>
                </c:pt>
                <c:pt idx="207">
                  <c:v>0.34597595731908964</c:v>
                </c:pt>
                <c:pt idx="208">
                  <c:v>0.34376454051309424</c:v>
                </c:pt>
                <c:pt idx="209">
                  <c:v>0.3415654645406484</c:v>
                </c:pt>
                <c:pt idx="210">
                  <c:v>0.3393786856857085</c:v>
                </c:pt>
                <c:pt idx="211">
                  <c:v>0.33720415995639968</c:v>
                </c:pt>
                <c:pt idx="212">
                  <c:v>0.33504184309544915</c:v>
                </c:pt>
                <c:pt idx="213">
                  <c:v>0.33289169059040613</c:v>
                </c:pt>
                <c:pt idx="214">
                  <c:v>0.33075365768365084</c:v>
                </c:pt>
                <c:pt idx="215">
                  <c:v>0.3286276993821981</c:v>
                </c:pt>
                <c:pt idx="216">
                  <c:v>0.32651377046729951</c:v>
                </c:pt>
                <c:pt idx="217">
                  <c:v>0.32441182550384767</c:v>
                </c:pt>
                <c:pt idx="218">
                  <c:v>0.32232181884958599</c:v>
                </c:pt>
                <c:pt idx="219">
                  <c:v>0.32024370466413032</c:v>
                </c:pt>
                <c:pt idx="220">
                  <c:v>0.3181774369178022</c:v>
                </c:pt>
                <c:pt idx="221">
                  <c:v>0.31612296940028156</c:v>
                </c:pt>
                <c:pt idx="222">
                  <c:v>0.31408025572907877</c:v>
                </c:pt>
                <c:pt idx="223">
                  <c:v>0.31204924935783285</c:v>
                </c:pt>
                <c:pt idx="224">
                  <c:v>0.31002990358443661</c:v>
                </c:pt>
                <c:pt idx="225">
                  <c:v>0.30802217155899303</c:v>
                </c:pt>
                <c:pt idx="226">
                  <c:v>0.30602600629160731</c:v>
                </c:pt>
                <c:pt idx="227">
                  <c:v>0.30404136066001569</c:v>
                </c:pt>
                <c:pt idx="228">
                  <c:v>0.30206818741705599</c:v>
                </c:pt>
                <c:pt idx="229">
                  <c:v>0.30010643919798174</c:v>
                </c:pt>
                <c:pt idx="230">
                  <c:v>0.29815606852762377</c:v>
                </c:pt>
                <c:pt idx="231">
                  <c:v>0.29621702782740161</c:v>
                </c:pt>
                <c:pt idx="232">
                  <c:v>0.29428926942218736</c:v>
                </c:pt>
                <c:pt idx="233">
                  <c:v>0.29237274554702669</c:v>
                </c:pt>
                <c:pt idx="234">
                  <c:v>0.29046740835371648</c:v>
                </c:pt>
                <c:pt idx="235">
                  <c:v>0.28857320991724533</c:v>
                </c:pt>
                <c:pt idx="236">
                  <c:v>0.28669010224209679</c:v>
                </c:pt>
                <c:pt idx="237">
                  <c:v>0.2848180372684197</c:v>
                </c:pt>
                <c:pt idx="238">
                  <c:v>0.28295696687806754</c:v>
                </c:pt>
                <c:pt idx="239">
                  <c:v>0.28110684290050825</c:v>
                </c:pt>
                <c:pt idx="240">
                  <c:v>0.27926761711860987</c:v>
                </c:pt>
                <c:pt idx="241">
                  <c:v>0.27743924127430059</c:v>
                </c:pt>
                <c:pt idx="242">
                  <c:v>0.2756216670741089</c:v>
                </c:pt>
                <c:pt idx="243">
                  <c:v>0.27381484619458374</c:v>
                </c:pt>
                <c:pt idx="244">
                  <c:v>0.27201873028759849</c:v>
                </c:pt>
                <c:pt idx="245">
                  <c:v>0.2702332709855399</c:v>
                </c:pt>
                <c:pt idx="246">
                  <c:v>0.26845841990638508</c:v>
                </c:pt>
                <c:pt idx="247">
                  <c:v>0.26669412865866793</c:v>
                </c:pt>
                <c:pt idx="248">
                  <c:v>0.26494034884633699</c:v>
                </c:pt>
                <c:pt idx="249">
                  <c:v>0.26319703207350775</c:v>
                </c:pt>
                <c:pt idx="250">
                  <c:v>0.26146412994911028</c:v>
                </c:pt>
                <c:pt idx="251">
                  <c:v>0.25974159409143494</c:v>
                </c:pt>
                <c:pt idx="252">
                  <c:v>0.25802937613257726</c:v>
                </c:pt>
                <c:pt idx="253">
                  <c:v>0.2563274277227845</c:v>
                </c:pt>
                <c:pt idx="254">
                  <c:v>0.25463570053470624</c:v>
                </c:pt>
                <c:pt idx="255">
                  <c:v>0.2529541462675492</c:v>
                </c:pt>
                <c:pt idx="256">
                  <c:v>0.25128271665113938</c:v>
                </c:pt>
                <c:pt idx="257">
                  <c:v>0.24962136344989289</c:v>
                </c:pt>
                <c:pt idx="258">
                  <c:v>0.2479700384666973</c:v>
                </c:pt>
                <c:pt idx="259">
                  <c:v>0.24632869354670456</c:v>
                </c:pt>
                <c:pt idx="260">
                  <c:v>0.24469728058103837</c:v>
                </c:pt>
                <c:pt idx="261">
                  <c:v>0.24307575151041561</c:v>
                </c:pt>
                <c:pt idx="262">
                  <c:v>0.24146405832868598</c:v>
                </c:pt>
                <c:pt idx="263">
                  <c:v>0.23986215308628919</c:v>
                </c:pt>
                <c:pt idx="264">
                  <c:v>0.23826998789363199</c:v>
                </c:pt>
                <c:pt idx="265">
                  <c:v>0.23668751492438711</c:v>
                </c:pt>
                <c:pt idx="266">
                  <c:v>0.23511468641871472</c:v>
                </c:pt>
                <c:pt idx="267">
                  <c:v>0.23355145468640809</c:v>
                </c:pt>
                <c:pt idx="268">
                  <c:v>0.23199777210996528</c:v>
                </c:pt>
                <c:pt idx="269">
                  <c:v>0.23045359114758715</c:v>
                </c:pt>
                <c:pt idx="270">
                  <c:v>0.2289188643361047</c:v>
                </c:pt>
                <c:pt idx="271">
                  <c:v>0.22739354429383546</c:v>
                </c:pt>
                <c:pt idx="272">
                  <c:v>0.22587758372337099</c:v>
                </c:pt>
                <c:pt idx="273">
                  <c:v>0.22437093541429698</c:v>
                </c:pt>
                <c:pt idx="274">
                  <c:v>0.22287355224584637</c:v>
                </c:pt>
                <c:pt idx="275">
                  <c:v>0.22138538718948783</c:v>
                </c:pt>
                <c:pt idx="276">
                  <c:v>0.21990639331144984</c:v>
                </c:pt>
                <c:pt idx="277">
                  <c:v>0.21843652377518188</c:v>
                </c:pt>
                <c:pt idx="278">
                  <c:v>0.21697573184375407</c:v>
                </c:pt>
                <c:pt idx="279">
                  <c:v>0.21552397088219627</c:v>
                </c:pt>
                <c:pt idx="280">
                  <c:v>0.21408119435977782</c:v>
                </c:pt>
                <c:pt idx="281">
                  <c:v>0.21264735585222874</c:v>
                </c:pt>
                <c:pt idx="282">
                  <c:v>0.21122240904390374</c:v>
                </c:pt>
                <c:pt idx="283">
                  <c:v>0.20980630772989001</c:v>
                </c:pt>
                <c:pt idx="284">
                  <c:v>0.20839900581805998</c:v>
                </c:pt>
                <c:pt idx="285">
                  <c:v>0.20700045733107011</c:v>
                </c:pt>
                <c:pt idx="286">
                  <c:v>0.20561061640830586</c:v>
                </c:pt>
                <c:pt idx="287">
                  <c:v>0.20422943730777512</c:v>
                </c:pt>
                <c:pt idx="288">
                  <c:v>0.20285687440795031</c:v>
                </c:pt>
                <c:pt idx="289">
                  <c:v>0.20149288220955991</c:v>
                </c:pt>
                <c:pt idx="290">
                  <c:v>0.20013741533733145</c:v>
                </c:pt>
                <c:pt idx="291">
                  <c:v>0.19879042854168497</c:v>
                </c:pt>
                <c:pt idx="292">
                  <c:v>0.19745187670038011</c:v>
                </c:pt>
                <c:pt idx="293">
                  <c:v>0.1961217148201157</c:v>
                </c:pt>
                <c:pt idx="294">
                  <c:v>0.19479989803808404</c:v>
                </c:pt>
                <c:pt idx="295">
                  <c:v>0.19348638162348028</c:v>
                </c:pt>
                <c:pt idx="296">
                  <c:v>0.19218112097896736</c:v>
                </c:pt>
                <c:pt idx="297">
                  <c:v>0.19088407164209822</c:v>
                </c:pt>
                <c:pt idx="298">
                  <c:v>0.18959518928669497</c:v>
                </c:pt>
                <c:pt idx="299">
                  <c:v>0.18831442972418691</c:v>
                </c:pt>
                <c:pt idx="300">
                  <c:v>0.18704174890490738</c:v>
                </c:pt>
                <c:pt idx="301">
                  <c:v>0.18577710291935048</c:v>
                </c:pt>
                <c:pt idx="302">
                  <c:v>0.18452044799938885</c:v>
                </c:pt>
                <c:pt idx="303">
                  <c:v>0.18327174051945161</c:v>
                </c:pt>
                <c:pt idx="304">
                  <c:v>0.18203093699766615</c:v>
                </c:pt>
                <c:pt idx="305">
                  <c:v>0.18079799409696115</c:v>
                </c:pt>
                <c:pt idx="306">
                  <c:v>0.179572868626134</c:v>
                </c:pt>
                <c:pt idx="307">
                  <c:v>0.17835551754088194</c:v>
                </c:pt>
                <c:pt idx="308">
                  <c:v>0.17714589794479829</c:v>
                </c:pt>
                <c:pt idx="309">
                  <c:v>0.17594396709033419</c:v>
                </c:pt>
                <c:pt idx="310">
                  <c:v>0.17474968237972616</c:v>
                </c:pt>
                <c:pt idx="311">
                  <c:v>0.17356300136589095</c:v>
                </c:pt>
                <c:pt idx="312">
                  <c:v>0.17238388175328723</c:v>
                </c:pt>
                <c:pt idx="313">
                  <c:v>0.17121228139874631</c:v>
                </c:pt>
                <c:pt idx="314">
                  <c:v>0.17004815831226994</c:v>
                </c:pt>
                <c:pt idx="315">
                  <c:v>0.16889147065779919</c:v>
                </c:pt>
                <c:pt idx="316">
                  <c:v>0.16774217675395131</c:v>
                </c:pt>
                <c:pt idx="317">
                  <c:v>0.16660023507472863</c:v>
                </c:pt>
                <c:pt idx="318">
                  <c:v>0.1654656042501973</c:v>
                </c:pt>
                <c:pt idx="319">
                  <c:v>0.16433824306713793</c:v>
                </c:pt>
                <c:pt idx="320">
                  <c:v>0.16321811046966828</c:v>
                </c:pt>
                <c:pt idx="321">
                  <c:v>0.16210516555983884</c:v>
                </c:pt>
                <c:pt idx="322">
                  <c:v>0.16099936759820072</c:v>
                </c:pt>
                <c:pt idx="323">
                  <c:v>0.15990067600434818</c:v>
                </c:pt>
                <c:pt idx="324">
                  <c:v>0.15880905035743437</c:v>
                </c:pt>
                <c:pt idx="325">
                  <c:v>0.15772445039666261</c:v>
                </c:pt>
                <c:pt idx="326">
                  <c:v>0.156646836021752</c:v>
                </c:pt>
                <c:pt idx="327">
                  <c:v>0.15557616729337898</c:v>
                </c:pt>
                <c:pt idx="328">
                  <c:v>0.15451240443359526</c:v>
                </c:pt>
                <c:pt idx="329">
                  <c:v>0.15345550782622194</c:v>
                </c:pt>
                <c:pt idx="330">
                  <c:v>0.15240543801722051</c:v>
                </c:pt>
                <c:pt idx="331">
                  <c:v>0.15136215571504183</c:v>
                </c:pt>
                <c:pt idx="332">
                  <c:v>0.15032562179095252</c:v>
                </c:pt>
                <c:pt idx="333">
                  <c:v>0.14929579727934011</c:v>
                </c:pt>
                <c:pt idx="334">
                  <c:v>0.14827264337799642</c:v>
                </c:pt>
                <c:pt idx="335">
                  <c:v>0.14725612144838071</c:v>
                </c:pt>
                <c:pt idx="336">
                  <c:v>0.14624619301586217</c:v>
                </c:pt>
                <c:pt idx="337">
                  <c:v>0.14524281976994194</c:v>
                </c:pt>
                <c:pt idx="338">
                  <c:v>0.14424596356445654</c:v>
                </c:pt>
                <c:pt idx="339">
                  <c:v>0.14325558641776129</c:v>
                </c:pt>
                <c:pt idx="340">
                  <c:v>0.14227165051289517</c:v>
                </c:pt>
                <c:pt idx="341">
                  <c:v>0.14129411819772714</c:v>
                </c:pt>
                <c:pt idx="342">
                  <c:v>0.14032295198508449</c:v>
                </c:pt>
                <c:pt idx="343">
                  <c:v>0.13935811455286345</c:v>
                </c:pt>
                <c:pt idx="344">
                  <c:v>0.13839956874412263</c:v>
                </c:pt>
                <c:pt idx="345">
                  <c:v>0.13744727756715883</c:v>
                </c:pt>
                <c:pt idx="346">
                  <c:v>0.13650120419556705</c:v>
                </c:pt>
                <c:pt idx="347">
                  <c:v>0.13556131196828367</c:v>
                </c:pt>
                <c:pt idx="348">
                  <c:v>0.13462756438961351</c:v>
                </c:pt>
                <c:pt idx="349">
                  <c:v>0.13369992512924192</c:v>
                </c:pt>
                <c:pt idx="350">
                  <c:v>0.1327783580222309</c:v>
                </c:pt>
                <c:pt idx="351">
                  <c:v>0.13186282706900029</c:v>
                </c:pt>
                <c:pt idx="352">
                  <c:v>0.13095329643529474</c:v>
                </c:pt>
                <c:pt idx="353">
                  <c:v>0.13004973045213555</c:v>
                </c:pt>
                <c:pt idx="354">
                  <c:v>0.12915209361575949</c:v>
                </c:pt>
                <c:pt idx="355">
                  <c:v>0.1282603505875424</c:v>
                </c:pt>
                <c:pt idx="356">
                  <c:v>0.12737446619391066</c:v>
                </c:pt>
                <c:pt idx="357">
                  <c:v>0.12649440542623869</c:v>
                </c:pt>
                <c:pt idx="358">
                  <c:v>0.12562013344073372</c:v>
                </c:pt>
                <c:pt idx="359">
                  <c:v>0.1247516155583079</c:v>
                </c:pt>
                <c:pt idx="360">
                  <c:v>0.12388881726443793</c:v>
                </c:pt>
                <c:pt idx="361">
                  <c:v>0.12303170420901297</c:v>
                </c:pt>
                <c:pt idx="362">
                  <c:v>0.12218024220617016</c:v>
                </c:pt>
                <c:pt idx="363">
                  <c:v>0.12133439723411886</c:v>
                </c:pt>
                <c:pt idx="364">
                  <c:v>0.12049413543495366</c:v>
                </c:pt>
                <c:pt idx="365">
                  <c:v>0.11965942311445603</c:v>
                </c:pt>
                <c:pt idx="366">
                  <c:v>0.11883022674188523</c:v>
                </c:pt>
                <c:pt idx="367">
                  <c:v>0.11800651294975881</c:v>
                </c:pt>
                <c:pt idx="368">
                  <c:v>0.11718824853362247</c:v>
                </c:pt>
                <c:pt idx="369">
                  <c:v>0.11637540045181</c:v>
                </c:pt>
                <c:pt idx="370">
                  <c:v>0.11556793582519323</c:v>
                </c:pt>
                <c:pt idx="371">
                  <c:v>0.11476582193692234</c:v>
                </c:pt>
                <c:pt idx="372">
                  <c:v>0.1139690262321565</c:v>
                </c:pt>
                <c:pt idx="373">
                  <c:v>0.11317751631778605</c:v>
                </c:pt>
                <c:pt idx="374">
                  <c:v>0.11239125996214443</c:v>
                </c:pt>
                <c:pt idx="375">
                  <c:v>0.11161022509471238</c:v>
                </c:pt>
                <c:pt idx="376">
                  <c:v>0.11083437980581294</c:v>
                </c:pt>
                <c:pt idx="377">
                  <c:v>0.11006369234629855</c:v>
                </c:pt>
                <c:pt idx="378">
                  <c:v>0.10929813112722919</c:v>
                </c:pt>
                <c:pt idx="379">
                  <c:v>0.10853766471954339</c:v>
                </c:pt>
                <c:pt idx="380">
                  <c:v>0.10778226185372072</c:v>
                </c:pt>
                <c:pt idx="381">
                  <c:v>0.10703189141943707</c:v>
                </c:pt>
                <c:pt idx="382">
                  <c:v>0.10628652246521249</c:v>
                </c:pt>
                <c:pt idx="383">
                  <c:v>0.10554612419805143</c:v>
                </c:pt>
                <c:pt idx="384">
                  <c:v>0.10481066598307641</c:v>
                </c:pt>
                <c:pt idx="385">
                  <c:v>0.10408011734315424</c:v>
                </c:pt>
                <c:pt idx="386">
                  <c:v>0.10335444795851614</c:v>
                </c:pt>
                <c:pt idx="387">
                  <c:v>0.1026336276663707</c:v>
                </c:pt>
                <c:pt idx="388">
                  <c:v>0.10191762646051086</c:v>
                </c:pt>
                <c:pt idx="389">
                  <c:v>0.10120641449091462</c:v>
                </c:pt>
                <c:pt idx="390">
                  <c:v>0.10049996206333953</c:v>
                </c:pt>
                <c:pt idx="391">
                  <c:v>9.9798239638911296E-2</c:v>
                </c:pt>
                <c:pt idx="392">
                  <c:v>9.9101217833706942E-2</c:v>
                </c:pt>
                <c:pt idx="393">
                  <c:v>9.8408867418332047E-2</c:v>
                </c:pt>
                <c:pt idx="394">
                  <c:v>9.772115931749259E-2</c:v>
                </c:pt>
                <c:pt idx="395">
                  <c:v>9.7038064609561769E-2</c:v>
                </c:pt>
                <c:pt idx="396">
                  <c:v>9.6359554526141394E-2</c:v>
                </c:pt>
                <c:pt idx="397">
                  <c:v>9.5685600451618252E-2</c:v>
                </c:pt>
                <c:pt idx="398">
                  <c:v>9.5016173922716121E-2</c:v>
                </c:pt>
                <c:pt idx="399">
                  <c:v>9.435124662804216E-2</c:v>
                </c:pt>
                <c:pt idx="400">
                  <c:v>9.3690790407629759E-2</c:v>
                </c:pt>
                <c:pt idx="401">
                  <c:v>9.3034777252475984E-2</c:v>
                </c:pt>
                <c:pt idx="402">
                  <c:v>9.2383179304075483E-2</c:v>
                </c:pt>
                <c:pt idx="403">
                  <c:v>9.1735968853949565E-2</c:v>
                </c:pt>
                <c:pt idx="404">
                  <c:v>9.1093118343171769E-2</c:v>
                </c:pt>
                <c:pt idx="405">
                  <c:v>9.0454600361888987E-2</c:v>
                </c:pt>
                <c:pt idx="406">
                  <c:v>8.9820387648839192E-2</c:v>
                </c:pt>
                <c:pt idx="407">
                  <c:v>8.9190453090865027E-2</c:v>
                </c:pt>
                <c:pt idx="408">
                  <c:v>8.8564769722424497E-2</c:v>
                </c:pt>
                <c:pt idx="409">
                  <c:v>8.7943310725097229E-2</c:v>
                </c:pt>
                <c:pt idx="410">
                  <c:v>8.7326049427088409E-2</c:v>
                </c:pt>
                <c:pt idx="411">
                  <c:v>8.6712959302728598E-2</c:v>
                </c:pt>
                <c:pt idx="412">
                  <c:v>8.6104013971971025E-2</c:v>
                </c:pt>
                <c:pt idx="413">
                  <c:v>8.5499187199885612E-2</c:v>
                </c:pt>
                <c:pt idx="414">
                  <c:v>8.4898452896149973E-2</c:v>
                </c:pt>
                <c:pt idx="415">
                  <c:v>8.4301785114537856E-2</c:v>
                </c:pt>
                <c:pt idx="416">
                  <c:v>8.3709158052404739E-2</c:v>
                </c:pt>
                <c:pt idx="417">
                  <c:v>8.3120546050170677E-2</c:v>
                </c:pt>
                <c:pt idx="418">
                  <c:v>8.2535923590800961E-2</c:v>
                </c:pt>
                <c:pt idx="419">
                  <c:v>8.1955265299284069E-2</c:v>
                </c:pt>
                <c:pt idx="420">
                  <c:v>8.1378545942107444E-2</c:v>
                </c:pt>
                <c:pt idx="421">
                  <c:v>8.080574042673086E-2</c:v>
                </c:pt>
                <c:pt idx="422">
                  <c:v>8.023682380105808E-2</c:v>
                </c:pt>
                <c:pt idx="423">
                  <c:v>7.967177125290581E-2</c:v>
                </c:pt>
                <c:pt idx="424">
                  <c:v>7.9110558109471346E-2</c:v>
                </c:pt>
                <c:pt idx="425">
                  <c:v>7.8553159836797837E-2</c:v>
                </c:pt>
                <c:pt idx="426">
                  <c:v>7.799955203923821E-2</c:v>
                </c:pt>
                <c:pt idx="427">
                  <c:v>7.7449710458916771E-2</c:v>
                </c:pt>
                <c:pt idx="428">
                  <c:v>7.6903610975190106E-2</c:v>
                </c:pt>
                <c:pt idx="429">
                  <c:v>7.6361229604105324E-2</c:v>
                </c:pt>
                <c:pt idx="430">
                  <c:v>7.5822542497857803E-2</c:v>
                </c:pt>
                <c:pt idx="431">
                  <c:v>7.5287525944246966E-2</c:v>
                </c:pt>
                <c:pt idx="432">
                  <c:v>7.4756156366130894E-2</c:v>
                </c:pt>
                <c:pt idx="433">
                  <c:v>7.4228410320879887E-2</c:v>
                </c:pt>
                <c:pt idx="434">
                  <c:v>7.3704264499828601E-2</c:v>
                </c:pt>
                <c:pt idx="435">
                  <c:v>7.3183695727727149E-2</c:v>
                </c:pt>
                <c:pt idx="436">
                  <c:v>7.2666680962191227E-2</c:v>
                </c:pt>
                <c:pt idx="437">
                  <c:v>7.215319729315145E-2</c:v>
                </c:pt>
                <c:pt idx="438">
                  <c:v>7.1643221942301341E-2</c:v>
                </c:pt>
                <c:pt idx="439">
                  <c:v>7.1136732262545022E-2</c:v>
                </c:pt>
                <c:pt idx="440">
                  <c:v>7.0633705737443819E-2</c:v>
                </c:pt>
                <c:pt idx="441">
                  <c:v>7.0134119980662241E-2</c:v>
                </c:pt>
                <c:pt idx="442">
                  <c:v>6.9637952735413358E-2</c:v>
                </c:pt>
                <c:pt idx="443">
                  <c:v>6.9145181873903686E-2</c:v>
                </c:pt>
                <c:pt idx="444">
                  <c:v>6.8655785396777483E-2</c:v>
                </c:pt>
                <c:pt idx="445">
                  <c:v>6.816974143256041E-2</c:v>
                </c:pt>
                <c:pt idx="446">
                  <c:v>6.7687028237103236E-2</c:v>
                </c:pt>
                <c:pt idx="447">
                  <c:v>6.7207624193024756E-2</c:v>
                </c:pt>
                <c:pt idx="448">
                  <c:v>6.6731507809154988E-2</c:v>
                </c:pt>
                <c:pt idx="449">
                  <c:v>6.6258657719977174E-2</c:v>
                </c:pt>
                <c:pt idx="450">
                  <c:v>6.5789052685070848E-2</c:v>
                </c:pt>
                <c:pt idx="451">
                  <c:v>6.5322671588553843E-2</c:v>
                </c:pt>
                <c:pt idx="452">
                  <c:v>6.4859493438524651E-2</c:v>
                </c:pt>
                <c:pt idx="453">
                  <c:v>6.4399497366504604E-2</c:v>
                </c:pt>
                <c:pt idx="454">
                  <c:v>6.3942662626880212E-2</c:v>
                </c:pt>
                <c:pt idx="455">
                  <c:v>6.3488968596345605E-2</c:v>
                </c:pt>
                <c:pt idx="456">
                  <c:v>6.3038394773344816E-2</c:v>
                </c:pt>
                <c:pt idx="457">
                  <c:v>6.2590920777514672E-2</c:v>
                </c:pt>
                <c:pt idx="458">
                  <c:v>6.2146526349127436E-2</c:v>
                </c:pt>
                <c:pt idx="459">
                  <c:v>6.1705191348534291E-2</c:v>
                </c:pt>
                <c:pt idx="460">
                  <c:v>6.1266895755608453E-2</c:v>
                </c:pt>
                <c:pt idx="461">
                  <c:v>6.0831619669189221E-2</c:v>
                </c:pt>
                <c:pt idx="462">
                  <c:v>6.0399343306526063E-2</c:v>
                </c:pt>
                <c:pt idx="463">
                  <c:v>5.9970047002723362E-2</c:v>
                </c:pt>
                <c:pt idx="464">
                  <c:v>5.9543711210185438E-2</c:v>
                </c:pt>
                <c:pt idx="465">
                  <c:v>5.9120316498062167E-2</c:v>
                </c:pt>
                <c:pt idx="466">
                  <c:v>5.8699843551695302E-2</c:v>
                </c:pt>
                <c:pt idx="467">
                  <c:v>5.8282273172065066E-2</c:v>
                </c:pt>
                <c:pt idx="468">
                  <c:v>5.7867586275237609E-2</c:v>
                </c:pt>
                <c:pt idx="469">
                  <c:v>5.7455763891813338E-2</c:v>
                </c:pt>
                <c:pt idx="470">
                  <c:v>5.7046787166375103E-2</c:v>
                </c:pt>
                <c:pt idx="471">
                  <c:v>5.6640637356938306E-2</c:v>
                </c:pt>
                <c:pt idx="472">
                  <c:v>5.6237295834400708E-2</c:v>
                </c:pt>
                <c:pt idx="473">
                  <c:v>5.5836744081993774E-2</c:v>
                </c:pt>
                <c:pt idx="474">
                  <c:v>5.5438963694734472E-2</c:v>
                </c:pt>
                <c:pt idx="475">
                  <c:v>5.5043936378877875E-2</c:v>
                </c:pt>
                <c:pt idx="476">
                  <c:v>5.4651643951371169E-2</c:v>
                </c:pt>
                <c:pt idx="477">
                  <c:v>5.4262068339307877E-2</c:v>
                </c:pt>
                <c:pt idx="478">
                  <c:v>5.3875191579383599E-2</c:v>
                </c:pt>
                <c:pt idx="479">
                  <c:v>5.3490995817352394E-2</c:v>
                </c:pt>
                <c:pt idx="480">
                  <c:v>5.3109463307484513E-2</c:v>
                </c:pt>
                <c:pt idx="481">
                  <c:v>5.2730576412024686E-2</c:v>
                </c:pt>
                <c:pt idx="482">
                  <c:v>5.2354317600651942E-2</c:v>
                </c:pt>
                <c:pt idx="483">
                  <c:v>5.1980669449940384E-2</c:v>
                </c:pt>
                <c:pt idx="484">
                  <c:v>5.1609614642820836E-2</c:v>
                </c:pt>
                <c:pt idx="485">
                  <c:v>5.1241135968043916E-2</c:v>
                </c:pt>
                <c:pt idx="486">
                  <c:v>5.0875216319644298E-2</c:v>
                </c:pt>
                <c:pt idx="487">
                  <c:v>5.0511838696405874E-2</c:v>
                </c:pt>
                <c:pt idx="488">
                  <c:v>5.0150986201328518E-2</c:v>
                </c:pt>
                <c:pt idx="489">
                  <c:v>4.9792642041095674E-2</c:v>
                </c:pt>
                <c:pt idx="490">
                  <c:v>4.943678952554352E-2</c:v>
                </c:pt>
                <c:pt idx="491">
                  <c:v>4.9083412067131391E-2</c:v>
                </c:pt>
                <c:pt idx="492">
                  <c:v>4.8732493180413228E-2</c:v>
                </c:pt>
                <c:pt idx="493">
                  <c:v>4.8384016481510722E-2</c:v>
                </c:pt>
                <c:pt idx="494">
                  <c:v>4.8037965687587524E-2</c:v>
                </c:pt>
                <c:pt idx="495">
                  <c:v>4.7694324616324946E-2</c:v>
                </c:pt>
                <c:pt idx="496">
                  <c:v>4.7353077185399058E-2</c:v>
                </c:pt>
                <c:pt idx="497">
                  <c:v>4.7014207411959025E-2</c:v>
                </c:pt>
                <c:pt idx="498">
                  <c:v>4.6677699412107108E-2</c:v>
                </c:pt>
                <c:pt idx="499">
                  <c:v>4.6343537400379942E-2</c:v>
                </c:pt>
                <c:pt idx="500">
                  <c:v>4.6011705689231269E-2</c:v>
                </c:pt>
                <c:pt idx="501">
                  <c:v>4.5682188688516118E-2</c:v>
                </c:pt>
                <c:pt idx="502">
                  <c:v>4.5354970904976741E-2</c:v>
                </c:pt>
                <c:pt idx="503">
                  <c:v>4.5030036941729523E-2</c:v>
                </c:pt>
                <c:pt idx="504">
                  <c:v>4.4707371497754077E-2</c:v>
                </c:pt>
                <c:pt idx="505">
                  <c:v>4.4386959367383114E-2</c:v>
                </c:pt>
                <c:pt idx="506">
                  <c:v>4.4068785439794679E-2</c:v>
                </c:pt>
                <c:pt idx="507">
                  <c:v>4.3752834698505223E-2</c:v>
                </c:pt>
                <c:pt idx="508">
                  <c:v>4.3439092220864686E-2</c:v>
                </c:pt>
                <c:pt idx="509">
                  <c:v>4.3127543177553018E-2</c:v>
                </c:pt>
                <c:pt idx="510">
                  <c:v>4.2818172832078324E-2</c:v>
                </c:pt>
                <c:pt idx="511">
                  <c:v>4.2510966540276619E-2</c:v>
                </c:pt>
                <c:pt idx="512">
                  <c:v>4.2205909749813232E-2</c:v>
                </c:pt>
                <c:pt idx="513">
                  <c:v>4.1902987999685823E-2</c:v>
                </c:pt>
                <c:pt idx="514">
                  <c:v>4.1602186919728945E-2</c:v>
                </c:pt>
                <c:pt idx="515">
                  <c:v>4.1303492230120489E-2</c:v>
                </c:pt>
                <c:pt idx="516">
                  <c:v>4.1006889740889736E-2</c:v>
                </c:pt>
                <c:pt idx="517">
                  <c:v>4.0712365351426832E-2</c:v>
                </c:pt>
                <c:pt idx="518">
                  <c:v>4.0419905049994306E-2</c:v>
                </c:pt>
                <c:pt idx="519">
                  <c:v>4.0129494913240069E-2</c:v>
                </c:pt>
                <c:pt idx="520">
                  <c:v>3.9841121105712238E-2</c:v>
                </c:pt>
                <c:pt idx="521">
                  <c:v>3.9554769879375576E-2</c:v>
                </c:pt>
                <c:pt idx="522">
                  <c:v>3.927042757312979E-2</c:v>
                </c:pt>
                <c:pt idx="523">
                  <c:v>3.8988080612329307E-2</c:v>
                </c:pt>
                <c:pt idx="524">
                  <c:v>3.8707715508305172E-2</c:v>
                </c:pt>
                <c:pt idx="525">
                  <c:v>3.842931885788841E-2</c:v>
                </c:pt>
                <c:pt idx="526">
                  <c:v>3.8152877342935147E-2</c:v>
                </c:pt>
                <c:pt idx="527">
                  <c:v>3.7878377729853772E-2</c:v>
                </c:pt>
                <c:pt idx="528">
                  <c:v>3.760580686913341E-2</c:v>
                </c:pt>
                <c:pt idx="529">
                  <c:v>3.7335151694874676E-2</c:v>
                </c:pt>
                <c:pt idx="530">
                  <c:v>3.7066399224321825E-2</c:v>
                </c:pt>
                <c:pt idx="531">
                  <c:v>3.6799536557396921E-2</c:v>
                </c:pt>
                <c:pt idx="532">
                  <c:v>3.6534550876235652E-2</c:v>
                </c:pt>
                <c:pt idx="533">
                  <c:v>3.6271429444725098E-2</c:v>
                </c:pt>
                <c:pt idx="534">
                  <c:v>3.6010159608043137E-2</c:v>
                </c:pt>
                <c:pt idx="535">
                  <c:v>3.5750728792199829E-2</c:v>
                </c:pt>
                <c:pt idx="536">
                  <c:v>3.5493124503580387E-2</c:v>
                </c:pt>
                <c:pt idx="537">
                  <c:v>3.5237334328490341E-2</c:v>
                </c:pt>
                <c:pt idx="538">
                  <c:v>3.498334593270204E-2</c:v>
                </c:pt>
                <c:pt idx="539">
                  <c:v>3.4731147061003505E-2</c:v>
                </c:pt>
                <c:pt idx="540">
                  <c:v>3.4480725536748642E-2</c:v>
                </c:pt>
                <c:pt idx="541">
                  <c:v>3.4232069261409523E-2</c:v>
                </c:pt>
                <c:pt idx="542">
                  <c:v>3.3985166214130627E-2</c:v>
                </c:pt>
                <c:pt idx="543">
                  <c:v>3.3740004451284611E-2</c:v>
                </c:pt>
                <c:pt idx="544">
                  <c:v>3.3496572106030173E-2</c:v>
                </c:pt>
                <c:pt idx="545">
                  <c:v>3.3254857387871609E-2</c:v>
                </c:pt>
                <c:pt idx="546">
                  <c:v>3.3014848582220396E-2</c:v>
                </c:pt>
                <c:pt idx="547">
                  <c:v>3.2776534049958443E-2</c:v>
                </c:pt>
                <c:pt idx="548">
                  <c:v>3.2539902227003245E-2</c:v>
                </c:pt>
                <c:pt idx="549">
                  <c:v>3.2304941623874935E-2</c:v>
                </c:pt>
                <c:pt idx="550">
                  <c:v>3.2071640825265257E-2</c:v>
                </c:pt>
                <c:pt idx="551">
                  <c:v>3.1839988489608194E-2</c:v>
                </c:pt>
                <c:pt idx="552">
                  <c:v>3.1609973348652655E-2</c:v>
                </c:pt>
                <c:pt idx="553">
                  <c:v>3.1381584207036843E-2</c:v>
                </c:pt>
                <c:pt idx="554">
                  <c:v>3.1154809941864786E-2</c:v>
                </c:pt>
                <c:pt idx="555">
                  <c:v>3.0929639502284206E-2</c:v>
                </c:pt>
                <c:pt idx="556">
                  <c:v>3.0706061909066905E-2</c:v>
                </c:pt>
                <c:pt idx="557">
                  <c:v>3.0484066254190447E-2</c:v>
                </c:pt>
                <c:pt idx="558">
                  <c:v>3.0263641700422034E-2</c:v>
                </c:pt>
                <c:pt idx="559">
                  <c:v>3.0044777480904082E-2</c:v>
                </c:pt>
                <c:pt idx="560">
                  <c:v>2.9827462898741851E-2</c:v>
                </c:pt>
                <c:pt idx="561">
                  <c:v>2.9611687326592587E-2</c:v>
                </c:pt>
                <c:pt idx="562">
                  <c:v>2.9397440206256956E-2</c:v>
                </c:pt>
                <c:pt idx="563">
                  <c:v>2.9184711048272007E-2</c:v>
                </c:pt>
                <c:pt idx="564">
                  <c:v>2.8973489431506152E-2</c:v>
                </c:pt>
                <c:pt idx="565">
                  <c:v>2.8763765002755987E-2</c:v>
                </c:pt>
                <c:pt idx="566">
                  <c:v>2.8555527476344884E-2</c:v>
                </c:pt>
                <c:pt idx="567">
                  <c:v>2.8348766633723609E-2</c:v>
                </c:pt>
                <c:pt idx="568">
                  <c:v>2.8143472323072592E-2</c:v>
                </c:pt>
                <c:pt idx="569">
                  <c:v>2.7939634458906244E-2</c:v>
                </c:pt>
                <c:pt idx="570">
                  <c:v>2.773724302167898E-2</c:v>
                </c:pt>
                <c:pt idx="571">
                  <c:v>2.7536288057393138E-2</c:v>
                </c:pt>
                <c:pt idx="572">
                  <c:v>2.7336759677208781E-2</c:v>
                </c:pt>
                <c:pt idx="573">
                  <c:v>2.7138648057055362E-2</c:v>
                </c:pt>
                <c:pt idx="574">
                  <c:v>2.6941943437245135E-2</c:v>
                </c:pt>
                <c:pt idx="575">
                  <c:v>2.6746636122088444E-2</c:v>
                </c:pt>
                <c:pt idx="576">
                  <c:v>2.6552716479511022E-2</c:v>
                </c:pt>
                <c:pt idx="577">
                  <c:v>2.6360174940672752E-2</c:v>
                </c:pt>
                <c:pt idx="578">
                  <c:v>2.6169001999588697E-2</c:v>
                </c:pt>
                <c:pt idx="579">
                  <c:v>2.5979188212751678E-2</c:v>
                </c:pt>
                <c:pt idx="580">
                  <c:v>2.5790724198756707E-2</c:v>
                </c:pt>
                <c:pt idx="581">
                  <c:v>2.5603600637927416E-2</c:v>
                </c:pt>
                <c:pt idx="582">
                  <c:v>2.5417808271944117E-2</c:v>
                </c:pt>
                <c:pt idx="583">
                  <c:v>2.5233337903473742E-2</c:v>
                </c:pt>
                <c:pt idx="584">
                  <c:v>2.5050180395801744E-2</c:v>
                </c:pt>
                <c:pt idx="585">
                  <c:v>2.4868326672465524E-2</c:v>
                </c:pt>
                <c:pt idx="586">
                  <c:v>2.4687767716889946E-2</c:v>
                </c:pt>
                <c:pt idx="587">
                  <c:v>2.4508494572024506E-2</c:v>
                </c:pt>
                <c:pt idx="588">
                  <c:v>2.4330498339982392E-2</c:v>
                </c:pt>
                <c:pt idx="589">
                  <c:v>2.4153770181681196E-2</c:v>
                </c:pt>
                <c:pt idx="590">
                  <c:v>2.3978301316485671E-2</c:v>
                </c:pt>
                <c:pt idx="591">
                  <c:v>2.3804083021852007E-2</c:v>
                </c:pt>
                <c:pt idx="592">
                  <c:v>2.3631106632974089E-2</c:v>
                </c:pt>
                <c:pt idx="593">
                  <c:v>2.3459363542431447E-2</c:v>
                </c:pt>
                <c:pt idx="594">
                  <c:v>2.3288845199839075E-2</c:v>
                </c:pt>
                <c:pt idx="595">
                  <c:v>2.31195431114989E-2</c:v>
                </c:pt>
                <c:pt idx="596">
                  <c:v>2.2951448840053148E-2</c:v>
                </c:pt>
                <c:pt idx="597">
                  <c:v>2.278455400413933E-2</c:v>
                </c:pt>
                <c:pt idx="598">
                  <c:v>2.2618850278047276E-2</c:v>
                </c:pt>
                <c:pt idx="599">
                  <c:v>2.2454329391377474E-2</c:v>
                </c:pt>
                <c:pt idx="600">
                  <c:v>2.2290983128701713E-2</c:v>
                </c:pt>
                <c:pt idx="601">
                  <c:v>2.2128803329224955E-2</c:v>
                </c:pt>
                <c:pt idx="602">
                  <c:v>2.196778188644935E-2</c:v>
                </c:pt>
                <c:pt idx="603">
                  <c:v>2.1807910747839752E-2</c:v>
                </c:pt>
                <c:pt idx="604">
                  <c:v>2.1649181914491087E-2</c:v>
                </c:pt>
                <c:pt idx="605">
                  <c:v>2.1491587440797485E-2</c:v>
                </c:pt>
                <c:pt idx="606">
                  <c:v>2.13351194341229E-2</c:v>
                </c:pt>
                <c:pt idx="607">
                  <c:v>2.1179770054473853E-2</c:v>
                </c:pt>
                <c:pt idx="608">
                  <c:v>2.1025531514173523E-2</c:v>
                </c:pt>
                <c:pt idx="609">
                  <c:v>2.0872396077537738E-2</c:v>
                </c:pt>
                <c:pt idx="610">
                  <c:v>2.0720356060552635E-2</c:v>
                </c:pt>
                <c:pt idx="611">
                  <c:v>2.0569403830554053E-2</c:v>
                </c:pt>
                <c:pt idx="612">
                  <c:v>2.0419531805908539E-2</c:v>
                </c:pt>
                <c:pt idx="613">
                  <c:v>2.0270732455696151E-2</c:v>
                </c:pt>
                <c:pt idx="614">
                  <c:v>2.0122998299394901E-2</c:v>
                </c:pt>
                <c:pt idx="615">
                  <c:v>1.9976321906566803E-2</c:v>
                </c:pt>
                <c:pt idx="616">
                  <c:v>1.9830695896545781E-2</c:v>
                </c:pt>
                <c:pt idx="617">
                  <c:v>1.9686112938127075E-2</c:v>
                </c:pt>
                <c:pt idx="618">
                  <c:v>1.9542565749258417E-2</c:v>
                </c:pt>
                <c:pt idx="619">
                  <c:v>1.9400047096732761E-2</c:v>
                </c:pt>
                <c:pt idx="620">
                  <c:v>1.9258549795882863E-2</c:v>
                </c:pt>
                <c:pt idx="621">
                  <c:v>1.9118066710277271E-2</c:v>
                </c:pt>
                <c:pt idx="622">
                  <c:v>1.8978590751418108E-2</c:v>
                </c:pt>
                <c:pt idx="623">
                  <c:v>1.8840114878440523E-2</c:v>
                </c:pt>
                <c:pt idx="624">
                  <c:v>1.8702632097813605E-2</c:v>
                </c:pt>
                <c:pt idx="625">
                  <c:v>1.8566135463043167E-2</c:v>
                </c:pt>
                <c:pt idx="626">
                  <c:v>1.8430618074375883E-2</c:v>
                </c:pt>
                <c:pt idx="627">
                  <c:v>1.8296073078505289E-2</c:v>
                </c:pt>
                <c:pt idx="628">
                  <c:v>1.8162493668279184E-2</c:v>
                </c:pt>
                <c:pt idx="629">
                  <c:v>1.8029873082408839E-2</c:v>
                </c:pt>
                <c:pt idx="630">
                  <c:v>1.7898204605179647E-2</c:v>
                </c:pt>
                <c:pt idx="631">
                  <c:v>1.7767481566163399E-2</c:v>
                </c:pt>
                <c:pt idx="632">
                  <c:v>1.7637697339932243E-2</c:v>
                </c:pt>
                <c:pt idx="633">
                  <c:v>1.750884534577405E-2</c:v>
                </c:pt>
                <c:pt idx="634">
                  <c:v>1.7380919047409574E-2</c:v>
                </c:pt>
                <c:pt idx="635">
                  <c:v>1.7253911952710976E-2</c:v>
                </c:pt>
                <c:pt idx="636">
                  <c:v>1.7127817613422074E-2</c:v>
                </c:pt>
                <c:pt idx="637">
                  <c:v>1.700262962488E-2</c:v>
                </c:pt>
                <c:pt idx="638">
                  <c:v>1.687834162573856E-2</c:v>
                </c:pt>
                <c:pt idx="639">
                  <c:v>1.675494729769306E-2</c:v>
                </c:pt>
                <c:pt idx="640">
                  <c:v>1.6632440365206638E-2</c:v>
                </c:pt>
                <c:pt idx="641">
                  <c:v>1.6510814595238218E-2</c:v>
                </c:pt>
                <c:pt idx="642">
                  <c:v>1.6390063796971971E-2</c:v>
                </c:pt>
                <c:pt idx="643">
                  <c:v>1.6270181821548203E-2</c:v>
                </c:pt>
                <c:pt idx="644">
                  <c:v>1.6151162561795898E-2</c:v>
                </c:pt>
                <c:pt idx="645">
                  <c:v>1.6032999951966696E-2</c:v>
                </c:pt>
                <c:pt idx="646">
                  <c:v>1.5915687967470362E-2</c:v>
                </c:pt>
                <c:pt idx="647">
                  <c:v>1.579922062461183E-2</c:v>
                </c:pt>
                <c:pt idx="648">
                  <c:v>1.5683591980329609E-2</c:v>
                </c:pt>
                <c:pt idx="649">
                  <c:v>1.5568796131935845E-2</c:v>
                </c:pt>
                <c:pt idx="650">
                  <c:v>1.5454827216857694E-2</c:v>
                </c:pt>
                <c:pt idx="651">
                  <c:v>1.5341679412380311E-2</c:v>
                </c:pt>
                <c:pt idx="652">
                  <c:v>1.5229346935391198E-2</c:v>
                </c:pt>
                <c:pt idx="653">
                  <c:v>1.5117824042126093E-2</c:v>
                </c:pt>
                <c:pt idx="654">
                  <c:v>1.5007105027916219E-2</c:v>
                </c:pt>
                <c:pt idx="655">
                  <c:v>1.489718422693715E-2</c:v>
                </c:pt>
                <c:pt idx="656">
                  <c:v>1.4788056011958909E-2</c:v>
                </c:pt>
                <c:pt idx="657">
                  <c:v>1.4679714794097659E-2</c:v>
                </c:pt>
                <c:pt idx="658">
                  <c:v>1.4572155022568777E-2</c:v>
                </c:pt>
                <c:pt idx="659">
                  <c:v>1.4465371184441359E-2</c:v>
                </c:pt>
                <c:pt idx="660">
                  <c:v>1.4359357804394075E-2</c:v>
                </c:pt>
                <c:pt idx="661">
                  <c:v>1.4254109444472581E-2</c:v>
                </c:pt>
                <c:pt idx="662">
                  <c:v>1.4149620703848191E-2</c:v>
                </c:pt>
                <c:pt idx="663">
                  <c:v>1.4045886218578033E-2</c:v>
                </c:pt>
                <c:pt idx="664">
                  <c:v>1.3942900661366575E-2</c:v>
                </c:pt>
                <c:pt idx="665">
                  <c:v>1.3840658741328563E-2</c:v>
                </c:pt>
                <c:pt idx="666">
                  <c:v>1.3739155203753286E-2</c:v>
                </c:pt>
                <c:pt idx="667">
                  <c:v>1.3638384829870247E-2</c:v>
                </c:pt>
                <c:pt idx="668">
                  <c:v>1.3538342436616259E-2</c:v>
                </c:pt>
                <c:pt idx="669">
                  <c:v>1.3439022876403773E-2</c:v>
                </c:pt>
                <c:pt idx="670">
                  <c:v>1.3340421036890702E-2</c:v>
                </c:pt>
                <c:pt idx="671">
                  <c:v>1.3242531840751526E-2</c:v>
                </c:pt>
                <c:pt idx="672">
                  <c:v>1.3145350245449708E-2</c:v>
                </c:pt>
                <c:pt idx="673">
                  <c:v>1.3048871243011552E-2</c:v>
                </c:pt>
                <c:pt idx="674">
                  <c:v>1.2953089859801302E-2</c:v>
                </c:pt>
                <c:pt idx="675">
                  <c:v>1.2858001156297573E-2</c:v>
                </c:pt>
                <c:pt idx="676">
                  <c:v>1.2763600226871183E-2</c:v>
                </c:pt>
                <c:pt idx="677">
                  <c:v>1.2669882199564176E-2</c:v>
                </c:pt>
                <c:pt idx="678">
                  <c:v>1.2576842235870314E-2</c:v>
                </c:pt>
                <c:pt idx="679">
                  <c:v>1.2484475530516655E-2</c:v>
                </c:pt>
                <c:pt idx="680">
                  <c:v>1.2392777311246654E-2</c:v>
                </c:pt>
                <c:pt idx="681">
                  <c:v>1.2301742838604393E-2</c:v>
                </c:pt>
                <c:pt idx="682">
                  <c:v>1.2211367405720168E-2</c:v>
                </c:pt>
                <c:pt idx="683">
                  <c:v>1.2121646338097305E-2</c:v>
                </c:pt>
                <c:pt idx="684">
                  <c:v>1.2032574993400338E-2</c:v>
                </c:pt>
                <c:pt idx="685">
                  <c:v>1.1944148761244317E-2</c:v>
                </c:pt>
                <c:pt idx="686">
                  <c:v>1.1856363062985494E-2</c:v>
                </c:pt>
                <c:pt idx="687">
                  <c:v>1.1769213351513218E-2</c:v>
                </c:pt>
                <c:pt idx="688">
                  <c:v>1.1682695111043043E-2</c:v>
                </c:pt>
                <c:pt idx="689">
                  <c:v>1.1596803856911139E-2</c:v>
                </c:pt>
                <c:pt idx="690">
                  <c:v>1.1511535135369896E-2</c:v>
                </c:pt>
                <c:pt idx="691">
                  <c:v>1.142688452338478E-2</c:v>
                </c:pt>
                <c:pt idx="692">
                  <c:v>1.1342847628432379E-2</c:v>
                </c:pt>
                <c:pt idx="693">
                  <c:v>1.1259420088299695E-2</c:v>
                </c:pt>
                <c:pt idx="694">
                  <c:v>1.1176597570884668E-2</c:v>
                </c:pt>
                <c:pt idx="695">
                  <c:v>1.1094375773997831E-2</c:v>
                </c:pt>
                <c:pt idx="696">
                  <c:v>1.1012750425165243E-2</c:v>
                </c:pt>
                <c:pt idx="697">
                  <c:v>1.0931717281432548E-2</c:v>
                </c:pt>
                <c:pt idx="698">
                  <c:v>1.0851272129170293E-2</c:v>
                </c:pt>
                <c:pt idx="699">
                  <c:v>1.0771410783880362E-2</c:v>
                </c:pt>
                <c:pt idx="700">
                  <c:v>1.0692129090003609E-2</c:v>
                </c:pt>
                <c:pt idx="701">
                  <c:v>1.0613422920728682E-2</c:v>
                </c:pt>
                <c:pt idx="702">
                  <c:v>1.053528817780197E-2</c:v>
                </c:pt>
                <c:pt idx="703">
                  <c:v>1.045772079133872E-2</c:v>
                </c:pt>
                <c:pt idx="704">
                  <c:v>1.0380716719635367E-2</c:v>
                </c:pt>
                <c:pt idx="705">
                  <c:v>1.0304271948982886E-2</c:v>
                </c:pt>
                <c:pt idx="706">
                  <c:v>1.0228382493481378E-2</c:v>
                </c:pt>
                <c:pt idx="707">
                  <c:v>1.0153044394855797E-2</c:v>
                </c:pt>
                <c:pt idx="708">
                  <c:v>1.0078253722272725E-2</c:v>
                </c:pt>
                <c:pt idx="709">
                  <c:v>1.0004006572158369E-2</c:v>
                </c:pt>
                <c:pt idx="710">
                  <c:v>9.9302990680175708E-3</c:v>
                </c:pt>
                <c:pt idx="711">
                  <c:v>9.8571273602540196E-3</c:v>
                </c:pt>
                <c:pt idx="712">
                  <c:v>9.7844876259915066E-3</c:v>
                </c:pt>
                <c:pt idx="713">
                  <c:v>9.7123760688963261E-3</c:v>
                </c:pt>
                <c:pt idx="714">
                  <c:v>9.640788919000734E-3</c:v>
                </c:pt>
                <c:pt idx="715">
                  <c:v>9.5697224325275027E-3</c:v>
                </c:pt>
                <c:pt idx="716">
                  <c:v>9.4991728917155765E-3</c:v>
                </c:pt>
                <c:pt idx="717">
                  <c:v>9.429136604646773E-3</c:v>
                </c:pt>
                <c:pt idx="718">
                  <c:v>9.3596099050735869E-3</c:v>
                </c:pt>
                <c:pt idx="719">
                  <c:v>9.2905891522480598E-3</c:v>
                </c:pt>
                <c:pt idx="720">
                  <c:v>9.2220707307516369E-3</c:v>
                </c:pt>
                <c:pt idx="721">
                  <c:v>9.1540510503262135E-3</c:v>
                </c:pt>
                <c:pt idx="722">
                  <c:v>9.0865265457060942E-3</c:v>
                </c:pt>
                <c:pt idx="723">
                  <c:v>9.0194936764510722E-3</c:v>
                </c:pt>
                <c:pt idx="724">
                  <c:v>8.9529489267805452E-3</c:v>
                </c:pt>
                <c:pt idx="725">
                  <c:v>8.886888805408593E-3</c:v>
                </c:pt>
                <c:pt idx="726">
                  <c:v>8.8213098453802166E-3</c:v>
                </c:pt>
                <c:pt idx="727">
                  <c:v>8.7562086039084143E-3</c:v>
                </c:pt>
                <c:pt idx="728">
                  <c:v>8.6915816622124605E-3</c:v>
                </c:pt>
                <c:pt idx="729">
                  <c:v>8.6274256253570589E-3</c:v>
                </c:pt>
                <c:pt idx="730">
                  <c:v>8.5637371220925636E-3</c:v>
                </c:pt>
                <c:pt idx="731">
                  <c:v>8.5005128046961968E-3</c:v>
                </c:pt>
                <c:pt idx="732">
                  <c:v>8.4377493488142098E-3</c:v>
                </c:pt>
                <c:pt idx="733">
                  <c:v>8.3754434533051206E-3</c:v>
                </c:pt>
                <c:pt idx="734">
                  <c:v>8.3135918400838449E-3</c:v>
                </c:pt>
                <c:pt idx="735">
                  <c:v>8.2521912539668535E-3</c:v>
                </c:pt>
                <c:pt idx="736">
                  <c:v>8.1912384625183222E-3</c:v>
                </c:pt>
                <c:pt idx="737">
                  <c:v>8.130730255897169E-3</c:v>
                </c:pt>
                <c:pt idx="738">
                  <c:v>8.0706634467051404E-3</c:v>
                </c:pt>
                <c:pt idx="739">
                  <c:v>8.0110348698357956E-3</c:v>
                </c:pt>
                <c:pt idx="740">
                  <c:v>7.9518413823244701E-3</c:v>
                </c:pt>
                <c:pt idx="741">
                  <c:v>7.8930798631991917E-3</c:v>
                </c:pt>
                <c:pt idx="742">
                  <c:v>7.8347472133324953E-3</c:v>
                </c:pt>
                <c:pt idx="743">
                  <c:v>7.7768403552942143E-3</c:v>
                </c:pt>
                <c:pt idx="744">
                  <c:v>7.719356233205194E-3</c:v>
                </c:pt>
                <c:pt idx="745">
                  <c:v>7.6622918125919216E-3</c:v>
                </c:pt>
                <c:pt idx="746">
                  <c:v>7.6056440802420681E-3</c:v>
                </c:pt>
                <c:pt idx="747">
                  <c:v>7.5494100440609644E-3</c:v>
                </c:pt>
                <c:pt idx="748">
                  <c:v>7.4935867329290022E-3</c:v>
                </c:pt>
                <c:pt idx="749">
                  <c:v>7.4381711965598573E-3</c:v>
                </c:pt>
                <c:pt idx="750">
                  <c:v>7.3831605053597382E-3</c:v>
                </c:pt>
                <c:pt idx="751">
                  <c:v>7.328551750287419E-3</c:v>
                </c:pt>
                <c:pt idx="752">
                  <c:v>7.2743420427152147E-3</c:v>
                </c:pt>
                <c:pt idx="753">
                  <c:v>7.2205285142908464E-3</c:v>
                </c:pt>
                <c:pt idx="754">
                  <c:v>7.1671083168001514E-3</c:v>
                </c:pt>
                <c:pt idx="755">
                  <c:v>7.1140786220306954E-3</c:v>
                </c:pt>
                <c:pt idx="756">
                  <c:v>7.061436621636252E-3</c:v>
                </c:pt>
                <c:pt idx="757">
                  <c:v>7.0091795270021346E-3</c:v>
                </c:pt>
                <c:pt idx="758">
                  <c:v>6.9573045691113918E-3</c:v>
                </c:pt>
                <c:pt idx="759">
                  <c:v>6.9058089984118847E-3</c:v>
                </c:pt>
                <c:pt idx="760">
                  <c:v>6.8546900846841452E-3</c:v>
                </c:pt>
                <c:pt idx="761">
                  <c:v>6.8039451169101669E-3</c:v>
                </c:pt>
                <c:pt idx="762">
                  <c:v>6.7535714031429772E-3</c:v>
                </c:pt>
                <c:pt idx="763">
                  <c:v>6.7035662703770742E-3</c:v>
                </c:pt>
                <c:pt idx="764">
                  <c:v>6.6539270644196472E-3</c:v>
                </c:pt>
                <c:pt idx="765">
                  <c:v>6.6046511497626992E-3</c:v>
                </c:pt>
                <c:pt idx="766">
                  <c:v>6.5557359094559385E-3</c:v>
                </c:pt>
                <c:pt idx="767">
                  <c:v>6.5071787449804798E-3</c:v>
                </c:pt>
                <c:pt idx="768">
                  <c:v>6.4589770761233987E-3</c:v>
                </c:pt>
                <c:pt idx="769">
                  <c:v>6.4111283408530544E-3</c:v>
                </c:pt>
                <c:pt idx="770">
                  <c:v>6.3636299951952404E-3</c:v>
                </c:pt>
                <c:pt idx="771">
                  <c:v>6.3164795131101211E-3</c:v>
                </c:pt>
                <c:pt idx="772">
                  <c:v>6.2696743863699667E-3</c:v>
                </c:pt>
                <c:pt idx="773">
                  <c:v>6.2232121244376673E-3</c:v>
                </c:pt>
                <c:pt idx="774">
                  <c:v>6.1770902543460396E-3</c:v>
                </c:pt>
                <c:pt idx="775">
                  <c:v>6.131306320577924E-3</c:v>
                </c:pt>
                <c:pt idx="776">
                  <c:v>6.0858578849470185E-3</c:v>
                </c:pt>
                <c:pt idx="777">
                  <c:v>6.0407425264795448E-3</c:v>
                </c:pt>
                <c:pt idx="778">
                  <c:v>5.9959578412966154E-3</c:v>
                </c:pt>
                <c:pt idx="779">
                  <c:v>5.9515014424974004E-3</c:v>
                </c:pt>
                <c:pt idx="780">
                  <c:v>5.907370960043048E-3</c:v>
                </c:pt>
                <c:pt idx="781">
                  <c:v>5.8635640406413444E-3</c:v>
                </c:pt>
                <c:pt idx="782">
                  <c:v>5.8200783476321264E-3</c:v>
                </c:pt>
                <c:pt idx="783">
                  <c:v>5.7769115608734675E-3</c:v>
                </c:pt>
                <c:pt idx="784">
                  <c:v>5.7340613766285404E-3</c:v>
                </c:pt>
                <c:pt idx="785">
                  <c:v>5.6915255074532741E-3</c:v>
                </c:pt>
                <c:pt idx="786">
                  <c:v>5.6493016820847114E-3</c:v>
                </c:pt>
                <c:pt idx="787">
                  <c:v>5.6073876453301081E-3</c:v>
                </c:pt>
                <c:pt idx="788">
                  <c:v>5.5657811579567333E-3</c:v>
                </c:pt>
                <c:pt idx="789">
                  <c:v>5.5244799965824066E-3</c:v>
                </c:pt>
                <c:pt idx="790">
                  <c:v>5.4834819535667587E-3</c:v>
                </c:pt>
                <c:pt idx="791">
                  <c:v>5.4427848369031639E-3</c:v>
                </c:pt>
                <c:pt idx="792">
                  <c:v>5.4023864701114041E-3</c:v>
                </c:pt>
                <c:pt idx="793">
                  <c:v>5.3622846921310471E-3</c:v>
                </c:pt>
                <c:pt idx="794">
                  <c:v>5.3224773572154802E-3</c:v>
                </c:pt>
                <c:pt idx="795">
                  <c:v>5.2829623348266764E-3</c:v>
                </c:pt>
                <c:pt idx="796">
                  <c:v>5.2437375095306339E-3</c:v>
                </c:pt>
                <c:pt idx="797">
                  <c:v>5.2048007808934791E-3</c:v>
                </c:pt>
                <c:pt idx="798">
                  <c:v>5.166150063378303E-3</c:v>
                </c:pt>
                <c:pt idx="799">
                  <c:v>5.1277832862426089E-3</c:v>
                </c:pt>
                <c:pt idx="800">
                  <c:v>5.0896983934364893E-3</c:v>
                </c:pt>
                <c:pt idx="801">
                  <c:v>5.0518933435014356E-3</c:v>
                </c:pt>
                <c:pt idx="802">
                  <c:v>5.0143661094698136E-3</c:v>
                </c:pt>
                <c:pt idx="803">
                  <c:v>4.9771146787650237E-3</c:v>
                </c:pt>
                <c:pt idx="804">
                  <c:v>4.940137053102295E-3</c:v>
                </c:pt>
                <c:pt idx="805">
                  <c:v>4.9034312483901381E-3</c:v>
                </c:pt>
                <c:pt idx="806">
                  <c:v>4.8669952946324407E-3</c:v>
                </c:pt>
                <c:pt idx="807">
                  <c:v>4.8308272358312315E-3</c:v>
                </c:pt>
                <c:pt idx="808">
                  <c:v>4.7949251298900417E-3</c:v>
                </c:pt>
                <c:pt idx="809">
                  <c:v>4.7592870485179458E-3</c:v>
                </c:pt>
                <c:pt idx="810">
                  <c:v>4.723911077134206E-3</c:v>
                </c:pt>
                <c:pt idx="811">
                  <c:v>4.6887953147735683E-3</c:v>
                </c:pt>
                <c:pt idx="812">
                  <c:v>4.6539378739921585E-3</c:v>
                </c:pt>
                <c:pt idx="813">
                  <c:v>4.61933688077403E-3</c:v>
                </c:pt>
                <c:pt idx="814">
                  <c:v>4.5849904744382827E-3</c:v>
                </c:pt>
                <c:pt idx="815">
                  <c:v>4.5508968075468588E-3</c:v>
                </c:pt>
                <c:pt idx="816">
                  <c:v>4.5170540458128929E-3</c:v>
                </c:pt>
                <c:pt idx="817">
                  <c:v>4.4834603680097051E-3</c:v>
                </c:pt>
                <c:pt idx="818">
                  <c:v>4.4501139658803561E-3</c:v>
                </c:pt>
                <c:pt idx="819">
                  <c:v>4.4170130440478591E-3</c:v>
                </c:pt>
                <c:pt idx="820">
                  <c:v>4.3841558199259343E-3</c:v>
                </c:pt>
                <c:pt idx="821">
                  <c:v>4.3515405236303813E-3</c:v>
                </c:pt>
                <c:pt idx="822">
                  <c:v>4.3191653978910255E-3</c:v>
                </c:pt>
                <c:pt idx="823">
                  <c:v>4.2870286979642767E-3</c:v>
                </c:pt>
                <c:pt idx="824">
                  <c:v>4.25512869154622E-3</c:v>
                </c:pt>
                <c:pt idx="825">
                  <c:v>4.2234636586863427E-3</c:v>
                </c:pt>
                <c:pt idx="826">
                  <c:v>4.1920318917017755E-3</c:v>
                </c:pt>
                <c:pt idx="827">
                  <c:v>4.1608316950921542E-3</c:v>
                </c:pt>
                <c:pt idx="828">
                  <c:v>4.1298613854550172E-3</c:v>
                </c:pt>
                <c:pt idx="829">
                  <c:v>4.0991192914017812E-3</c:v>
                </c:pt>
                <c:pt idx="830">
                  <c:v>4.0686037534742609E-3</c:v>
                </c:pt>
                <c:pt idx="831">
                  <c:v>4.0383131240617548E-3</c:v>
                </c:pt>
                <c:pt idx="832">
                  <c:v>4.0082457673186996E-3</c:v>
                </c:pt>
                <c:pt idx="833">
                  <c:v>3.978400059082841E-3</c:v>
                </c:pt>
                <c:pt idx="834">
                  <c:v>3.9487743867939688E-3</c:v>
                </c:pt>
                <c:pt idx="835">
                  <c:v>3.9193671494132049E-3</c:v>
                </c:pt>
                <c:pt idx="836">
                  <c:v>3.8901767573428017E-3</c:v>
                </c:pt>
                <c:pt idx="837">
                  <c:v>3.8612016323465001E-3</c:v>
                </c:pt>
                <c:pt idx="838">
                  <c:v>3.8324402074704214E-3</c:v>
                </c:pt>
                <c:pt idx="839">
                  <c:v>3.8038909269644591E-3</c:v>
                </c:pt>
                <c:pt idx="840">
                  <c:v>3.7755522462042342E-3</c:v>
                </c:pt>
                <c:pt idx="841">
                  <c:v>3.7474226316135525E-3</c:v>
                </c:pt>
                <c:pt idx="842">
                  <c:v>3.7195005605873692E-3</c:v>
                </c:pt>
                <c:pt idx="843">
                  <c:v>3.6917845214153055E-3</c:v>
                </c:pt>
                <c:pt idx="844">
                  <c:v>3.6642730132056484E-3</c:v>
                </c:pt>
                <c:pt idx="845">
                  <c:v>3.6369645458098642E-3</c:v>
                </c:pt>
                <c:pt idx="846">
                  <c:v>3.6098576397476231E-3</c:v>
                </c:pt>
                <c:pt idx="847">
                  <c:v>3.5829508261323332E-3</c:v>
                </c:pt>
                <c:pt idx="848">
                  <c:v>3.5562426465971641E-3</c:v>
                </c:pt>
                <c:pt idx="849">
                  <c:v>3.5297316532215727E-3</c:v>
                </c:pt>
                <c:pt idx="850">
                  <c:v>3.5034164084583128E-3</c:v>
                </c:pt>
                <c:pt idx="851">
                  <c:v>3.4772954850609567E-3</c:v>
                </c:pt>
                <c:pt idx="852">
                  <c:v>3.4513674660118826E-3</c:v>
                </c:pt>
                <c:pt idx="853">
                  <c:v>3.4256309444507635E-3</c:v>
                </c:pt>
                <c:pt idx="854">
                  <c:v>3.4000845236035137E-3</c:v>
                </c:pt>
                <c:pt idx="855">
                  <c:v>3.3747268167117483E-3</c:v>
                </c:pt>
                <c:pt idx="856">
                  <c:v>3.3495564469626857E-3</c:v>
                </c:pt>
                <c:pt idx="857">
                  <c:v>3.3245720474195449E-3</c:v>
                </c:pt>
                <c:pt idx="858">
                  <c:v>3.2997722609523954E-3</c:v>
                </c:pt>
                <c:pt idx="859">
                  <c:v>3.2751557401694852E-3</c:v>
                </c:pt>
                <c:pt idx="860">
                  <c:v>3.2507211473490273E-3</c:v>
                </c:pt>
                <c:pt idx="861">
                  <c:v>3.226467154371449E-3</c:v>
                </c:pt>
                <c:pt idx="862">
                  <c:v>3.2023924426520995E-3</c:v>
                </c:pt>
                <c:pt idx="863">
                  <c:v>3.1784957030744042E-3</c:v>
                </c:pt>
                <c:pt idx="864">
                  <c:v>3.1547756359234778E-3</c:v>
                </c:pt>
                <c:pt idx="865">
                  <c:v>3.1312309508201965E-3</c:v>
                </c:pt>
                <c:pt idx="866">
                  <c:v>3.1078603666556898E-3</c:v>
                </c:pt>
                <c:pt idx="867">
                  <c:v>3.0846626115262994E-3</c:v>
                </c:pt>
                <c:pt idx="868">
                  <c:v>3.0616364226689636E-3</c:v>
                </c:pt>
                <c:pt idx="869">
                  <c:v>3.0387805463970626E-3</c:v>
                </c:pt>
                <c:pt idx="870">
                  <c:v>3.0160937380366609E-3</c:v>
                </c:pt>
                <c:pt idx="871">
                  <c:v>2.9935747618632042E-3</c:v>
                </c:pt>
                <c:pt idx="872">
                  <c:v>2.9712223910386653E-3</c:v>
                </c:pt>
                <c:pt idx="873">
                  <c:v>2.9490354075490709E-3</c:v>
                </c:pt>
                <c:pt idx="874">
                  <c:v>2.9270126021424901E-3</c:v>
                </c:pt>
                <c:pt idx="875">
                  <c:v>2.9051527742674234E-3</c:v>
                </c:pt>
                <c:pt idx="876">
                  <c:v>2.8834547320116225E-3</c:v>
                </c:pt>
                <c:pt idx="877">
                  <c:v>2.861917292041312E-3</c:v>
                </c:pt>
                <c:pt idx="878">
                  <c:v>2.8405392795408492E-3</c:v>
                </c:pt>
                <c:pt idx="879">
                  <c:v>2.819319528152757E-3</c:v>
                </c:pt>
                <c:pt idx="880">
                  <c:v>2.7982568799181894E-3</c:v>
                </c:pt>
                <c:pt idx="881">
                  <c:v>2.7773501852178207E-3</c:v>
                </c:pt>
                <c:pt idx="882">
                  <c:v>2.756598302713078E-3</c:v>
                </c:pt>
                <c:pt idx="883">
                  <c:v>2.7360000992878398E-3</c:v>
                </c:pt>
                <c:pt idx="884">
                  <c:v>2.7155544499904822E-3</c:v>
                </c:pt>
                <c:pt idx="885">
                  <c:v>2.6952602379763475E-3</c:v>
                </c:pt>
                <c:pt idx="886">
                  <c:v>2.675116354450609E-3</c:v>
                </c:pt>
                <c:pt idx="887">
                  <c:v>2.6551216986114914E-3</c:v>
                </c:pt>
                <c:pt idx="888">
                  <c:v>2.6352751775939147E-3</c:v>
                </c:pt>
                <c:pt idx="889">
                  <c:v>2.615575706413503E-3</c:v>
                </c:pt>
                <c:pt idx="890">
                  <c:v>2.5960222079109922E-3</c:v>
                </c:pt>
                <c:pt idx="891">
                  <c:v>2.5766136126969827E-3</c:v>
                </c:pt>
                <c:pt idx="892">
                  <c:v>2.5573488590971316E-3</c:v>
                </c:pt>
                <c:pt idx="893">
                  <c:v>2.5382268930976334E-3</c:v>
                </c:pt>
                <c:pt idx="894">
                  <c:v>2.5192466682911682E-3</c:v>
                </c:pt>
                <c:pt idx="895">
                  <c:v>2.5004071458231323E-3</c:v>
                </c:pt>
                <c:pt idx="896">
                  <c:v>2.4817072943383125E-3</c:v>
                </c:pt>
                <c:pt idx="897">
                  <c:v>2.4631460899278619E-3</c:v>
                </c:pt>
                <c:pt idx="898">
                  <c:v>2.4447225160766726E-3</c:v>
                </c:pt>
                <c:pt idx="899">
                  <c:v>2.4264355636111228E-3</c:v>
                </c:pt>
                <c:pt idx="900">
                  <c:v>2.4082842306471339E-3</c:v>
                </c:pt>
                <c:pt idx="901">
                  <c:v>2.3902675225386289E-3</c:v>
                </c:pt>
                <c:pt idx="902">
                  <c:v>2.3723844518263172E-3</c:v>
                </c:pt>
                <c:pt idx="903">
                  <c:v>2.3546340381868521E-3</c:v>
                </c:pt>
                <c:pt idx="904">
                  <c:v>2.3370153083823141E-3</c:v>
                </c:pt>
                <c:pt idx="905">
                  <c:v>2.3195272962100509E-3</c:v>
                </c:pt>
                <c:pt idx="906">
                  <c:v>2.302169042452873E-3</c:v>
                </c:pt>
                <c:pt idx="907">
                  <c:v>2.2849395948295807E-3</c:v>
                </c:pt>
                <c:pt idx="908">
                  <c:v>2.2678380079458106E-3</c:v>
                </c:pt>
                <c:pt idx="909">
                  <c:v>2.2508633432452756E-3</c:v>
                </c:pt>
                <c:pt idx="910">
                  <c:v>2.2340146689612699E-3</c:v>
                </c:pt>
                <c:pt idx="911">
                  <c:v>2.2172910600685618E-3</c:v>
                </c:pt>
                <c:pt idx="912">
                  <c:v>2.2006915982356033E-3</c:v>
                </c:pt>
                <c:pt idx="913">
                  <c:v>2.1842153717770447E-3</c:v>
                </c:pt>
                <c:pt idx="914">
                  <c:v>2.1678614756066071E-3</c:v>
                </c:pt>
                <c:pt idx="915">
                  <c:v>2.1516290111902644E-3</c:v>
                </c:pt>
                <c:pt idx="916">
                  <c:v>2.1355170864997583E-3</c:v>
                </c:pt>
                <c:pt idx="917">
                  <c:v>2.1195248159664084E-3</c:v>
                </c:pt>
                <c:pt idx="918">
                  <c:v>2.1036513204352714E-3</c:v>
                </c:pt>
                <c:pt idx="919">
                  <c:v>2.0878957271195987E-3</c:v>
                </c:pt>
                <c:pt idx="920">
                  <c:v>2.0722571695556092E-3</c:v>
                </c:pt>
                <c:pt idx="921">
                  <c:v>2.0567347875575875E-3</c:v>
                </c:pt>
                <c:pt idx="922">
                  <c:v>2.0413277271732633E-3</c:v>
                </c:pt>
                <c:pt idx="923">
                  <c:v>2.0260351406395346E-3</c:v>
                </c:pt>
                <c:pt idx="924">
                  <c:v>2.0108561863384708E-3</c:v>
                </c:pt>
                <c:pt idx="925">
                  <c:v>1.9957900287536309E-3</c:v>
                </c:pt>
                <c:pt idx="926">
                  <c:v>1.9808358384266773E-3</c:v>
                </c:pt>
                <c:pt idx="927">
                  <c:v>1.9659927919142839E-3</c:v>
                </c:pt>
                <c:pt idx="928">
                  <c:v>1.9512600717453779E-3</c:v>
                </c:pt>
                <c:pt idx="929">
                  <c:v>1.9366368663786191E-3</c:v>
                </c:pt>
                <c:pt idx="930">
                  <c:v>1.9221223701602205E-3</c:v>
                </c:pt>
                <c:pt idx="931">
                  <c:v>1.9077157832820509E-3</c:v>
                </c:pt>
                <c:pt idx="932">
                  <c:v>1.8934163117400001E-3</c:v>
                </c:pt>
                <c:pt idx="933">
                  <c:v>1.8792231672926732E-3</c:v>
                </c:pt>
                <c:pt idx="934">
                  <c:v>1.8651355674203435E-3</c:v>
                </c:pt>
                <c:pt idx="935">
                  <c:v>1.8511527352841916E-3</c:v>
                </c:pt>
                <c:pt idx="936">
                  <c:v>1.8372738996858499E-3</c:v>
                </c:pt>
                <c:pt idx="937">
                  <c:v>1.8234982950271867E-3</c:v>
                </c:pt>
                <c:pt idx="938">
                  <c:v>1.8098251612704188E-3</c:v>
                </c:pt>
                <c:pt idx="939">
                  <c:v>1.796253743898449E-3</c:v>
                </c:pt>
                <c:pt idx="940">
                  <c:v>1.7827832938755272E-3</c:v>
                </c:pt>
                <c:pt idx="941">
                  <c:v>1.7694130676081496E-3</c:v>
                </c:pt>
                <c:pt idx="942">
                  <c:v>1.7561423269062423E-3</c:v>
                </c:pt>
                <c:pt idx="943">
                  <c:v>1.7429703389446178E-3</c:v>
                </c:pt>
                <c:pt idx="944">
                  <c:v>1.7298963762246923E-3</c:v>
                </c:pt>
                <c:pt idx="945">
                  <c:v>1.7169197165364746E-3</c:v>
                </c:pt>
                <c:pt idx="946">
                  <c:v>1.7040396429208128E-3</c:v>
                </c:pt>
                <c:pt idx="947">
                  <c:v>1.6912554436319099E-3</c:v>
                </c:pt>
                <c:pt idx="948">
                  <c:v>1.6785664121000993E-3</c:v>
                </c:pt>
                <c:pt idx="949">
                  <c:v>1.6659718468948674E-3</c:v>
                </c:pt>
                <c:pt idx="950">
                  <c:v>1.6534710516881578E-3</c:v>
                </c:pt>
                <c:pt idx="951">
                  <c:v>1.6410633352179039E-3</c:v>
                </c:pt>
                <c:pt idx="952">
                  <c:v>1.6287480112518351E-3</c:v>
                </c:pt>
                <c:pt idx="953">
                  <c:v>1.6165243985515245E-3</c:v>
                </c:pt>
                <c:pt idx="954">
                  <c:v>1.6043918208366946E-3</c:v>
                </c:pt>
                <c:pt idx="955">
                  <c:v>1.5923496067497575E-3</c:v>
                </c:pt>
                <c:pt idx="956">
                  <c:v>1.5803970898206241E-3</c:v>
                </c:pt>
                <c:pt idx="957">
                  <c:v>1.5685336084317384E-3</c:v>
                </c:pt>
                <c:pt idx="958">
                  <c:v>1.5567585057833643E-3</c:v>
                </c:pt>
                <c:pt idx="959">
                  <c:v>1.5450711298591263E-3</c:v>
                </c:pt>
                <c:pt idx="960">
                  <c:v>1.5334708333917544E-3</c:v>
                </c:pt>
                <c:pt idx="961">
                  <c:v>1.5219569738291168E-3</c:v>
                </c:pt>
                <c:pt idx="962">
                  <c:v>1.510528913300448E-3</c:v>
                </c:pt>
                <c:pt idx="963">
                  <c:v>1.4991860185828354E-3</c:v>
                </c:pt>
                <c:pt idx="964">
                  <c:v>1.4879276610679391E-3</c:v>
                </c:pt>
                <c:pt idx="965">
                  <c:v>1.4767532167289329E-3</c:v>
                </c:pt>
                <c:pt idx="966">
                  <c:v>1.465662066087677E-3</c:v>
                </c:pt>
                <c:pt idx="967">
                  <c:v>1.4546535941821451E-3</c:v>
                </c:pt>
                <c:pt idx="968">
                  <c:v>1.4437271905340385E-3</c:v>
                </c:pt>
                <c:pt idx="969">
                  <c:v>1.4328822491166586E-3</c:v>
                </c:pt>
                <c:pt idx="970">
                  <c:v>1.4221181683229975E-3</c:v>
                </c:pt>
                <c:pt idx="971">
                  <c:v>1.4114343509340401E-3</c:v>
                </c:pt>
                <c:pt idx="972">
                  <c:v>1.4008302040872972E-3</c:v>
                </c:pt>
                <c:pt idx="973">
                  <c:v>1.390305139245559E-3</c:v>
                </c:pt>
                <c:pt idx="974">
                  <c:v>1.379858572165871E-3</c:v>
                </c:pt>
                <c:pt idx="975">
                  <c:v>1.3694899228687139E-3</c:v>
                </c:pt>
                <c:pt idx="976">
                  <c:v>1.3591986156074123E-3</c:v>
                </c:pt>
                <c:pt idx="977">
                  <c:v>1.3489840788377489E-3</c:v>
                </c:pt>
                <c:pt idx="978">
                  <c:v>1.3388457451878042E-3</c:v>
                </c:pt>
                <c:pt idx="979">
                  <c:v>1.3287830514279923E-3</c:v>
                </c:pt>
                <c:pt idx="980">
                  <c:v>1.3187954384413184E-3</c:v>
                </c:pt>
                <c:pt idx="981">
                  <c:v>1.3088823511938313E-3</c:v>
                </c:pt>
                <c:pt idx="982">
                  <c:v>1.2990432387053109E-3</c:v>
                </c:pt>
                <c:pt idx="983">
                  <c:v>1.289277554020119E-3</c:v>
                </c:pt>
                <c:pt idx="984">
                  <c:v>1.2795847541782986E-3</c:v>
                </c:pt>
                <c:pt idx="985">
                  <c:v>1.2699643001868484E-3</c:v>
                </c:pt>
                <c:pt idx="986">
                  <c:v>1.2604156569912032E-3</c:v>
                </c:pt>
                <c:pt idx="987">
                  <c:v>1.2509382934469267E-3</c:v>
                </c:pt>
                <c:pt idx="988">
                  <c:v>1.2415316822915828E-3</c:v>
                </c:pt>
                <c:pt idx="989">
                  <c:v>1.2321953001168326E-3</c:v>
                </c:pt>
                <c:pt idx="990">
                  <c:v>1.2229286273406983E-3</c:v>
                </c:pt>
                <c:pt idx="991">
                  <c:v>1.2137311481800355E-3</c:v>
                </c:pt>
                <c:pt idx="992">
                  <c:v>1.2046023506232101E-3</c:v>
                </c:pt>
                <c:pt idx="993">
                  <c:v>1.1955417264029474E-3</c:v>
                </c:pt>
                <c:pt idx="994">
                  <c:v>1.1865487709693794E-3</c:v>
                </c:pt>
                <c:pt idx="995">
                  <c:v>1.1776229834632899E-3</c:v>
                </c:pt>
                <c:pt idx="996">
                  <c:v>1.1687638666895372E-3</c:v>
                </c:pt>
                <c:pt idx="997">
                  <c:v>1.1599709270906705E-3</c:v>
                </c:pt>
                <c:pt idx="998">
                  <c:v>1.1512436747207282E-3</c:v>
                </c:pt>
                <c:pt idx="999">
                  <c:v>1.1425816232192259E-3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13-4B65-ADAC-FA614CE88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82528"/>
        <c:axId val="17178406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numRef>
              <c:f>Hjælp!$F$2:$F$4</c:f>
              <c:numCache>
                <c:formatCode>General</c:formatCode>
                <c:ptCount val="3"/>
                <c:pt idx="0">
                  <c:v>1.9999999999999998</c:v>
                </c:pt>
                <c:pt idx="1">
                  <c:v>1.9999999999999998</c:v>
                </c:pt>
                <c:pt idx="2">
                  <c:v>0</c:v>
                </c:pt>
              </c:numCache>
            </c:numRef>
          </c:xVal>
          <c:yVal>
            <c:numRef>
              <c:f>Hjælp!$G$2:$G$4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0.57240670447087982</c:v>
                </c:pt>
                <c:pt idx="2">
                  <c:v>0.57240670447087982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3-4B65-ADAC-FA614CE88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82528"/>
        <c:axId val="171784064"/>
      </c:scatterChart>
      <c:valAx>
        <c:axId val="17178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784064"/>
        <c:crosses val="autoZero"/>
        <c:crossBetween val="midCat"/>
        <c:majorUnit val="1"/>
      </c:valAx>
      <c:valAx>
        <c:axId val="17178406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71782528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B-4810-BF5E-146C033BC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68864"/>
        <c:axId val="17246732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0.32000000000000017</c:v>
                </c:pt>
                <c:pt idx="21">
                  <c:v>0.33600000000000019</c:v>
                </c:pt>
                <c:pt idx="22">
                  <c:v>0.3520000000000002</c:v>
                </c:pt>
                <c:pt idx="23">
                  <c:v>0.36800000000000022</c:v>
                </c:pt>
                <c:pt idx="24">
                  <c:v>0.38400000000000023</c:v>
                </c:pt>
                <c:pt idx="25">
                  <c:v>0.40000000000000024</c:v>
                </c:pt>
                <c:pt idx="26">
                  <c:v>0.41600000000000026</c:v>
                </c:pt>
                <c:pt idx="27">
                  <c:v>0.43200000000000027</c:v>
                </c:pt>
                <c:pt idx="28">
                  <c:v>0.44800000000000029</c:v>
                </c:pt>
                <c:pt idx="29">
                  <c:v>0.4640000000000003</c:v>
                </c:pt>
                <c:pt idx="30">
                  <c:v>0.48000000000000032</c:v>
                </c:pt>
                <c:pt idx="31">
                  <c:v>0.49600000000000033</c:v>
                </c:pt>
                <c:pt idx="32">
                  <c:v>0.51200000000000034</c:v>
                </c:pt>
                <c:pt idx="33">
                  <c:v>0.52800000000000036</c:v>
                </c:pt>
                <c:pt idx="34">
                  <c:v>0.54400000000000037</c:v>
                </c:pt>
                <c:pt idx="35">
                  <c:v>0.56000000000000039</c:v>
                </c:pt>
                <c:pt idx="36">
                  <c:v>0.5760000000000004</c:v>
                </c:pt>
                <c:pt idx="37">
                  <c:v>0.59200000000000041</c:v>
                </c:pt>
                <c:pt idx="38">
                  <c:v>0.60800000000000043</c:v>
                </c:pt>
                <c:pt idx="39">
                  <c:v>0.62400000000000044</c:v>
                </c:pt>
                <c:pt idx="40">
                  <c:v>0.64000000000000046</c:v>
                </c:pt>
                <c:pt idx="41">
                  <c:v>0.65600000000000047</c:v>
                </c:pt>
                <c:pt idx="42">
                  <c:v>0.67200000000000049</c:v>
                </c:pt>
                <c:pt idx="43">
                  <c:v>0.6880000000000005</c:v>
                </c:pt>
                <c:pt idx="44">
                  <c:v>0.70400000000000051</c:v>
                </c:pt>
                <c:pt idx="45">
                  <c:v>0.72000000000000053</c:v>
                </c:pt>
                <c:pt idx="46">
                  <c:v>0.73600000000000054</c:v>
                </c:pt>
                <c:pt idx="47">
                  <c:v>0.75200000000000056</c:v>
                </c:pt>
                <c:pt idx="48">
                  <c:v>0.76800000000000057</c:v>
                </c:pt>
                <c:pt idx="49">
                  <c:v>0.78400000000000059</c:v>
                </c:pt>
                <c:pt idx="50">
                  <c:v>0.8000000000000006</c:v>
                </c:pt>
                <c:pt idx="51">
                  <c:v>0.81600000000000061</c:v>
                </c:pt>
                <c:pt idx="52">
                  <c:v>0.83200000000000063</c:v>
                </c:pt>
                <c:pt idx="53">
                  <c:v>0.84800000000000064</c:v>
                </c:pt>
                <c:pt idx="54">
                  <c:v>0.86400000000000066</c:v>
                </c:pt>
                <c:pt idx="55">
                  <c:v>0.88000000000000067</c:v>
                </c:pt>
                <c:pt idx="56">
                  <c:v>0.89600000000000068</c:v>
                </c:pt>
                <c:pt idx="57">
                  <c:v>0.9120000000000007</c:v>
                </c:pt>
                <c:pt idx="58">
                  <c:v>0.92800000000000071</c:v>
                </c:pt>
                <c:pt idx="59">
                  <c:v>0.94400000000000073</c:v>
                </c:pt>
                <c:pt idx="60">
                  <c:v>0.96000000000000074</c:v>
                </c:pt>
                <c:pt idx="61">
                  <c:v>0.97600000000000076</c:v>
                </c:pt>
                <c:pt idx="62">
                  <c:v>0.99200000000000077</c:v>
                </c:pt>
                <c:pt idx="63">
                  <c:v>1.0080000000000007</c:v>
                </c:pt>
                <c:pt idx="64">
                  <c:v>1.0240000000000007</c:v>
                </c:pt>
                <c:pt idx="65">
                  <c:v>1.0400000000000007</c:v>
                </c:pt>
                <c:pt idx="66">
                  <c:v>1.0560000000000007</c:v>
                </c:pt>
                <c:pt idx="67">
                  <c:v>1.0720000000000007</c:v>
                </c:pt>
                <c:pt idx="68">
                  <c:v>1.0880000000000007</c:v>
                </c:pt>
                <c:pt idx="69">
                  <c:v>1.1040000000000008</c:v>
                </c:pt>
                <c:pt idx="70">
                  <c:v>1.1200000000000008</c:v>
                </c:pt>
                <c:pt idx="71">
                  <c:v>1.1360000000000008</c:v>
                </c:pt>
                <c:pt idx="72">
                  <c:v>1.1520000000000008</c:v>
                </c:pt>
                <c:pt idx="73">
                  <c:v>1.1680000000000008</c:v>
                </c:pt>
                <c:pt idx="74">
                  <c:v>1.1840000000000008</c:v>
                </c:pt>
                <c:pt idx="75">
                  <c:v>1.2000000000000008</c:v>
                </c:pt>
                <c:pt idx="76">
                  <c:v>1.2160000000000009</c:v>
                </c:pt>
                <c:pt idx="77">
                  <c:v>1.2320000000000009</c:v>
                </c:pt>
                <c:pt idx="78">
                  <c:v>1.2480000000000009</c:v>
                </c:pt>
                <c:pt idx="79">
                  <c:v>1.2640000000000009</c:v>
                </c:pt>
                <c:pt idx="80">
                  <c:v>1.2800000000000009</c:v>
                </c:pt>
                <c:pt idx="81">
                  <c:v>1.2960000000000009</c:v>
                </c:pt>
                <c:pt idx="82">
                  <c:v>1.3120000000000009</c:v>
                </c:pt>
                <c:pt idx="83">
                  <c:v>1.328000000000001</c:v>
                </c:pt>
                <c:pt idx="84">
                  <c:v>1.344000000000001</c:v>
                </c:pt>
                <c:pt idx="85">
                  <c:v>1.360000000000001</c:v>
                </c:pt>
                <c:pt idx="86">
                  <c:v>1.376000000000001</c:v>
                </c:pt>
                <c:pt idx="87">
                  <c:v>1.392000000000001</c:v>
                </c:pt>
                <c:pt idx="88">
                  <c:v>1.408000000000001</c:v>
                </c:pt>
                <c:pt idx="89">
                  <c:v>1.424000000000001</c:v>
                </c:pt>
                <c:pt idx="90">
                  <c:v>1.4400000000000011</c:v>
                </c:pt>
                <c:pt idx="91">
                  <c:v>1.4560000000000011</c:v>
                </c:pt>
                <c:pt idx="92">
                  <c:v>1.4720000000000011</c:v>
                </c:pt>
                <c:pt idx="93">
                  <c:v>1.4880000000000011</c:v>
                </c:pt>
                <c:pt idx="94">
                  <c:v>1.5040000000000011</c:v>
                </c:pt>
                <c:pt idx="95">
                  <c:v>1.5200000000000011</c:v>
                </c:pt>
                <c:pt idx="96">
                  <c:v>1.5360000000000011</c:v>
                </c:pt>
                <c:pt idx="97">
                  <c:v>1.5520000000000012</c:v>
                </c:pt>
                <c:pt idx="98">
                  <c:v>1.5680000000000012</c:v>
                </c:pt>
                <c:pt idx="99">
                  <c:v>1.5840000000000012</c:v>
                </c:pt>
                <c:pt idx="100">
                  <c:v>1.6000000000000012</c:v>
                </c:pt>
                <c:pt idx="101">
                  <c:v>1.6160000000000012</c:v>
                </c:pt>
                <c:pt idx="102">
                  <c:v>1.6320000000000012</c:v>
                </c:pt>
                <c:pt idx="103">
                  <c:v>1.6480000000000012</c:v>
                </c:pt>
                <c:pt idx="104">
                  <c:v>1.6640000000000013</c:v>
                </c:pt>
                <c:pt idx="105">
                  <c:v>1.6800000000000013</c:v>
                </c:pt>
                <c:pt idx="106">
                  <c:v>1.6960000000000013</c:v>
                </c:pt>
                <c:pt idx="107">
                  <c:v>1.7120000000000013</c:v>
                </c:pt>
                <c:pt idx="108">
                  <c:v>1.7280000000000013</c:v>
                </c:pt>
                <c:pt idx="109">
                  <c:v>1.7440000000000013</c:v>
                </c:pt>
                <c:pt idx="110">
                  <c:v>1.7600000000000013</c:v>
                </c:pt>
                <c:pt idx="111">
                  <c:v>1.7760000000000014</c:v>
                </c:pt>
                <c:pt idx="112">
                  <c:v>1.7920000000000014</c:v>
                </c:pt>
                <c:pt idx="113">
                  <c:v>1.8080000000000014</c:v>
                </c:pt>
                <c:pt idx="114">
                  <c:v>1.8240000000000014</c:v>
                </c:pt>
                <c:pt idx="115">
                  <c:v>1.8400000000000014</c:v>
                </c:pt>
                <c:pt idx="116">
                  <c:v>1.8560000000000014</c:v>
                </c:pt>
                <c:pt idx="117">
                  <c:v>1.8720000000000014</c:v>
                </c:pt>
                <c:pt idx="118">
                  <c:v>1.8880000000000015</c:v>
                </c:pt>
                <c:pt idx="119">
                  <c:v>1.9040000000000015</c:v>
                </c:pt>
                <c:pt idx="120">
                  <c:v>1.9200000000000015</c:v>
                </c:pt>
                <c:pt idx="121">
                  <c:v>1.9360000000000015</c:v>
                </c:pt>
                <c:pt idx="122">
                  <c:v>1.9520000000000015</c:v>
                </c:pt>
                <c:pt idx="123">
                  <c:v>1.9680000000000015</c:v>
                </c:pt>
                <c:pt idx="124">
                  <c:v>1.9840000000000015</c:v>
                </c:pt>
                <c:pt idx="125">
                  <c:v>2.0000000000000013</c:v>
                </c:pt>
                <c:pt idx="126">
                  <c:v>2.0160000000000013</c:v>
                </c:pt>
                <c:pt idx="127">
                  <c:v>2.0320000000000014</c:v>
                </c:pt>
                <c:pt idx="128">
                  <c:v>2.0480000000000014</c:v>
                </c:pt>
                <c:pt idx="129">
                  <c:v>2.0640000000000014</c:v>
                </c:pt>
                <c:pt idx="130">
                  <c:v>2.0800000000000014</c:v>
                </c:pt>
                <c:pt idx="131">
                  <c:v>2.0960000000000014</c:v>
                </c:pt>
                <c:pt idx="132">
                  <c:v>2.1120000000000014</c:v>
                </c:pt>
                <c:pt idx="133">
                  <c:v>2.1280000000000014</c:v>
                </c:pt>
                <c:pt idx="134">
                  <c:v>2.1440000000000015</c:v>
                </c:pt>
                <c:pt idx="135">
                  <c:v>2.1600000000000015</c:v>
                </c:pt>
                <c:pt idx="136">
                  <c:v>2.1760000000000015</c:v>
                </c:pt>
                <c:pt idx="137">
                  <c:v>2.1920000000000015</c:v>
                </c:pt>
                <c:pt idx="138">
                  <c:v>2.2080000000000015</c:v>
                </c:pt>
                <c:pt idx="139">
                  <c:v>2.2240000000000015</c:v>
                </c:pt>
                <c:pt idx="140">
                  <c:v>2.2400000000000015</c:v>
                </c:pt>
                <c:pt idx="141">
                  <c:v>2.2560000000000016</c:v>
                </c:pt>
                <c:pt idx="142">
                  <c:v>2.2720000000000016</c:v>
                </c:pt>
                <c:pt idx="143">
                  <c:v>2.2880000000000016</c:v>
                </c:pt>
                <c:pt idx="144">
                  <c:v>2.3040000000000016</c:v>
                </c:pt>
                <c:pt idx="145">
                  <c:v>2.3200000000000016</c:v>
                </c:pt>
                <c:pt idx="146">
                  <c:v>2.3360000000000016</c:v>
                </c:pt>
                <c:pt idx="147">
                  <c:v>2.3520000000000016</c:v>
                </c:pt>
                <c:pt idx="148">
                  <c:v>2.3680000000000017</c:v>
                </c:pt>
                <c:pt idx="149">
                  <c:v>2.3840000000000017</c:v>
                </c:pt>
                <c:pt idx="150">
                  <c:v>2.4000000000000017</c:v>
                </c:pt>
                <c:pt idx="151">
                  <c:v>2.4160000000000017</c:v>
                </c:pt>
                <c:pt idx="152">
                  <c:v>2.4320000000000017</c:v>
                </c:pt>
                <c:pt idx="153">
                  <c:v>2.4480000000000017</c:v>
                </c:pt>
                <c:pt idx="154">
                  <c:v>2.4640000000000017</c:v>
                </c:pt>
                <c:pt idx="155">
                  <c:v>2.4800000000000018</c:v>
                </c:pt>
                <c:pt idx="156">
                  <c:v>2.4960000000000018</c:v>
                </c:pt>
                <c:pt idx="157">
                  <c:v>2.5120000000000018</c:v>
                </c:pt>
                <c:pt idx="158">
                  <c:v>2.5280000000000018</c:v>
                </c:pt>
                <c:pt idx="159">
                  <c:v>2.5440000000000018</c:v>
                </c:pt>
                <c:pt idx="160">
                  <c:v>2.5600000000000018</c:v>
                </c:pt>
                <c:pt idx="161">
                  <c:v>2.5760000000000018</c:v>
                </c:pt>
                <c:pt idx="162">
                  <c:v>2.5920000000000019</c:v>
                </c:pt>
                <c:pt idx="163">
                  <c:v>2.6080000000000019</c:v>
                </c:pt>
                <c:pt idx="164">
                  <c:v>2.6240000000000019</c:v>
                </c:pt>
                <c:pt idx="165">
                  <c:v>2.6400000000000019</c:v>
                </c:pt>
                <c:pt idx="166">
                  <c:v>2.6560000000000019</c:v>
                </c:pt>
                <c:pt idx="167">
                  <c:v>2.6720000000000019</c:v>
                </c:pt>
                <c:pt idx="168">
                  <c:v>2.6880000000000019</c:v>
                </c:pt>
                <c:pt idx="169">
                  <c:v>2.704000000000002</c:v>
                </c:pt>
                <c:pt idx="170">
                  <c:v>2.720000000000002</c:v>
                </c:pt>
                <c:pt idx="171">
                  <c:v>2.736000000000002</c:v>
                </c:pt>
                <c:pt idx="172">
                  <c:v>2.752000000000002</c:v>
                </c:pt>
                <c:pt idx="173">
                  <c:v>2.768000000000002</c:v>
                </c:pt>
                <c:pt idx="174">
                  <c:v>2.784000000000002</c:v>
                </c:pt>
                <c:pt idx="175">
                  <c:v>2.800000000000002</c:v>
                </c:pt>
                <c:pt idx="176">
                  <c:v>2.8160000000000021</c:v>
                </c:pt>
                <c:pt idx="177">
                  <c:v>2.8320000000000021</c:v>
                </c:pt>
                <c:pt idx="178">
                  <c:v>2.8480000000000021</c:v>
                </c:pt>
                <c:pt idx="179">
                  <c:v>2.8640000000000021</c:v>
                </c:pt>
                <c:pt idx="180">
                  <c:v>2.8800000000000021</c:v>
                </c:pt>
                <c:pt idx="181">
                  <c:v>2.8960000000000021</c:v>
                </c:pt>
                <c:pt idx="182">
                  <c:v>2.9120000000000021</c:v>
                </c:pt>
                <c:pt idx="183">
                  <c:v>2.9280000000000022</c:v>
                </c:pt>
                <c:pt idx="184">
                  <c:v>2.9440000000000022</c:v>
                </c:pt>
                <c:pt idx="185">
                  <c:v>2.9600000000000022</c:v>
                </c:pt>
                <c:pt idx="186">
                  <c:v>2.9760000000000022</c:v>
                </c:pt>
                <c:pt idx="187">
                  <c:v>2.9920000000000022</c:v>
                </c:pt>
                <c:pt idx="188">
                  <c:v>3.0080000000000022</c:v>
                </c:pt>
                <c:pt idx="189">
                  <c:v>3.0240000000000022</c:v>
                </c:pt>
                <c:pt idx="190">
                  <c:v>3.0400000000000023</c:v>
                </c:pt>
                <c:pt idx="191">
                  <c:v>3.0560000000000023</c:v>
                </c:pt>
                <c:pt idx="192">
                  <c:v>3.0720000000000023</c:v>
                </c:pt>
                <c:pt idx="193">
                  <c:v>3.0880000000000023</c:v>
                </c:pt>
                <c:pt idx="194">
                  <c:v>3.1040000000000023</c:v>
                </c:pt>
                <c:pt idx="195">
                  <c:v>3.1200000000000023</c:v>
                </c:pt>
                <c:pt idx="196">
                  <c:v>3.1360000000000023</c:v>
                </c:pt>
                <c:pt idx="197">
                  <c:v>3.1520000000000024</c:v>
                </c:pt>
                <c:pt idx="198">
                  <c:v>3.1680000000000024</c:v>
                </c:pt>
                <c:pt idx="199">
                  <c:v>3.1840000000000024</c:v>
                </c:pt>
                <c:pt idx="200">
                  <c:v>3.2000000000000024</c:v>
                </c:pt>
                <c:pt idx="201">
                  <c:v>3.2160000000000024</c:v>
                </c:pt>
                <c:pt idx="202">
                  <c:v>3.2320000000000024</c:v>
                </c:pt>
                <c:pt idx="203">
                  <c:v>3.2480000000000024</c:v>
                </c:pt>
                <c:pt idx="204">
                  <c:v>3.2640000000000025</c:v>
                </c:pt>
                <c:pt idx="205">
                  <c:v>3.2800000000000025</c:v>
                </c:pt>
                <c:pt idx="206">
                  <c:v>3.2960000000000025</c:v>
                </c:pt>
                <c:pt idx="207">
                  <c:v>3.3120000000000025</c:v>
                </c:pt>
                <c:pt idx="208">
                  <c:v>3.3280000000000025</c:v>
                </c:pt>
                <c:pt idx="209">
                  <c:v>3.3440000000000025</c:v>
                </c:pt>
                <c:pt idx="210">
                  <c:v>3.3600000000000025</c:v>
                </c:pt>
                <c:pt idx="211">
                  <c:v>3.3760000000000026</c:v>
                </c:pt>
                <c:pt idx="212">
                  <c:v>3.3920000000000026</c:v>
                </c:pt>
                <c:pt idx="213">
                  <c:v>3.4080000000000026</c:v>
                </c:pt>
                <c:pt idx="214">
                  <c:v>3.4240000000000026</c:v>
                </c:pt>
                <c:pt idx="215">
                  <c:v>3.4400000000000026</c:v>
                </c:pt>
                <c:pt idx="216">
                  <c:v>3.4560000000000026</c:v>
                </c:pt>
                <c:pt idx="217">
                  <c:v>3.4720000000000026</c:v>
                </c:pt>
                <c:pt idx="218">
                  <c:v>3.4880000000000027</c:v>
                </c:pt>
                <c:pt idx="219">
                  <c:v>3.5040000000000027</c:v>
                </c:pt>
                <c:pt idx="220">
                  <c:v>3.5200000000000027</c:v>
                </c:pt>
                <c:pt idx="221">
                  <c:v>3.5360000000000027</c:v>
                </c:pt>
                <c:pt idx="222">
                  <c:v>3.5520000000000027</c:v>
                </c:pt>
                <c:pt idx="223">
                  <c:v>3.5680000000000027</c:v>
                </c:pt>
                <c:pt idx="224">
                  <c:v>3.5840000000000027</c:v>
                </c:pt>
                <c:pt idx="225">
                  <c:v>3.6000000000000028</c:v>
                </c:pt>
                <c:pt idx="226">
                  <c:v>3.6160000000000028</c:v>
                </c:pt>
                <c:pt idx="227">
                  <c:v>3.6320000000000028</c:v>
                </c:pt>
                <c:pt idx="228">
                  <c:v>3.6480000000000028</c:v>
                </c:pt>
                <c:pt idx="229">
                  <c:v>3.6640000000000028</c:v>
                </c:pt>
                <c:pt idx="230">
                  <c:v>3.6800000000000028</c:v>
                </c:pt>
                <c:pt idx="231">
                  <c:v>3.6960000000000028</c:v>
                </c:pt>
                <c:pt idx="232">
                  <c:v>3.7120000000000029</c:v>
                </c:pt>
                <c:pt idx="233">
                  <c:v>3.7280000000000029</c:v>
                </c:pt>
                <c:pt idx="234">
                  <c:v>3.7440000000000029</c:v>
                </c:pt>
                <c:pt idx="235">
                  <c:v>3.7600000000000029</c:v>
                </c:pt>
                <c:pt idx="236">
                  <c:v>3.7760000000000029</c:v>
                </c:pt>
                <c:pt idx="237">
                  <c:v>3.7920000000000029</c:v>
                </c:pt>
                <c:pt idx="238">
                  <c:v>3.8080000000000029</c:v>
                </c:pt>
                <c:pt idx="239">
                  <c:v>3.824000000000003</c:v>
                </c:pt>
                <c:pt idx="240">
                  <c:v>3.840000000000003</c:v>
                </c:pt>
                <c:pt idx="241">
                  <c:v>3.856000000000003</c:v>
                </c:pt>
                <c:pt idx="242">
                  <c:v>3.872000000000003</c:v>
                </c:pt>
                <c:pt idx="243">
                  <c:v>3.888000000000003</c:v>
                </c:pt>
                <c:pt idx="244">
                  <c:v>3.904000000000003</c:v>
                </c:pt>
                <c:pt idx="245">
                  <c:v>3.920000000000003</c:v>
                </c:pt>
                <c:pt idx="246">
                  <c:v>3.9360000000000031</c:v>
                </c:pt>
                <c:pt idx="247">
                  <c:v>3.9520000000000031</c:v>
                </c:pt>
                <c:pt idx="248">
                  <c:v>3.9680000000000031</c:v>
                </c:pt>
                <c:pt idx="249">
                  <c:v>3.9840000000000031</c:v>
                </c:pt>
                <c:pt idx="250">
                  <c:v>4.0000000000000027</c:v>
                </c:pt>
                <c:pt idx="251">
                  <c:v>4.0160000000000027</c:v>
                </c:pt>
                <c:pt idx="252">
                  <c:v>4.0320000000000027</c:v>
                </c:pt>
                <c:pt idx="253">
                  <c:v>4.0480000000000027</c:v>
                </c:pt>
                <c:pt idx="254">
                  <c:v>4.0640000000000027</c:v>
                </c:pt>
                <c:pt idx="255">
                  <c:v>4.0800000000000027</c:v>
                </c:pt>
                <c:pt idx="256">
                  <c:v>4.0960000000000027</c:v>
                </c:pt>
                <c:pt idx="257">
                  <c:v>4.1120000000000028</c:v>
                </c:pt>
                <c:pt idx="258">
                  <c:v>4.1280000000000028</c:v>
                </c:pt>
                <c:pt idx="259">
                  <c:v>4.1440000000000028</c:v>
                </c:pt>
                <c:pt idx="260">
                  <c:v>4.1600000000000028</c:v>
                </c:pt>
                <c:pt idx="261">
                  <c:v>4.1760000000000028</c:v>
                </c:pt>
                <c:pt idx="262">
                  <c:v>4.1920000000000028</c:v>
                </c:pt>
                <c:pt idx="263">
                  <c:v>4.2080000000000028</c:v>
                </c:pt>
                <c:pt idx="264">
                  <c:v>4.2240000000000029</c:v>
                </c:pt>
                <c:pt idx="265">
                  <c:v>4.2400000000000029</c:v>
                </c:pt>
                <c:pt idx="266">
                  <c:v>4.2560000000000029</c:v>
                </c:pt>
                <c:pt idx="267">
                  <c:v>4.2720000000000029</c:v>
                </c:pt>
                <c:pt idx="268">
                  <c:v>4.2880000000000029</c:v>
                </c:pt>
                <c:pt idx="269">
                  <c:v>4.3040000000000029</c:v>
                </c:pt>
                <c:pt idx="270">
                  <c:v>4.3200000000000029</c:v>
                </c:pt>
                <c:pt idx="271">
                  <c:v>4.336000000000003</c:v>
                </c:pt>
                <c:pt idx="272">
                  <c:v>4.352000000000003</c:v>
                </c:pt>
                <c:pt idx="273">
                  <c:v>4.368000000000003</c:v>
                </c:pt>
                <c:pt idx="274">
                  <c:v>4.384000000000003</c:v>
                </c:pt>
                <c:pt idx="275">
                  <c:v>4.400000000000003</c:v>
                </c:pt>
                <c:pt idx="276">
                  <c:v>4.416000000000003</c:v>
                </c:pt>
                <c:pt idx="277">
                  <c:v>4.432000000000003</c:v>
                </c:pt>
                <c:pt idx="278">
                  <c:v>4.4480000000000031</c:v>
                </c:pt>
                <c:pt idx="279">
                  <c:v>4.4640000000000031</c:v>
                </c:pt>
                <c:pt idx="280">
                  <c:v>4.4800000000000031</c:v>
                </c:pt>
                <c:pt idx="281">
                  <c:v>4.4960000000000031</c:v>
                </c:pt>
                <c:pt idx="282">
                  <c:v>4.5120000000000031</c:v>
                </c:pt>
                <c:pt idx="283">
                  <c:v>4.5280000000000031</c:v>
                </c:pt>
                <c:pt idx="284">
                  <c:v>4.5440000000000031</c:v>
                </c:pt>
                <c:pt idx="285">
                  <c:v>4.5600000000000032</c:v>
                </c:pt>
                <c:pt idx="286">
                  <c:v>4.5760000000000032</c:v>
                </c:pt>
                <c:pt idx="287">
                  <c:v>4.5920000000000032</c:v>
                </c:pt>
                <c:pt idx="288">
                  <c:v>4.6080000000000032</c:v>
                </c:pt>
                <c:pt idx="289">
                  <c:v>4.6240000000000032</c:v>
                </c:pt>
                <c:pt idx="290">
                  <c:v>4.6400000000000032</c:v>
                </c:pt>
                <c:pt idx="291">
                  <c:v>4.6560000000000032</c:v>
                </c:pt>
                <c:pt idx="292">
                  <c:v>4.6720000000000033</c:v>
                </c:pt>
                <c:pt idx="293">
                  <c:v>4.6880000000000033</c:v>
                </c:pt>
                <c:pt idx="294">
                  <c:v>4.7040000000000033</c:v>
                </c:pt>
                <c:pt idx="295">
                  <c:v>4.7200000000000033</c:v>
                </c:pt>
                <c:pt idx="296">
                  <c:v>4.7360000000000033</c:v>
                </c:pt>
                <c:pt idx="297">
                  <c:v>4.7520000000000033</c:v>
                </c:pt>
                <c:pt idx="298">
                  <c:v>4.7680000000000033</c:v>
                </c:pt>
                <c:pt idx="299">
                  <c:v>4.7840000000000034</c:v>
                </c:pt>
                <c:pt idx="300">
                  <c:v>4.8000000000000034</c:v>
                </c:pt>
                <c:pt idx="301">
                  <c:v>4.8160000000000034</c:v>
                </c:pt>
                <c:pt idx="302">
                  <c:v>4.8320000000000034</c:v>
                </c:pt>
                <c:pt idx="303">
                  <c:v>4.8480000000000034</c:v>
                </c:pt>
                <c:pt idx="304">
                  <c:v>4.8640000000000034</c:v>
                </c:pt>
                <c:pt idx="305">
                  <c:v>4.8800000000000034</c:v>
                </c:pt>
                <c:pt idx="306">
                  <c:v>4.8960000000000035</c:v>
                </c:pt>
                <c:pt idx="307">
                  <c:v>4.9120000000000035</c:v>
                </c:pt>
                <c:pt idx="308">
                  <c:v>4.9280000000000035</c:v>
                </c:pt>
                <c:pt idx="309">
                  <c:v>4.9440000000000035</c:v>
                </c:pt>
                <c:pt idx="310">
                  <c:v>4.9600000000000035</c:v>
                </c:pt>
                <c:pt idx="311">
                  <c:v>4.9760000000000035</c:v>
                </c:pt>
                <c:pt idx="312">
                  <c:v>4.9920000000000035</c:v>
                </c:pt>
                <c:pt idx="313">
                  <c:v>5.0080000000000036</c:v>
                </c:pt>
                <c:pt idx="314">
                  <c:v>5.0240000000000036</c:v>
                </c:pt>
                <c:pt idx="315">
                  <c:v>5.0400000000000036</c:v>
                </c:pt>
                <c:pt idx="316">
                  <c:v>5.0560000000000036</c:v>
                </c:pt>
                <c:pt idx="317">
                  <c:v>5.0720000000000036</c:v>
                </c:pt>
                <c:pt idx="318">
                  <c:v>5.0880000000000036</c:v>
                </c:pt>
                <c:pt idx="319">
                  <c:v>5.1040000000000036</c:v>
                </c:pt>
                <c:pt idx="320">
                  <c:v>5.1200000000000037</c:v>
                </c:pt>
                <c:pt idx="321">
                  <c:v>5.1360000000000037</c:v>
                </c:pt>
                <c:pt idx="322">
                  <c:v>5.1520000000000037</c:v>
                </c:pt>
                <c:pt idx="323">
                  <c:v>5.1680000000000037</c:v>
                </c:pt>
                <c:pt idx="324">
                  <c:v>5.1840000000000037</c:v>
                </c:pt>
                <c:pt idx="325">
                  <c:v>5.2000000000000037</c:v>
                </c:pt>
                <c:pt idx="326">
                  <c:v>5.2160000000000037</c:v>
                </c:pt>
                <c:pt idx="327">
                  <c:v>5.2320000000000038</c:v>
                </c:pt>
                <c:pt idx="328">
                  <c:v>5.2480000000000038</c:v>
                </c:pt>
                <c:pt idx="329">
                  <c:v>5.2640000000000038</c:v>
                </c:pt>
                <c:pt idx="330">
                  <c:v>5.2800000000000038</c:v>
                </c:pt>
                <c:pt idx="331">
                  <c:v>5.2960000000000038</c:v>
                </c:pt>
                <c:pt idx="332">
                  <c:v>5.3120000000000038</c:v>
                </c:pt>
                <c:pt idx="333">
                  <c:v>5.3280000000000038</c:v>
                </c:pt>
                <c:pt idx="334">
                  <c:v>5.3440000000000039</c:v>
                </c:pt>
                <c:pt idx="335">
                  <c:v>5.3600000000000039</c:v>
                </c:pt>
                <c:pt idx="336">
                  <c:v>5.3760000000000039</c:v>
                </c:pt>
                <c:pt idx="337">
                  <c:v>5.3920000000000039</c:v>
                </c:pt>
                <c:pt idx="338">
                  <c:v>5.4080000000000039</c:v>
                </c:pt>
                <c:pt idx="339">
                  <c:v>5.4240000000000039</c:v>
                </c:pt>
                <c:pt idx="340">
                  <c:v>5.4400000000000039</c:v>
                </c:pt>
                <c:pt idx="341">
                  <c:v>5.456000000000004</c:v>
                </c:pt>
                <c:pt idx="342">
                  <c:v>5.472000000000004</c:v>
                </c:pt>
                <c:pt idx="343">
                  <c:v>5.488000000000004</c:v>
                </c:pt>
                <c:pt idx="344">
                  <c:v>5.504000000000004</c:v>
                </c:pt>
                <c:pt idx="345">
                  <c:v>5.520000000000004</c:v>
                </c:pt>
                <c:pt idx="346">
                  <c:v>5.536000000000004</c:v>
                </c:pt>
                <c:pt idx="347">
                  <c:v>5.552000000000004</c:v>
                </c:pt>
                <c:pt idx="348">
                  <c:v>5.5680000000000041</c:v>
                </c:pt>
                <c:pt idx="349">
                  <c:v>5.5840000000000041</c:v>
                </c:pt>
                <c:pt idx="350">
                  <c:v>5.6000000000000041</c:v>
                </c:pt>
                <c:pt idx="351">
                  <c:v>5.6160000000000041</c:v>
                </c:pt>
                <c:pt idx="352">
                  <c:v>5.6320000000000041</c:v>
                </c:pt>
                <c:pt idx="353">
                  <c:v>5.6480000000000041</c:v>
                </c:pt>
                <c:pt idx="354">
                  <c:v>5.6640000000000041</c:v>
                </c:pt>
                <c:pt idx="355">
                  <c:v>5.6800000000000042</c:v>
                </c:pt>
                <c:pt idx="356">
                  <c:v>5.6960000000000042</c:v>
                </c:pt>
                <c:pt idx="357">
                  <c:v>5.7120000000000042</c:v>
                </c:pt>
                <c:pt idx="358">
                  <c:v>5.7280000000000042</c:v>
                </c:pt>
                <c:pt idx="359">
                  <c:v>5.7440000000000042</c:v>
                </c:pt>
                <c:pt idx="360">
                  <c:v>5.7600000000000042</c:v>
                </c:pt>
                <c:pt idx="361">
                  <c:v>5.7760000000000042</c:v>
                </c:pt>
                <c:pt idx="362">
                  <c:v>5.7920000000000043</c:v>
                </c:pt>
                <c:pt idx="363">
                  <c:v>5.8080000000000043</c:v>
                </c:pt>
                <c:pt idx="364">
                  <c:v>5.8240000000000043</c:v>
                </c:pt>
                <c:pt idx="365">
                  <c:v>5.8400000000000043</c:v>
                </c:pt>
                <c:pt idx="366">
                  <c:v>5.8560000000000043</c:v>
                </c:pt>
                <c:pt idx="367">
                  <c:v>5.8720000000000043</c:v>
                </c:pt>
                <c:pt idx="368">
                  <c:v>5.8880000000000043</c:v>
                </c:pt>
                <c:pt idx="369">
                  <c:v>5.9040000000000044</c:v>
                </c:pt>
                <c:pt idx="370">
                  <c:v>5.9200000000000044</c:v>
                </c:pt>
                <c:pt idx="371">
                  <c:v>5.9360000000000044</c:v>
                </c:pt>
                <c:pt idx="372">
                  <c:v>5.9520000000000044</c:v>
                </c:pt>
                <c:pt idx="373">
                  <c:v>5.9680000000000044</c:v>
                </c:pt>
                <c:pt idx="374">
                  <c:v>5.9840000000000044</c:v>
                </c:pt>
                <c:pt idx="375">
                  <c:v>6.0000000000000044</c:v>
                </c:pt>
                <c:pt idx="376">
                  <c:v>6.0160000000000045</c:v>
                </c:pt>
                <c:pt idx="377">
                  <c:v>6.0320000000000045</c:v>
                </c:pt>
                <c:pt idx="378">
                  <c:v>6.0480000000000045</c:v>
                </c:pt>
                <c:pt idx="379">
                  <c:v>6.0640000000000045</c:v>
                </c:pt>
                <c:pt idx="380">
                  <c:v>6.0800000000000045</c:v>
                </c:pt>
                <c:pt idx="381">
                  <c:v>6.0960000000000045</c:v>
                </c:pt>
                <c:pt idx="382">
                  <c:v>6.1120000000000045</c:v>
                </c:pt>
                <c:pt idx="383">
                  <c:v>6.1280000000000046</c:v>
                </c:pt>
                <c:pt idx="384">
                  <c:v>6.1440000000000046</c:v>
                </c:pt>
                <c:pt idx="385">
                  <c:v>6.1600000000000046</c:v>
                </c:pt>
                <c:pt idx="386">
                  <c:v>6.1760000000000046</c:v>
                </c:pt>
                <c:pt idx="387">
                  <c:v>6.1920000000000046</c:v>
                </c:pt>
                <c:pt idx="388">
                  <c:v>6.2080000000000046</c:v>
                </c:pt>
                <c:pt idx="389">
                  <c:v>6.2240000000000046</c:v>
                </c:pt>
                <c:pt idx="390">
                  <c:v>6.2400000000000047</c:v>
                </c:pt>
                <c:pt idx="391">
                  <c:v>6.2560000000000047</c:v>
                </c:pt>
                <c:pt idx="392">
                  <c:v>6.2720000000000047</c:v>
                </c:pt>
                <c:pt idx="393">
                  <c:v>6.2880000000000047</c:v>
                </c:pt>
                <c:pt idx="394">
                  <c:v>6.3040000000000047</c:v>
                </c:pt>
                <c:pt idx="395">
                  <c:v>6.3200000000000047</c:v>
                </c:pt>
                <c:pt idx="396">
                  <c:v>6.3360000000000047</c:v>
                </c:pt>
                <c:pt idx="397">
                  <c:v>6.3520000000000048</c:v>
                </c:pt>
                <c:pt idx="398">
                  <c:v>6.3680000000000048</c:v>
                </c:pt>
                <c:pt idx="399">
                  <c:v>6.3840000000000048</c:v>
                </c:pt>
                <c:pt idx="400">
                  <c:v>6.4000000000000048</c:v>
                </c:pt>
                <c:pt idx="401">
                  <c:v>6.4160000000000048</c:v>
                </c:pt>
                <c:pt idx="402">
                  <c:v>6.4320000000000048</c:v>
                </c:pt>
                <c:pt idx="403">
                  <c:v>6.4480000000000048</c:v>
                </c:pt>
                <c:pt idx="404">
                  <c:v>6.4640000000000049</c:v>
                </c:pt>
                <c:pt idx="405">
                  <c:v>6.4800000000000049</c:v>
                </c:pt>
                <c:pt idx="406">
                  <c:v>6.4960000000000049</c:v>
                </c:pt>
                <c:pt idx="407">
                  <c:v>6.5120000000000049</c:v>
                </c:pt>
                <c:pt idx="408">
                  <c:v>6.5280000000000049</c:v>
                </c:pt>
                <c:pt idx="409">
                  <c:v>6.5440000000000049</c:v>
                </c:pt>
                <c:pt idx="410">
                  <c:v>6.5600000000000049</c:v>
                </c:pt>
                <c:pt idx="411">
                  <c:v>6.576000000000005</c:v>
                </c:pt>
                <c:pt idx="412">
                  <c:v>6.592000000000005</c:v>
                </c:pt>
                <c:pt idx="413">
                  <c:v>6.608000000000005</c:v>
                </c:pt>
                <c:pt idx="414">
                  <c:v>6.624000000000005</c:v>
                </c:pt>
                <c:pt idx="415">
                  <c:v>6.640000000000005</c:v>
                </c:pt>
                <c:pt idx="416">
                  <c:v>6.656000000000005</c:v>
                </c:pt>
                <c:pt idx="417">
                  <c:v>6.672000000000005</c:v>
                </c:pt>
                <c:pt idx="418">
                  <c:v>6.6880000000000051</c:v>
                </c:pt>
                <c:pt idx="419">
                  <c:v>6.7040000000000051</c:v>
                </c:pt>
                <c:pt idx="420">
                  <c:v>6.7200000000000051</c:v>
                </c:pt>
                <c:pt idx="421">
                  <c:v>6.7360000000000051</c:v>
                </c:pt>
                <c:pt idx="422">
                  <c:v>6.7520000000000051</c:v>
                </c:pt>
                <c:pt idx="423">
                  <c:v>6.7680000000000051</c:v>
                </c:pt>
                <c:pt idx="424">
                  <c:v>6.7840000000000051</c:v>
                </c:pt>
                <c:pt idx="425">
                  <c:v>6.8000000000000052</c:v>
                </c:pt>
                <c:pt idx="426">
                  <c:v>6.8160000000000052</c:v>
                </c:pt>
                <c:pt idx="427">
                  <c:v>6.8320000000000052</c:v>
                </c:pt>
                <c:pt idx="428">
                  <c:v>6.8480000000000052</c:v>
                </c:pt>
                <c:pt idx="429">
                  <c:v>6.8640000000000052</c:v>
                </c:pt>
                <c:pt idx="430">
                  <c:v>6.8800000000000052</c:v>
                </c:pt>
                <c:pt idx="431">
                  <c:v>6.8960000000000052</c:v>
                </c:pt>
                <c:pt idx="432">
                  <c:v>6.9120000000000053</c:v>
                </c:pt>
                <c:pt idx="433">
                  <c:v>6.9280000000000053</c:v>
                </c:pt>
                <c:pt idx="434">
                  <c:v>6.9440000000000053</c:v>
                </c:pt>
                <c:pt idx="435">
                  <c:v>6.9600000000000053</c:v>
                </c:pt>
                <c:pt idx="436">
                  <c:v>6.9760000000000053</c:v>
                </c:pt>
                <c:pt idx="437">
                  <c:v>6.9920000000000053</c:v>
                </c:pt>
                <c:pt idx="438">
                  <c:v>7.0080000000000053</c:v>
                </c:pt>
                <c:pt idx="439">
                  <c:v>7.0240000000000054</c:v>
                </c:pt>
                <c:pt idx="440">
                  <c:v>7.0400000000000054</c:v>
                </c:pt>
                <c:pt idx="441">
                  <c:v>7.0560000000000054</c:v>
                </c:pt>
                <c:pt idx="442">
                  <c:v>7.0720000000000054</c:v>
                </c:pt>
                <c:pt idx="443">
                  <c:v>7.0880000000000054</c:v>
                </c:pt>
                <c:pt idx="444">
                  <c:v>7.1040000000000054</c:v>
                </c:pt>
                <c:pt idx="445">
                  <c:v>7.1200000000000054</c:v>
                </c:pt>
                <c:pt idx="446">
                  <c:v>7.1360000000000054</c:v>
                </c:pt>
                <c:pt idx="447">
                  <c:v>7.1520000000000055</c:v>
                </c:pt>
                <c:pt idx="448">
                  <c:v>7.1680000000000055</c:v>
                </c:pt>
                <c:pt idx="449">
                  <c:v>7.1840000000000055</c:v>
                </c:pt>
                <c:pt idx="450">
                  <c:v>7.2000000000000055</c:v>
                </c:pt>
                <c:pt idx="451">
                  <c:v>7.2160000000000055</c:v>
                </c:pt>
                <c:pt idx="452">
                  <c:v>7.2320000000000055</c:v>
                </c:pt>
                <c:pt idx="453">
                  <c:v>7.2480000000000055</c:v>
                </c:pt>
                <c:pt idx="454">
                  <c:v>7.2640000000000056</c:v>
                </c:pt>
                <c:pt idx="455">
                  <c:v>7.2800000000000056</c:v>
                </c:pt>
                <c:pt idx="456">
                  <c:v>7.2960000000000056</c:v>
                </c:pt>
                <c:pt idx="457">
                  <c:v>7.3120000000000056</c:v>
                </c:pt>
                <c:pt idx="458">
                  <c:v>7.3280000000000056</c:v>
                </c:pt>
                <c:pt idx="459">
                  <c:v>7.3440000000000056</c:v>
                </c:pt>
                <c:pt idx="460">
                  <c:v>7.3600000000000056</c:v>
                </c:pt>
                <c:pt idx="461">
                  <c:v>7.3760000000000057</c:v>
                </c:pt>
                <c:pt idx="462">
                  <c:v>7.3920000000000057</c:v>
                </c:pt>
                <c:pt idx="463">
                  <c:v>7.4080000000000057</c:v>
                </c:pt>
                <c:pt idx="464">
                  <c:v>7.4240000000000057</c:v>
                </c:pt>
                <c:pt idx="465">
                  <c:v>7.4400000000000057</c:v>
                </c:pt>
                <c:pt idx="466">
                  <c:v>7.4560000000000057</c:v>
                </c:pt>
                <c:pt idx="467">
                  <c:v>7.4720000000000057</c:v>
                </c:pt>
                <c:pt idx="468">
                  <c:v>7.4880000000000058</c:v>
                </c:pt>
                <c:pt idx="469">
                  <c:v>7.5040000000000058</c:v>
                </c:pt>
                <c:pt idx="470">
                  <c:v>7.5200000000000058</c:v>
                </c:pt>
                <c:pt idx="471">
                  <c:v>7.5360000000000058</c:v>
                </c:pt>
                <c:pt idx="472">
                  <c:v>7.5520000000000058</c:v>
                </c:pt>
                <c:pt idx="473">
                  <c:v>7.5680000000000058</c:v>
                </c:pt>
                <c:pt idx="474">
                  <c:v>7.5840000000000058</c:v>
                </c:pt>
                <c:pt idx="475">
                  <c:v>7.6000000000000059</c:v>
                </c:pt>
                <c:pt idx="476">
                  <c:v>7.6160000000000059</c:v>
                </c:pt>
                <c:pt idx="477">
                  <c:v>7.6320000000000059</c:v>
                </c:pt>
                <c:pt idx="478">
                  <c:v>7.6480000000000059</c:v>
                </c:pt>
                <c:pt idx="479">
                  <c:v>7.6640000000000059</c:v>
                </c:pt>
                <c:pt idx="480">
                  <c:v>7.6800000000000059</c:v>
                </c:pt>
                <c:pt idx="481">
                  <c:v>7.6960000000000059</c:v>
                </c:pt>
                <c:pt idx="482">
                  <c:v>7.712000000000006</c:v>
                </c:pt>
                <c:pt idx="483">
                  <c:v>7.728000000000006</c:v>
                </c:pt>
                <c:pt idx="484">
                  <c:v>7.744000000000006</c:v>
                </c:pt>
                <c:pt idx="485">
                  <c:v>7.760000000000006</c:v>
                </c:pt>
                <c:pt idx="486">
                  <c:v>7.776000000000006</c:v>
                </c:pt>
                <c:pt idx="487">
                  <c:v>7.792000000000006</c:v>
                </c:pt>
                <c:pt idx="488">
                  <c:v>7.808000000000006</c:v>
                </c:pt>
                <c:pt idx="489">
                  <c:v>7.8240000000000061</c:v>
                </c:pt>
                <c:pt idx="490">
                  <c:v>7.8400000000000061</c:v>
                </c:pt>
                <c:pt idx="491">
                  <c:v>7.8560000000000061</c:v>
                </c:pt>
                <c:pt idx="492">
                  <c:v>7.8720000000000061</c:v>
                </c:pt>
                <c:pt idx="493">
                  <c:v>7.8880000000000061</c:v>
                </c:pt>
                <c:pt idx="494">
                  <c:v>7.9040000000000061</c:v>
                </c:pt>
                <c:pt idx="495">
                  <c:v>7.9200000000000061</c:v>
                </c:pt>
                <c:pt idx="496">
                  <c:v>7.9360000000000062</c:v>
                </c:pt>
                <c:pt idx="497">
                  <c:v>7.9520000000000062</c:v>
                </c:pt>
                <c:pt idx="498">
                  <c:v>7.9680000000000062</c:v>
                </c:pt>
                <c:pt idx="499">
                  <c:v>7.9840000000000062</c:v>
                </c:pt>
                <c:pt idx="500">
                  <c:v>8.0000000000000053</c:v>
                </c:pt>
                <c:pt idx="501">
                  <c:v>8.0160000000000053</c:v>
                </c:pt>
                <c:pt idx="502">
                  <c:v>8.0320000000000054</c:v>
                </c:pt>
                <c:pt idx="503">
                  <c:v>8.0480000000000054</c:v>
                </c:pt>
                <c:pt idx="504">
                  <c:v>8.0640000000000054</c:v>
                </c:pt>
                <c:pt idx="505">
                  <c:v>8.0800000000000054</c:v>
                </c:pt>
                <c:pt idx="506">
                  <c:v>8.0960000000000054</c:v>
                </c:pt>
                <c:pt idx="507">
                  <c:v>8.1120000000000054</c:v>
                </c:pt>
                <c:pt idx="508">
                  <c:v>8.1280000000000054</c:v>
                </c:pt>
                <c:pt idx="509">
                  <c:v>8.1440000000000055</c:v>
                </c:pt>
                <c:pt idx="510">
                  <c:v>8.1600000000000055</c:v>
                </c:pt>
                <c:pt idx="511">
                  <c:v>8.1760000000000055</c:v>
                </c:pt>
                <c:pt idx="512">
                  <c:v>8.1920000000000055</c:v>
                </c:pt>
                <c:pt idx="513">
                  <c:v>8.2080000000000055</c:v>
                </c:pt>
                <c:pt idx="514">
                  <c:v>8.2240000000000055</c:v>
                </c:pt>
                <c:pt idx="515">
                  <c:v>8.2400000000000055</c:v>
                </c:pt>
                <c:pt idx="516">
                  <c:v>8.2560000000000056</c:v>
                </c:pt>
                <c:pt idx="517">
                  <c:v>8.2720000000000056</c:v>
                </c:pt>
                <c:pt idx="518">
                  <c:v>8.2880000000000056</c:v>
                </c:pt>
                <c:pt idx="519">
                  <c:v>8.3040000000000056</c:v>
                </c:pt>
                <c:pt idx="520">
                  <c:v>8.3200000000000056</c:v>
                </c:pt>
                <c:pt idx="521">
                  <c:v>8.3360000000000056</c:v>
                </c:pt>
                <c:pt idx="522">
                  <c:v>8.3520000000000056</c:v>
                </c:pt>
                <c:pt idx="523">
                  <c:v>8.3680000000000057</c:v>
                </c:pt>
                <c:pt idx="524">
                  <c:v>8.3840000000000057</c:v>
                </c:pt>
                <c:pt idx="525">
                  <c:v>8.4000000000000057</c:v>
                </c:pt>
                <c:pt idx="526">
                  <c:v>8.4160000000000057</c:v>
                </c:pt>
                <c:pt idx="527">
                  <c:v>8.4320000000000057</c:v>
                </c:pt>
                <c:pt idx="528">
                  <c:v>8.4480000000000057</c:v>
                </c:pt>
                <c:pt idx="529">
                  <c:v>8.4640000000000057</c:v>
                </c:pt>
                <c:pt idx="530">
                  <c:v>8.4800000000000058</c:v>
                </c:pt>
                <c:pt idx="531">
                  <c:v>8.4960000000000058</c:v>
                </c:pt>
                <c:pt idx="532">
                  <c:v>8.5120000000000058</c:v>
                </c:pt>
                <c:pt idx="533">
                  <c:v>8.5280000000000058</c:v>
                </c:pt>
                <c:pt idx="534">
                  <c:v>8.5440000000000058</c:v>
                </c:pt>
                <c:pt idx="535">
                  <c:v>8.5600000000000058</c:v>
                </c:pt>
                <c:pt idx="536">
                  <c:v>8.5760000000000058</c:v>
                </c:pt>
                <c:pt idx="537">
                  <c:v>8.5920000000000059</c:v>
                </c:pt>
                <c:pt idx="538">
                  <c:v>8.6080000000000059</c:v>
                </c:pt>
                <c:pt idx="539">
                  <c:v>8.6240000000000059</c:v>
                </c:pt>
                <c:pt idx="540">
                  <c:v>8.6400000000000059</c:v>
                </c:pt>
                <c:pt idx="541">
                  <c:v>8.6560000000000059</c:v>
                </c:pt>
                <c:pt idx="542">
                  <c:v>8.6720000000000059</c:v>
                </c:pt>
                <c:pt idx="543">
                  <c:v>8.6880000000000059</c:v>
                </c:pt>
                <c:pt idx="544">
                  <c:v>8.704000000000006</c:v>
                </c:pt>
                <c:pt idx="545">
                  <c:v>8.720000000000006</c:v>
                </c:pt>
                <c:pt idx="546">
                  <c:v>8.736000000000006</c:v>
                </c:pt>
                <c:pt idx="547">
                  <c:v>8.752000000000006</c:v>
                </c:pt>
                <c:pt idx="548">
                  <c:v>8.768000000000006</c:v>
                </c:pt>
                <c:pt idx="549">
                  <c:v>8.784000000000006</c:v>
                </c:pt>
                <c:pt idx="550">
                  <c:v>8.800000000000006</c:v>
                </c:pt>
                <c:pt idx="551">
                  <c:v>8.8160000000000061</c:v>
                </c:pt>
                <c:pt idx="552">
                  <c:v>8.8320000000000061</c:v>
                </c:pt>
                <c:pt idx="553">
                  <c:v>8.8480000000000061</c:v>
                </c:pt>
                <c:pt idx="554">
                  <c:v>8.8640000000000061</c:v>
                </c:pt>
                <c:pt idx="555">
                  <c:v>8.8800000000000061</c:v>
                </c:pt>
                <c:pt idx="556">
                  <c:v>8.8960000000000061</c:v>
                </c:pt>
                <c:pt idx="557">
                  <c:v>8.9120000000000061</c:v>
                </c:pt>
                <c:pt idx="558">
                  <c:v>8.9280000000000062</c:v>
                </c:pt>
                <c:pt idx="559">
                  <c:v>8.9440000000000062</c:v>
                </c:pt>
                <c:pt idx="560">
                  <c:v>8.9600000000000062</c:v>
                </c:pt>
                <c:pt idx="561">
                  <c:v>8.9760000000000062</c:v>
                </c:pt>
                <c:pt idx="562">
                  <c:v>8.9920000000000062</c:v>
                </c:pt>
                <c:pt idx="563">
                  <c:v>9.0080000000000062</c:v>
                </c:pt>
                <c:pt idx="564">
                  <c:v>9.0240000000000062</c:v>
                </c:pt>
                <c:pt idx="565">
                  <c:v>9.0400000000000063</c:v>
                </c:pt>
                <c:pt idx="566">
                  <c:v>9.0560000000000063</c:v>
                </c:pt>
                <c:pt idx="567">
                  <c:v>9.0720000000000063</c:v>
                </c:pt>
                <c:pt idx="568">
                  <c:v>9.0880000000000063</c:v>
                </c:pt>
                <c:pt idx="569">
                  <c:v>9.1040000000000063</c:v>
                </c:pt>
                <c:pt idx="570">
                  <c:v>9.1200000000000063</c:v>
                </c:pt>
                <c:pt idx="571">
                  <c:v>9.1360000000000063</c:v>
                </c:pt>
                <c:pt idx="572">
                  <c:v>9.1520000000000064</c:v>
                </c:pt>
                <c:pt idx="573">
                  <c:v>9.1680000000000064</c:v>
                </c:pt>
                <c:pt idx="574">
                  <c:v>9.1840000000000064</c:v>
                </c:pt>
                <c:pt idx="575">
                  <c:v>9.2000000000000064</c:v>
                </c:pt>
                <c:pt idx="576">
                  <c:v>9.2160000000000064</c:v>
                </c:pt>
                <c:pt idx="577">
                  <c:v>9.2320000000000064</c:v>
                </c:pt>
                <c:pt idx="578">
                  <c:v>9.2480000000000064</c:v>
                </c:pt>
                <c:pt idx="579">
                  <c:v>9.2640000000000065</c:v>
                </c:pt>
                <c:pt idx="580">
                  <c:v>9.2800000000000065</c:v>
                </c:pt>
                <c:pt idx="581">
                  <c:v>9.2960000000000065</c:v>
                </c:pt>
                <c:pt idx="582">
                  <c:v>9.3120000000000065</c:v>
                </c:pt>
                <c:pt idx="583">
                  <c:v>9.3280000000000065</c:v>
                </c:pt>
                <c:pt idx="584">
                  <c:v>9.3440000000000065</c:v>
                </c:pt>
                <c:pt idx="585">
                  <c:v>9.3600000000000065</c:v>
                </c:pt>
                <c:pt idx="586">
                  <c:v>9.3760000000000066</c:v>
                </c:pt>
                <c:pt idx="587">
                  <c:v>9.3920000000000066</c:v>
                </c:pt>
                <c:pt idx="588">
                  <c:v>9.4080000000000066</c:v>
                </c:pt>
                <c:pt idx="589">
                  <c:v>9.4240000000000066</c:v>
                </c:pt>
                <c:pt idx="590">
                  <c:v>9.4400000000000066</c:v>
                </c:pt>
                <c:pt idx="591">
                  <c:v>9.4560000000000066</c:v>
                </c:pt>
                <c:pt idx="592">
                  <c:v>9.4720000000000066</c:v>
                </c:pt>
                <c:pt idx="593">
                  <c:v>9.4880000000000067</c:v>
                </c:pt>
                <c:pt idx="594">
                  <c:v>9.5040000000000067</c:v>
                </c:pt>
                <c:pt idx="595">
                  <c:v>9.5200000000000067</c:v>
                </c:pt>
                <c:pt idx="596">
                  <c:v>9.5360000000000067</c:v>
                </c:pt>
                <c:pt idx="597">
                  <c:v>9.5520000000000067</c:v>
                </c:pt>
                <c:pt idx="598">
                  <c:v>9.5680000000000067</c:v>
                </c:pt>
                <c:pt idx="599">
                  <c:v>9.5840000000000067</c:v>
                </c:pt>
                <c:pt idx="600">
                  <c:v>9.6000000000000068</c:v>
                </c:pt>
                <c:pt idx="601">
                  <c:v>9.6160000000000068</c:v>
                </c:pt>
                <c:pt idx="602">
                  <c:v>9.6320000000000068</c:v>
                </c:pt>
                <c:pt idx="603">
                  <c:v>9.6480000000000068</c:v>
                </c:pt>
                <c:pt idx="604">
                  <c:v>9.6640000000000068</c:v>
                </c:pt>
                <c:pt idx="605">
                  <c:v>9.6800000000000068</c:v>
                </c:pt>
                <c:pt idx="606">
                  <c:v>9.6960000000000068</c:v>
                </c:pt>
                <c:pt idx="607">
                  <c:v>9.7120000000000068</c:v>
                </c:pt>
                <c:pt idx="608">
                  <c:v>9.7280000000000069</c:v>
                </c:pt>
                <c:pt idx="609">
                  <c:v>9.7440000000000069</c:v>
                </c:pt>
                <c:pt idx="610">
                  <c:v>9.7600000000000069</c:v>
                </c:pt>
                <c:pt idx="611">
                  <c:v>9.7760000000000069</c:v>
                </c:pt>
                <c:pt idx="612">
                  <c:v>9.7920000000000069</c:v>
                </c:pt>
                <c:pt idx="613">
                  <c:v>9.8080000000000069</c:v>
                </c:pt>
                <c:pt idx="614">
                  <c:v>9.8240000000000069</c:v>
                </c:pt>
                <c:pt idx="615">
                  <c:v>9.840000000000007</c:v>
                </c:pt>
                <c:pt idx="616">
                  <c:v>9.856000000000007</c:v>
                </c:pt>
                <c:pt idx="617">
                  <c:v>9.872000000000007</c:v>
                </c:pt>
                <c:pt idx="618">
                  <c:v>9.888000000000007</c:v>
                </c:pt>
                <c:pt idx="619">
                  <c:v>9.904000000000007</c:v>
                </c:pt>
                <c:pt idx="620">
                  <c:v>9.920000000000007</c:v>
                </c:pt>
                <c:pt idx="621">
                  <c:v>9.936000000000007</c:v>
                </c:pt>
                <c:pt idx="622">
                  <c:v>9.9520000000000071</c:v>
                </c:pt>
                <c:pt idx="623">
                  <c:v>9.9680000000000071</c:v>
                </c:pt>
                <c:pt idx="624">
                  <c:v>9.9840000000000071</c:v>
                </c:pt>
                <c:pt idx="625">
                  <c:v>10.000000000000007</c:v>
                </c:pt>
                <c:pt idx="626">
                  <c:v>10.016000000000007</c:v>
                </c:pt>
                <c:pt idx="627">
                  <c:v>10.032000000000007</c:v>
                </c:pt>
                <c:pt idx="628">
                  <c:v>10.048000000000007</c:v>
                </c:pt>
                <c:pt idx="629">
                  <c:v>10.064000000000007</c:v>
                </c:pt>
                <c:pt idx="630">
                  <c:v>10.080000000000007</c:v>
                </c:pt>
                <c:pt idx="631">
                  <c:v>10.096000000000007</c:v>
                </c:pt>
                <c:pt idx="632">
                  <c:v>10.112000000000007</c:v>
                </c:pt>
                <c:pt idx="633">
                  <c:v>10.128000000000007</c:v>
                </c:pt>
                <c:pt idx="634">
                  <c:v>10.144000000000007</c:v>
                </c:pt>
                <c:pt idx="635">
                  <c:v>10.160000000000007</c:v>
                </c:pt>
                <c:pt idx="636">
                  <c:v>10.176000000000007</c:v>
                </c:pt>
                <c:pt idx="637">
                  <c:v>10.192000000000007</c:v>
                </c:pt>
                <c:pt idx="638">
                  <c:v>10.208000000000007</c:v>
                </c:pt>
                <c:pt idx="639">
                  <c:v>10.224000000000007</c:v>
                </c:pt>
                <c:pt idx="640">
                  <c:v>10.240000000000007</c:v>
                </c:pt>
                <c:pt idx="641">
                  <c:v>10.256000000000007</c:v>
                </c:pt>
                <c:pt idx="642">
                  <c:v>10.272000000000007</c:v>
                </c:pt>
                <c:pt idx="643">
                  <c:v>10.288000000000007</c:v>
                </c:pt>
                <c:pt idx="644">
                  <c:v>10.304000000000007</c:v>
                </c:pt>
                <c:pt idx="645">
                  <c:v>10.320000000000007</c:v>
                </c:pt>
                <c:pt idx="646">
                  <c:v>10.336000000000007</c:v>
                </c:pt>
                <c:pt idx="647">
                  <c:v>10.352000000000007</c:v>
                </c:pt>
                <c:pt idx="648">
                  <c:v>10.368000000000007</c:v>
                </c:pt>
                <c:pt idx="649">
                  <c:v>10.384000000000007</c:v>
                </c:pt>
                <c:pt idx="650">
                  <c:v>10.400000000000007</c:v>
                </c:pt>
                <c:pt idx="651">
                  <c:v>10.416000000000007</c:v>
                </c:pt>
                <c:pt idx="652">
                  <c:v>10.432000000000007</c:v>
                </c:pt>
                <c:pt idx="653">
                  <c:v>10.448000000000008</c:v>
                </c:pt>
                <c:pt idx="654">
                  <c:v>10.464000000000008</c:v>
                </c:pt>
                <c:pt idx="655">
                  <c:v>10.480000000000008</c:v>
                </c:pt>
                <c:pt idx="656">
                  <c:v>10.496000000000008</c:v>
                </c:pt>
                <c:pt idx="657">
                  <c:v>10.512000000000008</c:v>
                </c:pt>
                <c:pt idx="658">
                  <c:v>10.528000000000008</c:v>
                </c:pt>
                <c:pt idx="659">
                  <c:v>10.544000000000008</c:v>
                </c:pt>
                <c:pt idx="660">
                  <c:v>10.560000000000008</c:v>
                </c:pt>
                <c:pt idx="661">
                  <c:v>10.576000000000008</c:v>
                </c:pt>
                <c:pt idx="662">
                  <c:v>10.592000000000008</c:v>
                </c:pt>
                <c:pt idx="663">
                  <c:v>10.608000000000008</c:v>
                </c:pt>
                <c:pt idx="664">
                  <c:v>10.624000000000008</c:v>
                </c:pt>
                <c:pt idx="665">
                  <c:v>10.640000000000008</c:v>
                </c:pt>
                <c:pt idx="666">
                  <c:v>10.656000000000008</c:v>
                </c:pt>
                <c:pt idx="667">
                  <c:v>10.672000000000008</c:v>
                </c:pt>
                <c:pt idx="668">
                  <c:v>10.688000000000008</c:v>
                </c:pt>
                <c:pt idx="669">
                  <c:v>10.704000000000008</c:v>
                </c:pt>
                <c:pt idx="670">
                  <c:v>10.720000000000008</c:v>
                </c:pt>
                <c:pt idx="671">
                  <c:v>10.736000000000008</c:v>
                </c:pt>
                <c:pt idx="672">
                  <c:v>10.752000000000008</c:v>
                </c:pt>
                <c:pt idx="673">
                  <c:v>10.768000000000008</c:v>
                </c:pt>
                <c:pt idx="674">
                  <c:v>10.784000000000008</c:v>
                </c:pt>
                <c:pt idx="675">
                  <c:v>10.800000000000008</c:v>
                </c:pt>
                <c:pt idx="676">
                  <c:v>10.816000000000008</c:v>
                </c:pt>
                <c:pt idx="677">
                  <c:v>10.832000000000008</c:v>
                </c:pt>
                <c:pt idx="678">
                  <c:v>10.848000000000008</c:v>
                </c:pt>
                <c:pt idx="679">
                  <c:v>10.864000000000008</c:v>
                </c:pt>
                <c:pt idx="680">
                  <c:v>10.880000000000008</c:v>
                </c:pt>
                <c:pt idx="681">
                  <c:v>10.896000000000008</c:v>
                </c:pt>
                <c:pt idx="682">
                  <c:v>10.912000000000008</c:v>
                </c:pt>
                <c:pt idx="683">
                  <c:v>10.928000000000008</c:v>
                </c:pt>
                <c:pt idx="684">
                  <c:v>10.944000000000008</c:v>
                </c:pt>
                <c:pt idx="685">
                  <c:v>10.960000000000008</c:v>
                </c:pt>
                <c:pt idx="686">
                  <c:v>10.976000000000008</c:v>
                </c:pt>
                <c:pt idx="687">
                  <c:v>10.992000000000008</c:v>
                </c:pt>
                <c:pt idx="688">
                  <c:v>11.008000000000008</c:v>
                </c:pt>
                <c:pt idx="689">
                  <c:v>11.024000000000008</c:v>
                </c:pt>
                <c:pt idx="690">
                  <c:v>11.040000000000008</c:v>
                </c:pt>
                <c:pt idx="691">
                  <c:v>11.056000000000008</c:v>
                </c:pt>
                <c:pt idx="692">
                  <c:v>11.072000000000008</c:v>
                </c:pt>
                <c:pt idx="693">
                  <c:v>11.088000000000008</c:v>
                </c:pt>
                <c:pt idx="694">
                  <c:v>11.104000000000008</c:v>
                </c:pt>
                <c:pt idx="695">
                  <c:v>11.120000000000008</c:v>
                </c:pt>
                <c:pt idx="696">
                  <c:v>11.136000000000008</c:v>
                </c:pt>
                <c:pt idx="697">
                  <c:v>11.152000000000008</c:v>
                </c:pt>
                <c:pt idx="698">
                  <c:v>11.168000000000008</c:v>
                </c:pt>
                <c:pt idx="699">
                  <c:v>11.184000000000008</c:v>
                </c:pt>
                <c:pt idx="700">
                  <c:v>11.200000000000008</c:v>
                </c:pt>
                <c:pt idx="701">
                  <c:v>11.216000000000008</c:v>
                </c:pt>
                <c:pt idx="702">
                  <c:v>11.232000000000008</c:v>
                </c:pt>
                <c:pt idx="703">
                  <c:v>11.248000000000008</c:v>
                </c:pt>
                <c:pt idx="704">
                  <c:v>11.264000000000008</c:v>
                </c:pt>
                <c:pt idx="705">
                  <c:v>11.280000000000008</c:v>
                </c:pt>
                <c:pt idx="706">
                  <c:v>11.296000000000008</c:v>
                </c:pt>
                <c:pt idx="707">
                  <c:v>11.312000000000008</c:v>
                </c:pt>
                <c:pt idx="708">
                  <c:v>11.328000000000008</c:v>
                </c:pt>
                <c:pt idx="709">
                  <c:v>11.344000000000008</c:v>
                </c:pt>
                <c:pt idx="710">
                  <c:v>11.360000000000008</c:v>
                </c:pt>
                <c:pt idx="711">
                  <c:v>11.376000000000008</c:v>
                </c:pt>
                <c:pt idx="712">
                  <c:v>11.392000000000008</c:v>
                </c:pt>
                <c:pt idx="713">
                  <c:v>11.408000000000008</c:v>
                </c:pt>
                <c:pt idx="714">
                  <c:v>11.424000000000008</c:v>
                </c:pt>
                <c:pt idx="715">
                  <c:v>11.440000000000008</c:v>
                </c:pt>
                <c:pt idx="716">
                  <c:v>11.456000000000008</c:v>
                </c:pt>
                <c:pt idx="717">
                  <c:v>11.472000000000008</c:v>
                </c:pt>
                <c:pt idx="718">
                  <c:v>11.488000000000008</c:v>
                </c:pt>
                <c:pt idx="719">
                  <c:v>11.504000000000008</c:v>
                </c:pt>
                <c:pt idx="720">
                  <c:v>11.520000000000008</c:v>
                </c:pt>
                <c:pt idx="721">
                  <c:v>11.536000000000008</c:v>
                </c:pt>
                <c:pt idx="722">
                  <c:v>11.552000000000008</c:v>
                </c:pt>
                <c:pt idx="723">
                  <c:v>11.568000000000008</c:v>
                </c:pt>
                <c:pt idx="724">
                  <c:v>11.584000000000009</c:v>
                </c:pt>
                <c:pt idx="725">
                  <c:v>11.600000000000009</c:v>
                </c:pt>
                <c:pt idx="726">
                  <c:v>11.616000000000009</c:v>
                </c:pt>
                <c:pt idx="727">
                  <c:v>11.632000000000009</c:v>
                </c:pt>
                <c:pt idx="728">
                  <c:v>11.648000000000009</c:v>
                </c:pt>
                <c:pt idx="729">
                  <c:v>11.664000000000009</c:v>
                </c:pt>
                <c:pt idx="730">
                  <c:v>11.680000000000009</c:v>
                </c:pt>
                <c:pt idx="731">
                  <c:v>11.696000000000009</c:v>
                </c:pt>
                <c:pt idx="732">
                  <c:v>11.712000000000009</c:v>
                </c:pt>
                <c:pt idx="733">
                  <c:v>11.728000000000009</c:v>
                </c:pt>
                <c:pt idx="734">
                  <c:v>11.744000000000009</c:v>
                </c:pt>
                <c:pt idx="735">
                  <c:v>11.760000000000009</c:v>
                </c:pt>
                <c:pt idx="736">
                  <c:v>11.776000000000009</c:v>
                </c:pt>
                <c:pt idx="737">
                  <c:v>11.792000000000009</c:v>
                </c:pt>
                <c:pt idx="738">
                  <c:v>11.808000000000009</c:v>
                </c:pt>
                <c:pt idx="739">
                  <c:v>11.824000000000009</c:v>
                </c:pt>
                <c:pt idx="740">
                  <c:v>11.840000000000009</c:v>
                </c:pt>
                <c:pt idx="741">
                  <c:v>11.856000000000009</c:v>
                </c:pt>
                <c:pt idx="742">
                  <c:v>11.872000000000009</c:v>
                </c:pt>
                <c:pt idx="743">
                  <c:v>11.888000000000009</c:v>
                </c:pt>
                <c:pt idx="744">
                  <c:v>11.904000000000009</c:v>
                </c:pt>
                <c:pt idx="745">
                  <c:v>11.920000000000009</c:v>
                </c:pt>
                <c:pt idx="746">
                  <c:v>11.936000000000009</c:v>
                </c:pt>
                <c:pt idx="747">
                  <c:v>11.952000000000009</c:v>
                </c:pt>
                <c:pt idx="748">
                  <c:v>11.968000000000009</c:v>
                </c:pt>
                <c:pt idx="749">
                  <c:v>11.984000000000009</c:v>
                </c:pt>
                <c:pt idx="750">
                  <c:v>12.000000000000009</c:v>
                </c:pt>
                <c:pt idx="751">
                  <c:v>12.016000000000009</c:v>
                </c:pt>
                <c:pt idx="752">
                  <c:v>12.032000000000009</c:v>
                </c:pt>
                <c:pt idx="753">
                  <c:v>12.048000000000009</c:v>
                </c:pt>
                <c:pt idx="754">
                  <c:v>12.064000000000009</c:v>
                </c:pt>
                <c:pt idx="755">
                  <c:v>12.080000000000009</c:v>
                </c:pt>
                <c:pt idx="756">
                  <c:v>12.096000000000009</c:v>
                </c:pt>
                <c:pt idx="757">
                  <c:v>12.112000000000009</c:v>
                </c:pt>
                <c:pt idx="758">
                  <c:v>12.128000000000009</c:v>
                </c:pt>
                <c:pt idx="759">
                  <c:v>12.144000000000009</c:v>
                </c:pt>
                <c:pt idx="760">
                  <c:v>12.160000000000009</c:v>
                </c:pt>
                <c:pt idx="761">
                  <c:v>12.176000000000009</c:v>
                </c:pt>
                <c:pt idx="762">
                  <c:v>12.192000000000009</c:v>
                </c:pt>
                <c:pt idx="763">
                  <c:v>12.208000000000009</c:v>
                </c:pt>
                <c:pt idx="764">
                  <c:v>12.224000000000009</c:v>
                </c:pt>
                <c:pt idx="765">
                  <c:v>12.240000000000009</c:v>
                </c:pt>
                <c:pt idx="766">
                  <c:v>12.256000000000009</c:v>
                </c:pt>
                <c:pt idx="767">
                  <c:v>12.272000000000009</c:v>
                </c:pt>
                <c:pt idx="768">
                  <c:v>12.288000000000009</c:v>
                </c:pt>
                <c:pt idx="769">
                  <c:v>12.304000000000009</c:v>
                </c:pt>
                <c:pt idx="770">
                  <c:v>12.320000000000009</c:v>
                </c:pt>
                <c:pt idx="771">
                  <c:v>12.336000000000009</c:v>
                </c:pt>
                <c:pt idx="772">
                  <c:v>12.352000000000009</c:v>
                </c:pt>
                <c:pt idx="773">
                  <c:v>12.368000000000009</c:v>
                </c:pt>
                <c:pt idx="774">
                  <c:v>12.384000000000009</c:v>
                </c:pt>
                <c:pt idx="775">
                  <c:v>12.400000000000009</c:v>
                </c:pt>
                <c:pt idx="776">
                  <c:v>12.416000000000009</c:v>
                </c:pt>
                <c:pt idx="777">
                  <c:v>12.432000000000009</c:v>
                </c:pt>
                <c:pt idx="778">
                  <c:v>12.448000000000009</c:v>
                </c:pt>
                <c:pt idx="779">
                  <c:v>12.464000000000009</c:v>
                </c:pt>
                <c:pt idx="780">
                  <c:v>12.480000000000009</c:v>
                </c:pt>
                <c:pt idx="781">
                  <c:v>12.496000000000009</c:v>
                </c:pt>
                <c:pt idx="782">
                  <c:v>12.512000000000009</c:v>
                </c:pt>
                <c:pt idx="783">
                  <c:v>12.528000000000009</c:v>
                </c:pt>
                <c:pt idx="784">
                  <c:v>12.544000000000009</c:v>
                </c:pt>
                <c:pt idx="785">
                  <c:v>12.560000000000009</c:v>
                </c:pt>
                <c:pt idx="786">
                  <c:v>12.576000000000009</c:v>
                </c:pt>
                <c:pt idx="787">
                  <c:v>12.592000000000009</c:v>
                </c:pt>
                <c:pt idx="788">
                  <c:v>12.608000000000009</c:v>
                </c:pt>
                <c:pt idx="789">
                  <c:v>12.624000000000009</c:v>
                </c:pt>
                <c:pt idx="790">
                  <c:v>12.640000000000009</c:v>
                </c:pt>
                <c:pt idx="791">
                  <c:v>12.656000000000009</c:v>
                </c:pt>
                <c:pt idx="792">
                  <c:v>12.672000000000009</c:v>
                </c:pt>
                <c:pt idx="793">
                  <c:v>12.688000000000009</c:v>
                </c:pt>
                <c:pt idx="794">
                  <c:v>12.70400000000001</c:v>
                </c:pt>
                <c:pt idx="795">
                  <c:v>12.72000000000001</c:v>
                </c:pt>
                <c:pt idx="796">
                  <c:v>12.73600000000001</c:v>
                </c:pt>
                <c:pt idx="797">
                  <c:v>12.75200000000001</c:v>
                </c:pt>
                <c:pt idx="798">
                  <c:v>12.76800000000001</c:v>
                </c:pt>
                <c:pt idx="799">
                  <c:v>12.78400000000001</c:v>
                </c:pt>
                <c:pt idx="800">
                  <c:v>12.80000000000001</c:v>
                </c:pt>
                <c:pt idx="801">
                  <c:v>12.81600000000001</c:v>
                </c:pt>
                <c:pt idx="802">
                  <c:v>12.83200000000001</c:v>
                </c:pt>
                <c:pt idx="803">
                  <c:v>12.84800000000001</c:v>
                </c:pt>
                <c:pt idx="804">
                  <c:v>12.86400000000001</c:v>
                </c:pt>
                <c:pt idx="805">
                  <c:v>12.88000000000001</c:v>
                </c:pt>
                <c:pt idx="806">
                  <c:v>12.89600000000001</c:v>
                </c:pt>
                <c:pt idx="807">
                  <c:v>12.91200000000001</c:v>
                </c:pt>
                <c:pt idx="808">
                  <c:v>12.92800000000001</c:v>
                </c:pt>
                <c:pt idx="809">
                  <c:v>12.94400000000001</c:v>
                </c:pt>
                <c:pt idx="810">
                  <c:v>12.96000000000001</c:v>
                </c:pt>
                <c:pt idx="811">
                  <c:v>12.97600000000001</c:v>
                </c:pt>
                <c:pt idx="812">
                  <c:v>12.99200000000001</c:v>
                </c:pt>
                <c:pt idx="813">
                  <c:v>13.00800000000001</c:v>
                </c:pt>
                <c:pt idx="814">
                  <c:v>13.02400000000001</c:v>
                </c:pt>
                <c:pt idx="815">
                  <c:v>13.04000000000001</c:v>
                </c:pt>
                <c:pt idx="816">
                  <c:v>13.05600000000001</c:v>
                </c:pt>
                <c:pt idx="817">
                  <c:v>13.07200000000001</c:v>
                </c:pt>
                <c:pt idx="818">
                  <c:v>13.08800000000001</c:v>
                </c:pt>
                <c:pt idx="819">
                  <c:v>13.10400000000001</c:v>
                </c:pt>
                <c:pt idx="820">
                  <c:v>13.12000000000001</c:v>
                </c:pt>
                <c:pt idx="821">
                  <c:v>13.13600000000001</c:v>
                </c:pt>
                <c:pt idx="822">
                  <c:v>13.15200000000001</c:v>
                </c:pt>
                <c:pt idx="823">
                  <c:v>13.16800000000001</c:v>
                </c:pt>
                <c:pt idx="824">
                  <c:v>13.18400000000001</c:v>
                </c:pt>
                <c:pt idx="825">
                  <c:v>13.20000000000001</c:v>
                </c:pt>
                <c:pt idx="826">
                  <c:v>13.21600000000001</c:v>
                </c:pt>
                <c:pt idx="827">
                  <c:v>13.23200000000001</c:v>
                </c:pt>
                <c:pt idx="828">
                  <c:v>13.24800000000001</c:v>
                </c:pt>
                <c:pt idx="829">
                  <c:v>13.26400000000001</c:v>
                </c:pt>
                <c:pt idx="830">
                  <c:v>13.28000000000001</c:v>
                </c:pt>
                <c:pt idx="831">
                  <c:v>13.29600000000001</c:v>
                </c:pt>
                <c:pt idx="832">
                  <c:v>13.31200000000001</c:v>
                </c:pt>
                <c:pt idx="833">
                  <c:v>13.32800000000001</c:v>
                </c:pt>
                <c:pt idx="834">
                  <c:v>13.34400000000001</c:v>
                </c:pt>
                <c:pt idx="835">
                  <c:v>13.36000000000001</c:v>
                </c:pt>
                <c:pt idx="836">
                  <c:v>13.37600000000001</c:v>
                </c:pt>
                <c:pt idx="837">
                  <c:v>13.39200000000001</c:v>
                </c:pt>
                <c:pt idx="838">
                  <c:v>13.40800000000001</c:v>
                </c:pt>
                <c:pt idx="839">
                  <c:v>13.42400000000001</c:v>
                </c:pt>
                <c:pt idx="840">
                  <c:v>13.44000000000001</c:v>
                </c:pt>
                <c:pt idx="841">
                  <c:v>13.45600000000001</c:v>
                </c:pt>
                <c:pt idx="842">
                  <c:v>13.47200000000001</c:v>
                </c:pt>
                <c:pt idx="843">
                  <c:v>13.48800000000001</c:v>
                </c:pt>
                <c:pt idx="844">
                  <c:v>13.50400000000001</c:v>
                </c:pt>
                <c:pt idx="845">
                  <c:v>13.52000000000001</c:v>
                </c:pt>
                <c:pt idx="846">
                  <c:v>13.53600000000001</c:v>
                </c:pt>
                <c:pt idx="847">
                  <c:v>13.55200000000001</c:v>
                </c:pt>
                <c:pt idx="848">
                  <c:v>13.56800000000001</c:v>
                </c:pt>
                <c:pt idx="849">
                  <c:v>13.58400000000001</c:v>
                </c:pt>
                <c:pt idx="850">
                  <c:v>13.60000000000001</c:v>
                </c:pt>
                <c:pt idx="851">
                  <c:v>13.61600000000001</c:v>
                </c:pt>
                <c:pt idx="852">
                  <c:v>13.63200000000001</c:v>
                </c:pt>
                <c:pt idx="853">
                  <c:v>13.64800000000001</c:v>
                </c:pt>
                <c:pt idx="854">
                  <c:v>13.66400000000001</c:v>
                </c:pt>
                <c:pt idx="855">
                  <c:v>13.68000000000001</c:v>
                </c:pt>
                <c:pt idx="856">
                  <c:v>13.69600000000001</c:v>
                </c:pt>
                <c:pt idx="857">
                  <c:v>13.71200000000001</c:v>
                </c:pt>
                <c:pt idx="858">
                  <c:v>13.72800000000001</c:v>
                </c:pt>
                <c:pt idx="859">
                  <c:v>13.74400000000001</c:v>
                </c:pt>
                <c:pt idx="860">
                  <c:v>13.76000000000001</c:v>
                </c:pt>
                <c:pt idx="861">
                  <c:v>13.77600000000001</c:v>
                </c:pt>
                <c:pt idx="862">
                  <c:v>13.79200000000001</c:v>
                </c:pt>
                <c:pt idx="863">
                  <c:v>13.80800000000001</c:v>
                </c:pt>
                <c:pt idx="864">
                  <c:v>13.824000000000011</c:v>
                </c:pt>
                <c:pt idx="865">
                  <c:v>13.840000000000011</c:v>
                </c:pt>
                <c:pt idx="866">
                  <c:v>13.856000000000011</c:v>
                </c:pt>
                <c:pt idx="867">
                  <c:v>13.872000000000011</c:v>
                </c:pt>
                <c:pt idx="868">
                  <c:v>13.888000000000011</c:v>
                </c:pt>
                <c:pt idx="869">
                  <c:v>13.904000000000011</c:v>
                </c:pt>
                <c:pt idx="870">
                  <c:v>13.920000000000011</c:v>
                </c:pt>
                <c:pt idx="871">
                  <c:v>13.936000000000011</c:v>
                </c:pt>
                <c:pt idx="872">
                  <c:v>13.952000000000011</c:v>
                </c:pt>
                <c:pt idx="873">
                  <c:v>13.968000000000011</c:v>
                </c:pt>
                <c:pt idx="874">
                  <c:v>13.984000000000011</c:v>
                </c:pt>
                <c:pt idx="875">
                  <c:v>14.000000000000011</c:v>
                </c:pt>
                <c:pt idx="876">
                  <c:v>14.016000000000011</c:v>
                </c:pt>
                <c:pt idx="877">
                  <c:v>14.032000000000011</c:v>
                </c:pt>
                <c:pt idx="878">
                  <c:v>14.048000000000011</c:v>
                </c:pt>
                <c:pt idx="879">
                  <c:v>14.064000000000011</c:v>
                </c:pt>
                <c:pt idx="880">
                  <c:v>14.080000000000011</c:v>
                </c:pt>
                <c:pt idx="881">
                  <c:v>14.096000000000011</c:v>
                </c:pt>
                <c:pt idx="882">
                  <c:v>14.112000000000011</c:v>
                </c:pt>
                <c:pt idx="883">
                  <c:v>14.128000000000011</c:v>
                </c:pt>
                <c:pt idx="884">
                  <c:v>14.144000000000011</c:v>
                </c:pt>
                <c:pt idx="885">
                  <c:v>14.160000000000011</c:v>
                </c:pt>
                <c:pt idx="886">
                  <c:v>14.176000000000011</c:v>
                </c:pt>
                <c:pt idx="887">
                  <c:v>14.192000000000011</c:v>
                </c:pt>
                <c:pt idx="888">
                  <c:v>14.208000000000011</c:v>
                </c:pt>
                <c:pt idx="889">
                  <c:v>14.224000000000011</c:v>
                </c:pt>
                <c:pt idx="890">
                  <c:v>14.240000000000011</c:v>
                </c:pt>
                <c:pt idx="891">
                  <c:v>14.256000000000011</c:v>
                </c:pt>
                <c:pt idx="892">
                  <c:v>14.272000000000011</c:v>
                </c:pt>
                <c:pt idx="893">
                  <c:v>14.288000000000011</c:v>
                </c:pt>
                <c:pt idx="894">
                  <c:v>14.304000000000011</c:v>
                </c:pt>
                <c:pt idx="895">
                  <c:v>14.320000000000011</c:v>
                </c:pt>
                <c:pt idx="896">
                  <c:v>14.336000000000011</c:v>
                </c:pt>
                <c:pt idx="897">
                  <c:v>14.352000000000011</c:v>
                </c:pt>
                <c:pt idx="898">
                  <c:v>14.368000000000011</c:v>
                </c:pt>
                <c:pt idx="899">
                  <c:v>14.384000000000011</c:v>
                </c:pt>
                <c:pt idx="900">
                  <c:v>14.400000000000011</c:v>
                </c:pt>
                <c:pt idx="901">
                  <c:v>14.416000000000011</c:v>
                </c:pt>
                <c:pt idx="902">
                  <c:v>14.432000000000011</c:v>
                </c:pt>
                <c:pt idx="903">
                  <c:v>14.448000000000011</c:v>
                </c:pt>
                <c:pt idx="904">
                  <c:v>14.464000000000011</c:v>
                </c:pt>
                <c:pt idx="905">
                  <c:v>14.480000000000011</c:v>
                </c:pt>
                <c:pt idx="906">
                  <c:v>14.496000000000011</c:v>
                </c:pt>
                <c:pt idx="907">
                  <c:v>14.512000000000011</c:v>
                </c:pt>
                <c:pt idx="908">
                  <c:v>14.528000000000011</c:v>
                </c:pt>
                <c:pt idx="909">
                  <c:v>14.544000000000011</c:v>
                </c:pt>
                <c:pt idx="910">
                  <c:v>14.560000000000011</c:v>
                </c:pt>
                <c:pt idx="911">
                  <c:v>14.576000000000011</c:v>
                </c:pt>
                <c:pt idx="912">
                  <c:v>14.592000000000011</c:v>
                </c:pt>
                <c:pt idx="913">
                  <c:v>14.608000000000011</c:v>
                </c:pt>
                <c:pt idx="914">
                  <c:v>14.624000000000011</c:v>
                </c:pt>
                <c:pt idx="915">
                  <c:v>14.640000000000011</c:v>
                </c:pt>
                <c:pt idx="916">
                  <c:v>14.656000000000011</c:v>
                </c:pt>
                <c:pt idx="917">
                  <c:v>14.672000000000011</c:v>
                </c:pt>
                <c:pt idx="918">
                  <c:v>14.688000000000011</c:v>
                </c:pt>
                <c:pt idx="919">
                  <c:v>14.704000000000011</c:v>
                </c:pt>
                <c:pt idx="920">
                  <c:v>14.720000000000011</c:v>
                </c:pt>
                <c:pt idx="921">
                  <c:v>14.736000000000011</c:v>
                </c:pt>
                <c:pt idx="922">
                  <c:v>14.752000000000011</c:v>
                </c:pt>
                <c:pt idx="923">
                  <c:v>14.768000000000011</c:v>
                </c:pt>
                <c:pt idx="924">
                  <c:v>14.784000000000011</c:v>
                </c:pt>
                <c:pt idx="925">
                  <c:v>14.800000000000011</c:v>
                </c:pt>
                <c:pt idx="926">
                  <c:v>14.816000000000011</c:v>
                </c:pt>
                <c:pt idx="927">
                  <c:v>14.832000000000011</c:v>
                </c:pt>
                <c:pt idx="928">
                  <c:v>14.848000000000011</c:v>
                </c:pt>
                <c:pt idx="929">
                  <c:v>14.864000000000011</c:v>
                </c:pt>
                <c:pt idx="930">
                  <c:v>14.880000000000011</c:v>
                </c:pt>
                <c:pt idx="931">
                  <c:v>14.896000000000011</c:v>
                </c:pt>
                <c:pt idx="932">
                  <c:v>14.912000000000011</c:v>
                </c:pt>
                <c:pt idx="933">
                  <c:v>14.928000000000011</c:v>
                </c:pt>
                <c:pt idx="934">
                  <c:v>14.944000000000011</c:v>
                </c:pt>
                <c:pt idx="935">
                  <c:v>14.960000000000012</c:v>
                </c:pt>
                <c:pt idx="936">
                  <c:v>14.976000000000012</c:v>
                </c:pt>
                <c:pt idx="937">
                  <c:v>14.992000000000012</c:v>
                </c:pt>
                <c:pt idx="938">
                  <c:v>15.008000000000012</c:v>
                </c:pt>
                <c:pt idx="939">
                  <c:v>15.024000000000012</c:v>
                </c:pt>
                <c:pt idx="940">
                  <c:v>15.040000000000012</c:v>
                </c:pt>
                <c:pt idx="941">
                  <c:v>15.056000000000012</c:v>
                </c:pt>
                <c:pt idx="942">
                  <c:v>15.072000000000012</c:v>
                </c:pt>
                <c:pt idx="943">
                  <c:v>15.088000000000012</c:v>
                </c:pt>
                <c:pt idx="944">
                  <c:v>15.104000000000012</c:v>
                </c:pt>
                <c:pt idx="945">
                  <c:v>15.120000000000012</c:v>
                </c:pt>
                <c:pt idx="946">
                  <c:v>15.136000000000012</c:v>
                </c:pt>
                <c:pt idx="947">
                  <c:v>15.152000000000012</c:v>
                </c:pt>
                <c:pt idx="948">
                  <c:v>15.168000000000012</c:v>
                </c:pt>
                <c:pt idx="949">
                  <c:v>15.184000000000012</c:v>
                </c:pt>
                <c:pt idx="950">
                  <c:v>15.200000000000012</c:v>
                </c:pt>
                <c:pt idx="951">
                  <c:v>15.216000000000012</c:v>
                </c:pt>
                <c:pt idx="952">
                  <c:v>15.232000000000012</c:v>
                </c:pt>
                <c:pt idx="953">
                  <c:v>15.248000000000012</c:v>
                </c:pt>
                <c:pt idx="954">
                  <c:v>15.264000000000012</c:v>
                </c:pt>
                <c:pt idx="955">
                  <c:v>15.280000000000012</c:v>
                </c:pt>
                <c:pt idx="956">
                  <c:v>15.296000000000012</c:v>
                </c:pt>
                <c:pt idx="957">
                  <c:v>15.312000000000012</c:v>
                </c:pt>
                <c:pt idx="958">
                  <c:v>15.328000000000012</c:v>
                </c:pt>
                <c:pt idx="959">
                  <c:v>15.344000000000012</c:v>
                </c:pt>
                <c:pt idx="960">
                  <c:v>15.360000000000012</c:v>
                </c:pt>
                <c:pt idx="961">
                  <c:v>15.376000000000012</c:v>
                </c:pt>
                <c:pt idx="962">
                  <c:v>15.392000000000012</c:v>
                </c:pt>
                <c:pt idx="963">
                  <c:v>15.408000000000012</c:v>
                </c:pt>
                <c:pt idx="964">
                  <c:v>15.424000000000012</c:v>
                </c:pt>
                <c:pt idx="965">
                  <c:v>15.440000000000012</c:v>
                </c:pt>
                <c:pt idx="966">
                  <c:v>15.456000000000012</c:v>
                </c:pt>
                <c:pt idx="967">
                  <c:v>15.472000000000012</c:v>
                </c:pt>
                <c:pt idx="968">
                  <c:v>15.488000000000012</c:v>
                </c:pt>
                <c:pt idx="969">
                  <c:v>15.504000000000012</c:v>
                </c:pt>
                <c:pt idx="970">
                  <c:v>15.520000000000012</c:v>
                </c:pt>
                <c:pt idx="971">
                  <c:v>15.536000000000012</c:v>
                </c:pt>
                <c:pt idx="972">
                  <c:v>15.552000000000012</c:v>
                </c:pt>
                <c:pt idx="973">
                  <c:v>15.568000000000012</c:v>
                </c:pt>
                <c:pt idx="974">
                  <c:v>15.584000000000012</c:v>
                </c:pt>
                <c:pt idx="975">
                  <c:v>15.600000000000012</c:v>
                </c:pt>
                <c:pt idx="976">
                  <c:v>15.616000000000012</c:v>
                </c:pt>
                <c:pt idx="977">
                  <c:v>15.632000000000012</c:v>
                </c:pt>
                <c:pt idx="978">
                  <c:v>15.648000000000012</c:v>
                </c:pt>
                <c:pt idx="979">
                  <c:v>15.664000000000012</c:v>
                </c:pt>
                <c:pt idx="980">
                  <c:v>15.680000000000012</c:v>
                </c:pt>
                <c:pt idx="981">
                  <c:v>15.696000000000012</c:v>
                </c:pt>
                <c:pt idx="982">
                  <c:v>15.712000000000012</c:v>
                </c:pt>
                <c:pt idx="983">
                  <c:v>15.728000000000012</c:v>
                </c:pt>
                <c:pt idx="984">
                  <c:v>15.744000000000012</c:v>
                </c:pt>
                <c:pt idx="985">
                  <c:v>15.760000000000012</c:v>
                </c:pt>
                <c:pt idx="986">
                  <c:v>15.776000000000012</c:v>
                </c:pt>
                <c:pt idx="987">
                  <c:v>15.792000000000012</c:v>
                </c:pt>
                <c:pt idx="988">
                  <c:v>15.808000000000012</c:v>
                </c:pt>
                <c:pt idx="989">
                  <c:v>15.824000000000012</c:v>
                </c:pt>
                <c:pt idx="990">
                  <c:v>15.840000000000012</c:v>
                </c:pt>
                <c:pt idx="991">
                  <c:v>15.856000000000012</c:v>
                </c:pt>
                <c:pt idx="992">
                  <c:v>15.872000000000012</c:v>
                </c:pt>
                <c:pt idx="993">
                  <c:v>15.888000000000012</c:v>
                </c:pt>
                <c:pt idx="994">
                  <c:v>15.904000000000012</c:v>
                </c:pt>
                <c:pt idx="995">
                  <c:v>15.920000000000012</c:v>
                </c:pt>
                <c:pt idx="996">
                  <c:v>15.936000000000012</c:v>
                </c:pt>
                <c:pt idx="997">
                  <c:v>15.952000000000012</c:v>
                </c:pt>
                <c:pt idx="998">
                  <c:v>15.968000000000012</c:v>
                </c:pt>
                <c:pt idx="999">
                  <c:v>15.984000000000012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5.0060559744146423E-2</c:v>
                </c:pt>
                <c:pt idx="1">
                  <c:v>5.0060559744146423E-2</c:v>
                </c:pt>
                <c:pt idx="2">
                  <c:v>7.0232211403017164E-2</c:v>
                </c:pt>
                <c:pt idx="3">
                  <c:v>8.533115360043822E-2</c:v>
                </c:pt>
                <c:pt idx="4">
                  <c:v>9.774681820138445E-2</c:v>
                </c:pt>
                <c:pt idx="5">
                  <c:v>0.10841347871048637</c:v>
                </c:pt>
                <c:pt idx="6">
                  <c:v>0.11781471776790522</c:v>
                </c:pt>
                <c:pt idx="7">
                  <c:v>0.12624046517460152</c:v>
                </c:pt>
                <c:pt idx="8">
                  <c:v>0.13388138725877138</c:v>
                </c:pt>
                <c:pt idx="9">
                  <c:v>0.14087116595794844</c:v>
                </c:pt>
                <c:pt idx="10">
                  <c:v>0.14730805612132938</c:v>
                </c:pt>
                <c:pt idx="11">
                  <c:v>0.15326693950372319</c:v>
                </c:pt>
                <c:pt idx="12">
                  <c:v>0.1588065496008387</c:v>
                </c:pt>
                <c:pt idx="13">
                  <c:v>0.16397404385755371</c:v>
                </c:pt>
                <c:pt idx="14">
                  <c:v>0.16880802663961955</c:v>
                </c:pt>
                <c:pt idx="15">
                  <c:v>0.17334062129521516</c:v>
                </c:pt>
                <c:pt idx="16">
                  <c:v>0.17759893404233479</c:v>
                </c:pt>
                <c:pt idx="17">
                  <c:v>0.18160611516828212</c:v>
                </c:pt>
                <c:pt idx="18">
                  <c:v>0.18538214558323712</c:v>
                </c:pt>
                <c:pt idx="19">
                  <c:v>0.18894443119537252</c:v>
                </c:pt>
                <c:pt idx="20">
                  <c:v>0.19230825976786159</c:v>
                </c:pt>
                <c:pt idx="21">
                  <c:v>0.19548715740956371</c:v>
                </c:pt>
                <c:pt idx="22">
                  <c:v>0.19849317051819093</c:v>
                </c:pt>
                <c:pt idx="23">
                  <c:v>0.20133709147737824</c:v>
                </c:pt>
                <c:pt idx="24">
                  <c:v>0.2040286413125646</c:v>
                </c:pt>
                <c:pt idx="25">
                  <c:v>0.20657661898691132</c:v>
                </c:pt>
                <c:pt idx="26">
                  <c:v>0.20898902453870699</c:v>
                </c:pt>
                <c:pt idx="27">
                  <c:v>0.21127316148828126</c:v>
                </c:pt>
                <c:pt idx="28">
                  <c:v>0.213435722655449</c:v>
                </c:pt>
                <c:pt idx="29">
                  <c:v>0.21548286258186183</c:v>
                </c:pt>
                <c:pt idx="30">
                  <c:v>0.2174202590477157</c:v>
                </c:pt>
                <c:pt idx="31">
                  <c:v>0.21925316564130073</c:v>
                </c:pt>
                <c:pt idx="32">
                  <c:v>0.22098645693571781</c:v>
                </c:pt>
                <c:pt idx="33">
                  <c:v>0.22262466751642293</c:v>
                </c:pt>
                <c:pt idx="34">
                  <c:v>0.22417202586226384</c:v>
                </c:pt>
                <c:pt idx="35">
                  <c:v>0.22563248389414692</c:v>
                </c:pt>
                <c:pt idx="36">
                  <c:v>0.22700974285679318</c:v>
                </c:pt>
                <c:pt idx="37">
                  <c:v>0.22830727608092613</c:v>
                </c:pt>
                <c:pt idx="38">
                  <c:v>0.22952834907872927</c:v>
                </c:pt>
                <c:pt idx="39">
                  <c:v>0.23067603734930459</c:v>
                </c:pt>
                <c:pt idx="40">
                  <c:v>0.23175324220918617</c:v>
                </c:pt>
                <c:pt idx="41">
                  <c:v>0.2327627049126873</c:v>
                </c:pt>
                <c:pt idx="42">
                  <c:v>0.23370701928564969</c:v>
                </c:pt>
                <c:pt idx="43">
                  <c:v>0.23458864306220664</c:v>
                </c:pt>
                <c:pt idx="44">
                  <c:v>0.2354099080860492</c:v>
                </c:pt>
                <c:pt idx="45">
                  <c:v>0.2361730295142862</c:v>
                </c:pt>
                <c:pt idx="46">
                  <c:v>0.23688011414243162</c:v>
                </c:pt>
                <c:pt idx="47">
                  <c:v>0.23753316795263416</c:v>
                </c:pt>
                <c:pt idx="48">
                  <c:v>0.2381341029734263</c:v>
                </c:pt>
                <c:pt idx="49">
                  <c:v>0.23868474352756211</c:v>
                </c:pt>
                <c:pt idx="50">
                  <c:v>0.23918683193456394</c:v>
                </c:pt>
                <c:pt idx="51">
                  <c:v>0.23964203372612469</c:v>
                </c:pt>
                <c:pt idx="52">
                  <c:v>0.24005194242525696</c:v>
                </c:pt>
                <c:pt idx="53">
                  <c:v>0.24041808393386127</c:v>
                </c:pt>
                <c:pt idx="54">
                  <c:v>0.24074192056802651</c:v>
                </c:pt>
                <c:pt idx="55">
                  <c:v>0.24102485477575131</c:v>
                </c:pt>
                <c:pt idx="56">
                  <c:v>0.24126823256776941</c:v>
                </c:pt>
                <c:pt idx="57">
                  <c:v>0.2414733466886842</c:v>
                </c:pt>
                <c:pt idx="58">
                  <c:v>0.24164143955258802</c:v>
                </c:pt>
                <c:pt idx="59">
                  <c:v>0.24177370596469874</c:v>
                </c:pt>
                <c:pt idx="60">
                  <c:v>0.24187129564823129</c:v>
                </c:pt>
                <c:pt idx="61">
                  <c:v>0.24193531559369236</c:v>
                </c:pt>
                <c:pt idx="62">
                  <c:v>0.24196683224600063</c:v>
                </c:pt>
                <c:pt idx="63">
                  <c:v>0.24196687354326268</c:v>
                </c:pt>
                <c:pt idx="64">
                  <c:v>0.24193643081964356</c:v>
                </c:pt>
                <c:pt idx="65">
                  <c:v>0.24187646058354284</c:v>
                </c:pt>
                <c:pt idx="66">
                  <c:v>0.24178788618119576</c:v>
                </c:pt>
                <c:pt idx="67">
                  <c:v>0.24167159935484786</c:v>
                </c:pt>
                <c:pt idx="68">
                  <c:v>0.24152846170379236</c:v>
                </c:pt>
                <c:pt idx="69">
                  <c:v>0.24135930605578565</c:v>
                </c:pt>
                <c:pt idx="70">
                  <c:v>0.24116493775567155</c:v>
                </c:pt>
                <c:pt idx="71">
                  <c:v>0.24094613587742797</c:v>
                </c:pt>
                <c:pt idx="72">
                  <c:v>0.24070365436529717</c:v>
                </c:pt>
                <c:pt idx="73">
                  <c:v>0.24043822310916685</c:v>
                </c:pt>
                <c:pt idx="74">
                  <c:v>0.24015054895892113</c:v>
                </c:pt>
                <c:pt idx="75">
                  <c:v>0.23984131668207989</c:v>
                </c:pt>
                <c:pt idx="76">
                  <c:v>0.23951118986868361</c:v>
                </c:pt>
                <c:pt idx="77">
                  <c:v>0.23916081178705045</c:v>
                </c:pt>
                <c:pt idx="78">
                  <c:v>0.23879080619373869</c:v>
                </c:pt>
                <c:pt idx="79">
                  <c:v>0.23840177810077773</c:v>
                </c:pt>
                <c:pt idx="80">
                  <c:v>0.23799431450298753</c:v>
                </c:pt>
                <c:pt idx="81">
                  <c:v>0.23756898506798538</c:v>
                </c:pt>
                <c:pt idx="82">
                  <c:v>0.23712634279127642</c:v>
                </c:pt>
                <c:pt idx="83">
                  <c:v>0.23666692461864289</c:v>
                </c:pt>
                <c:pt idx="84">
                  <c:v>0.23619125203787755</c:v>
                </c:pt>
                <c:pt idx="85">
                  <c:v>0.23569983164175601</c:v>
                </c:pt>
                <c:pt idx="86">
                  <c:v>0.23519315566400248</c:v>
                </c:pt>
                <c:pt idx="87">
                  <c:v>0.2346717024898744</c:v>
                </c:pt>
                <c:pt idx="88">
                  <c:v>0.23413593714287737</c:v>
                </c:pt>
                <c:pt idx="89">
                  <c:v>0.23358631174901182</c:v>
                </c:pt>
                <c:pt idx="90">
                  <c:v>0.23302326597985545</c:v>
                </c:pt>
                <c:pt idx="91">
                  <c:v>0.23244722747569554</c:v>
                </c:pt>
                <c:pt idx="92">
                  <c:v>0.23185861224984047</c:v>
                </c:pt>
                <c:pt idx="93">
                  <c:v>0.2312578250751654</c:v>
                </c:pt>
                <c:pt idx="94">
                  <c:v>0.23064525985387346</c:v>
                </c:pt>
                <c:pt idx="95">
                  <c:v>0.23002129997139217</c:v>
                </c:pt>
                <c:pt idx="96">
                  <c:v>0.22938631863526082</c:v>
                </c:pt>
                <c:pt idx="97">
                  <c:v>0.22874067919981275</c:v>
                </c:pt>
                <c:pt idx="98">
                  <c:v>0.2280847354774016</c:v>
                </c:pt>
                <c:pt idx="99">
                  <c:v>0.22741883203687549</c:v>
                </c:pt>
                <c:pt idx="100">
                  <c:v>0.22674330448995822</c:v>
                </c:pt>
                <c:pt idx="101">
                  <c:v>0.22605847976615437</c:v>
                </c:pt>
                <c:pt idx="102">
                  <c:v>0.22536467637675978</c:v>
                </c:pt>
                <c:pt idx="103">
                  <c:v>0.22466220466852108</c:v>
                </c:pt>
                <c:pt idx="104">
                  <c:v>0.22395136706745694</c:v>
                </c:pt>
                <c:pt idx="105">
                  <c:v>0.22323245831332203</c:v>
                </c:pt>
                <c:pt idx="106">
                  <c:v>0.22250576568516786</c:v>
                </c:pt>
                <c:pt idx="107">
                  <c:v>0.22177156921842553</c:v>
                </c:pt>
                <c:pt idx="108">
                  <c:v>0.22103014191391424</c:v>
                </c:pt>
                <c:pt idx="109">
                  <c:v>0.22028174993915328</c:v>
                </c:pt>
                <c:pt idx="110">
                  <c:v>0.21952665282233597</c:v>
                </c:pt>
                <c:pt idx="111">
                  <c:v>0.21876510363930252</c:v>
                </c:pt>
                <c:pt idx="112">
                  <c:v>0.21799734919383085</c:v>
                </c:pt>
                <c:pt idx="113">
                  <c:v>0.21722363019154681</c:v>
                </c:pt>
                <c:pt idx="114">
                  <c:v>0.21644418140773844</c:v>
                </c:pt>
                <c:pt idx="115">
                  <c:v>0.21565923184934319</c:v>
                </c:pt>
                <c:pt idx="116">
                  <c:v>0.21486900491136485</c:v>
                </c:pt>
                <c:pt idx="117">
                  <c:v>0.21407371852795989</c:v>
                </c:pt>
                <c:pt idx="118">
                  <c:v>0.2132735853184228</c:v>
                </c:pt>
                <c:pt idx="119">
                  <c:v>0.21246881272828819</c:v>
                </c:pt>
                <c:pt idx="120">
                  <c:v>0.21165960316575411</c:v>
                </c:pt>
                <c:pt idx="121">
                  <c:v>0.21084615413362304</c:v>
                </c:pt>
                <c:pt idx="122">
                  <c:v>0.21002865835694526</c:v>
                </c:pt>
                <c:pt idx="123">
                  <c:v>0.20920730390654083</c:v>
                </c:pt>
                <c:pt idx="124">
                  <c:v>0.20838227431856807</c:v>
                </c:pt>
                <c:pt idx="125">
                  <c:v>0.20755374871029728</c:v>
                </c:pt>
                <c:pt idx="126">
                  <c:v>0.20672190189224046</c:v>
                </c:pt>
                <c:pt idx="127">
                  <c:v>0.20588690447678271</c:v>
                </c:pt>
                <c:pt idx="128">
                  <c:v>0.20504892298345032</c:v>
                </c:pt>
                <c:pt idx="129">
                  <c:v>0.20420811994094792</c:v>
                </c:pt>
                <c:pt idx="130">
                  <c:v>0.20336465398608838</c:v>
                </c:pt>
                <c:pt idx="131">
                  <c:v>0.20251867995973372</c:v>
                </c:pt>
                <c:pt idx="132">
                  <c:v>0.20167034899986086</c:v>
                </c:pt>
                <c:pt idx="133">
                  <c:v>0.20081980863185969</c:v>
                </c:pt>
                <c:pt idx="134">
                  <c:v>0.19996720285616665</c:v>
                </c:pt>
                <c:pt idx="135">
                  <c:v>0.19911267223333157</c:v>
                </c:pt>
                <c:pt idx="136">
                  <c:v>0.19825635396661306</c:v>
                </c:pt>
                <c:pt idx="137">
                  <c:v>0.19739838198219012</c:v>
                </c:pt>
                <c:pt idx="138">
                  <c:v>0.19653888700707794</c:v>
                </c:pt>
                <c:pt idx="139">
                  <c:v>0.19567799664482763</c:v>
                </c:pt>
                <c:pt idx="140">
                  <c:v>0.19481583544909103</c:v>
                </c:pt>
                <c:pt idx="141">
                  <c:v>0.19395252499512308</c:v>
                </c:pt>
                <c:pt idx="142">
                  <c:v>0.19308818394929453</c:v>
                </c:pt>
                <c:pt idx="143">
                  <c:v>0.1922229281366849</c:v>
                </c:pt>
                <c:pt idx="144">
                  <c:v>0.19135687060681975</c:v>
                </c:pt>
                <c:pt idx="145">
                  <c:v>0.19049012169761689</c:v>
                </c:pt>
                <c:pt idx="146">
                  <c:v>0.18962278909760108</c:v>
                </c:pt>
                <c:pt idx="147">
                  <c:v>0.18875497790644574</c:v>
                </c:pt>
                <c:pt idx="148">
                  <c:v>0.18788679069389749</c:v>
                </c:pt>
                <c:pt idx="149">
                  <c:v>0.18701832755713618</c:v>
                </c:pt>
                <c:pt idx="150">
                  <c:v>0.18614968617662289</c:v>
                </c:pt>
                <c:pt idx="151">
                  <c:v>0.18528096187048373</c:v>
                </c:pt>
                <c:pt idx="152">
                  <c:v>0.18441224764747777</c:v>
                </c:pt>
                <c:pt idx="153">
                  <c:v>0.18354363425859418</c:v>
                </c:pt>
                <c:pt idx="154">
                  <c:v>0.18267521024732178</c:v>
                </c:pt>
                <c:pt idx="155">
                  <c:v>0.18180706199863383</c:v>
                </c:pt>
                <c:pt idx="156">
                  <c:v>0.18093927378672744</c:v>
                </c:pt>
                <c:pt idx="157">
                  <c:v>0.18007192782155718</c:v>
                </c:pt>
                <c:pt idx="158">
                  <c:v>0.17920510429419939</c:v>
                </c:pt>
                <c:pt idx="159">
                  <c:v>0.17833888142108426</c:v>
                </c:pt>
                <c:pt idx="160">
                  <c:v>0.17747333548712885</c:v>
                </c:pt>
                <c:pt idx="161">
                  <c:v>0.17660854088780542</c:v>
                </c:pt>
                <c:pt idx="162">
                  <c:v>0.17574457017017653</c:v>
                </c:pt>
                <c:pt idx="163">
                  <c:v>0.17488149407292825</c:v>
                </c:pt>
                <c:pt idx="164">
                  <c:v>0.17401938156543076</c:v>
                </c:pt>
                <c:pt idx="165">
                  <c:v>0.17315829988585513</c:v>
                </c:pt>
                <c:pt idx="166">
                  <c:v>0.17229831457837447</c:v>
                </c:pt>
                <c:pt idx="167">
                  <c:v>0.17143948952947516</c:v>
                </c:pt>
                <c:pt idx="168">
                  <c:v>0.1705818870034049</c:v>
                </c:pt>
                <c:pt idx="169">
                  <c:v>0.16972556767678137</c:v>
                </c:pt>
                <c:pt idx="170">
                  <c:v>0.16887059067238658</c:v>
                </c:pt>
                <c:pt idx="171">
                  <c:v>0.16801701359216883</c:v>
                </c:pt>
                <c:pt idx="172">
                  <c:v>0.16716489254947589</c:v>
                </c:pt>
                <c:pt idx="173">
                  <c:v>0.16631428220053954</c:v>
                </c:pt>
                <c:pt idx="174">
                  <c:v>0.1654652357752335</c:v>
                </c:pt>
                <c:pt idx="175">
                  <c:v>0.16461780510712448</c:v>
                </c:pt>
                <c:pt idx="176">
                  <c:v>0.16377204066283524</c:v>
                </c:pt>
                <c:pt idx="177">
                  <c:v>0.16292799157073945</c:v>
                </c:pt>
                <c:pt idx="178">
                  <c:v>0.1620857056490056</c:v>
                </c:pt>
                <c:pt idx="179">
                  <c:v>0.16124522943300837</c:v>
                </c:pt>
                <c:pt idx="180">
                  <c:v>0.16040660820212341</c:v>
                </c:pt>
                <c:pt idx="181">
                  <c:v>0.15956988600592353</c:v>
                </c:pt>
                <c:pt idx="182">
                  <c:v>0.15873510568979024</c:v>
                </c:pt>
                <c:pt idx="183">
                  <c:v>0.15790230891995782</c:v>
                </c:pt>
                <c:pt idx="184">
                  <c:v>0.15707153620800376</c:v>
                </c:pt>
                <c:pt idx="185">
                  <c:v>0.15624282693480068</c:v>
                </c:pt>
                <c:pt idx="186">
                  <c:v>0.15541621937394293</c:v>
                </c:pt>
                <c:pt idx="187">
                  <c:v>0.15459175071466208</c:v>
                </c:pt>
                <c:pt idx="188">
                  <c:v>0.15376945708424442</c:v>
                </c:pt>
                <c:pt idx="189">
                  <c:v>0.15294937356996266</c:v>
                </c:pt>
                <c:pt idx="190">
                  <c:v>0.15213153424053463</c:v>
                </c:pt>
                <c:pt idx="191">
                  <c:v>0.1513159721671207</c:v>
                </c:pt>
                <c:pt idx="192">
                  <c:v>0.15050271944387164</c:v>
                </c:pt>
                <c:pt idx="193">
                  <c:v>0.14969180720803799</c:v>
                </c:pt>
                <c:pt idx="194">
                  <c:v>0.14888326565965213</c:v>
                </c:pt>
                <c:pt idx="195">
                  <c:v>0.1480771240807931</c:v>
                </c:pt>
                <c:pt idx="196">
                  <c:v>0.14727341085444523</c:v>
                </c:pt>
                <c:pt idx="197">
                  <c:v>0.14647215348295928</c:v>
                </c:pt>
                <c:pt idx="198">
                  <c:v>0.14567337860612756</c:v>
                </c:pt>
                <c:pt idx="199">
                  <c:v>0.14487711201888037</c:v>
                </c:pt>
                <c:pt idx="200">
                  <c:v>0.14408337868861459</c:v>
                </c:pt>
                <c:pt idx="201">
                  <c:v>0.14329220277216204</c:v>
                </c:pt>
                <c:pt idx="202">
                  <c:v>0.14250360763240702</c:v>
                </c:pt>
                <c:pt idx="203">
                  <c:v>0.14171761585456097</c:v>
                </c:pt>
                <c:pt idx="204">
                  <c:v>0.14093424926210232</c:v>
                </c:pt>
                <c:pt idx="205">
                  <c:v>0.14015352893238964</c:v>
                </c:pt>
                <c:pt idx="206">
                  <c:v>0.13937547521195551</c:v>
                </c:pt>
                <c:pt idx="207">
                  <c:v>0.1386001077314889</c:v>
                </c:pt>
                <c:pt idx="208">
                  <c:v>0.13782744542051278</c:v>
                </c:pt>
                <c:pt idx="209">
                  <c:v>0.13705750652176443</c:v>
                </c:pt>
                <c:pt idx="210">
                  <c:v>0.13629030860528521</c:v>
                </c:pt>
                <c:pt idx="211">
                  <c:v>0.13552586858222612</c:v>
                </c:pt>
                <c:pt idx="212">
                  <c:v>0.13476420271837602</c:v>
                </c:pt>
                <c:pt idx="213">
                  <c:v>0.13400532664741893</c:v>
                </c:pt>
                <c:pt idx="214">
                  <c:v>0.1332492553839256</c:v>
                </c:pt>
                <c:pt idx="215">
                  <c:v>0.13249600333608674</c:v>
                </c:pt>
                <c:pt idx="216">
                  <c:v>0.13174558431819242</c:v>
                </c:pt>
                <c:pt idx="217">
                  <c:v>0.130998011562864</c:v>
                </c:pt>
                <c:pt idx="218">
                  <c:v>0.13025329773304398</c:v>
                </c:pt>
                <c:pt idx="219">
                  <c:v>0.12951145493374894</c:v>
                </c:pt>
                <c:pt idx="220">
                  <c:v>0.12877249472359104</c:v>
                </c:pt>
                <c:pt idx="221">
                  <c:v>0.12803642812607294</c:v>
                </c:pt>
                <c:pt idx="222">
                  <c:v>0.12730326564066113</c:v>
                </c:pt>
                <c:pt idx="223">
                  <c:v>0.12657301725364276</c:v>
                </c:pt>
                <c:pt idx="224">
                  <c:v>0.12584569244877009</c:v>
                </c:pt>
                <c:pt idx="225">
                  <c:v>0.12512130021769796</c:v>
                </c:pt>
                <c:pt idx="226">
                  <c:v>0.12439984907021787</c:v>
                </c:pt>
                <c:pt idx="227">
                  <c:v>0.12368134704429352</c:v>
                </c:pt>
                <c:pt idx="228">
                  <c:v>0.12296580171590235</c:v>
                </c:pt>
                <c:pt idx="229">
                  <c:v>0.12225322020868616</c:v>
                </c:pt>
                <c:pt idx="230">
                  <c:v>0.12154360920341604</c:v>
                </c:pt>
                <c:pt idx="231">
                  <c:v>0.12083697494727477</c:v>
                </c:pt>
                <c:pt idx="232">
                  <c:v>0.12013332326296099</c:v>
                </c:pt>
                <c:pt idx="233">
                  <c:v>0.11943265955761811</c:v>
                </c:pt>
                <c:pt idx="234">
                  <c:v>0.11873498883159299</c:v>
                </c:pt>
                <c:pt idx="235">
                  <c:v>0.11804031568702623</c:v>
                </c:pt>
                <c:pt idx="236">
                  <c:v>0.11734864433627913</c:v>
                </c:pt>
                <c:pt idx="237">
                  <c:v>0.11665997861019962</c:v>
                </c:pt>
                <c:pt idx="238">
                  <c:v>0.11597432196623093</c:v>
                </c:pt>
                <c:pt idx="239">
                  <c:v>0.11529167749636632</c:v>
                </c:pt>
                <c:pt idx="240">
                  <c:v>0.11461204793495246</c:v>
                </c:pt>
                <c:pt idx="241">
                  <c:v>0.11393543566634549</c:v>
                </c:pt>
                <c:pt idx="242">
                  <c:v>0.11326184273242172</c:v>
                </c:pt>
                <c:pt idx="243">
                  <c:v>0.11259127083994677</c:v>
                </c:pt>
                <c:pt idx="244">
                  <c:v>0.11192372136780519</c:v>
                </c:pt>
                <c:pt idx="245">
                  <c:v>0.11125919537409444</c:v>
                </c:pt>
                <c:pt idx="246">
                  <c:v>0.11059769360308468</c:v>
                </c:pt>
                <c:pt idx="247">
                  <c:v>0.10993921649204826</c:v>
                </c:pt>
                <c:pt idx="248">
                  <c:v>0.10928376417796046</c:v>
                </c:pt>
                <c:pt idx="249">
                  <c:v>0.10863133650407503</c:v>
                </c:pt>
                <c:pt idx="250">
                  <c:v>0.10798193302637606</c:v>
                </c:pt>
                <c:pt idx="251">
                  <c:v>0.10733555301990926</c:v>
                </c:pt>
                <c:pt idx="252">
                  <c:v>0.1066921954849952</c:v>
                </c:pt>
                <c:pt idx="253">
                  <c:v>0.10605185915332568</c:v>
                </c:pt>
                <c:pt idx="254">
                  <c:v>0.10541454249394712</c:v>
                </c:pt>
                <c:pt idx="255">
                  <c:v>0.1047802437191319</c:v>
                </c:pt>
                <c:pt idx="256">
                  <c:v>0.10414896079014047</c:v>
                </c:pt>
                <c:pt idx="257">
                  <c:v>0.10352069142287616</c:v>
                </c:pt>
                <c:pt idx="258">
                  <c:v>0.10289543309343481</c:v>
                </c:pt>
                <c:pt idx="259">
                  <c:v>0.10227318304355126</c:v>
                </c:pt>
                <c:pt idx="260">
                  <c:v>0.1016539382859446</c:v>
                </c:pt>
                <c:pt idx="261">
                  <c:v>0.10103769560956427</c:v>
                </c:pt>
                <c:pt idx="262">
                  <c:v>0.10042445158473888</c:v>
                </c:pt>
                <c:pt idx="263">
                  <c:v>9.9814202568229454E-2</c:v>
                </c:pt>
                <c:pt idx="264">
                  <c:v>9.9206944708188999E-2</c:v>
                </c:pt>
                <c:pt idx="265">
                  <c:v>9.8602673949030537E-2</c:v>
                </c:pt>
                <c:pt idx="266">
                  <c:v>9.8001386036204632E-2</c:v>
                </c:pt>
                <c:pt idx="267">
                  <c:v>9.7403076520888671E-2</c:v>
                </c:pt>
                <c:pt idx="268">
                  <c:v>9.6807740764589617E-2</c:v>
                </c:pt>
                <c:pt idx="269">
                  <c:v>9.621537394366117E-2</c:v>
                </c:pt>
                <c:pt idx="270">
                  <c:v>9.5625971053738074E-2</c:v>
                </c:pt>
                <c:pt idx="271">
                  <c:v>9.5039526914087846E-2</c:v>
                </c:pt>
                <c:pt idx="272">
                  <c:v>9.4456036171882599E-2</c:v>
                </c:pt>
                <c:pt idx="273">
                  <c:v>9.3875493306391708E-2</c:v>
                </c:pt>
                <c:pt idx="274">
                  <c:v>9.329789263309711E-2</c:v>
                </c:pt>
                <c:pt idx="275">
                  <c:v>9.2723228307732719E-2</c:v>
                </c:pt>
                <c:pt idx="276">
                  <c:v>9.2151494330249065E-2</c:v>
                </c:pt>
                <c:pt idx="277">
                  <c:v>9.1582684548704926E-2</c:v>
                </c:pt>
                <c:pt idx="278">
                  <c:v>9.1016792663087071E-2</c:v>
                </c:pt>
                <c:pt idx="279">
                  <c:v>9.0453812229059266E-2</c:v>
                </c:pt>
                <c:pt idx="280">
                  <c:v>8.9893736661642618E-2</c:v>
                </c:pt>
                <c:pt idx="281">
                  <c:v>8.9336559238827162E-2</c:v>
                </c:pt>
                <c:pt idx="282">
                  <c:v>8.8782273105117618E-2</c:v>
                </c:pt>
                <c:pt idx="283">
                  <c:v>8.8230871275012931E-2</c:v>
                </c:pt>
                <c:pt idx="284">
                  <c:v>8.7682346636421951E-2</c:v>
                </c:pt>
                <c:pt idx="285">
                  <c:v>8.713669195401591E-2</c:v>
                </c:pt>
                <c:pt idx="286">
                  <c:v>8.6593899872518823E-2</c:v>
                </c:pt>
                <c:pt idx="287">
                  <c:v>8.6053962919937277E-2</c:v>
                </c:pt>
                <c:pt idx="288">
                  <c:v>8.5516873510730118E-2</c:v>
                </c:pt>
                <c:pt idx="289">
                  <c:v>8.498262394891988E-2</c:v>
                </c:pt>
                <c:pt idx="290">
                  <c:v>8.4451206431146383E-2</c:v>
                </c:pt>
                <c:pt idx="291">
                  <c:v>8.3922613049663766E-2</c:v>
                </c:pt>
                <c:pt idx="292">
                  <c:v>8.3396835795282134E-2</c:v>
                </c:pt>
                <c:pt idx="293">
                  <c:v>8.2873866560254514E-2</c:v>
                </c:pt>
                <c:pt idx="294">
                  <c:v>8.2353697141110252E-2</c:v>
                </c:pt>
                <c:pt idx="295">
                  <c:v>8.1836319241435987E-2</c:v>
                </c:pt>
                <c:pt idx="296">
                  <c:v>8.1321724474604742E-2</c:v>
                </c:pt>
                <c:pt idx="297">
                  <c:v>8.0809904366454355E-2</c:v>
                </c:pt>
                <c:pt idx="298">
                  <c:v>8.030085035791612E-2</c:v>
                </c:pt>
                <c:pt idx="299">
                  <c:v>7.9794553807594454E-2</c:v>
                </c:pt>
                <c:pt idx="300">
                  <c:v>7.9291005994298447E-2</c:v>
                </c:pt>
                <c:pt idx="301">
                  <c:v>7.8790198119526228E-2</c:v>
                </c:pt>
                <c:pt idx="302">
                  <c:v>7.8292121309902929E-2</c:v>
                </c:pt>
                <c:pt idx="303">
                  <c:v>7.7796766619573104E-2</c:v>
                </c:pt>
                <c:pt idx="304">
                  <c:v>7.7304125032548424E-2</c:v>
                </c:pt>
                <c:pt idx="305">
                  <c:v>7.6814187465011216E-2</c:v>
                </c:pt>
                <c:pt idx="306">
                  <c:v>7.6326944767575108E-2</c:v>
                </c:pt>
                <c:pt idx="307">
                  <c:v>7.5842387727502958E-2</c:v>
                </c:pt>
                <c:pt idx="308">
                  <c:v>7.5360507070883306E-2</c:v>
                </c:pt>
                <c:pt idx="309">
                  <c:v>7.4881293464765727E-2</c:v>
                </c:pt>
                <c:pt idx="310">
                  <c:v>7.4404737519256067E-2</c:v>
                </c:pt>
                <c:pt idx="311">
                  <c:v>7.3930829789571995E-2</c:v>
                </c:pt>
                <c:pt idx="312">
                  <c:v>7.3459560778059929E-2</c:v>
                </c:pt>
                <c:pt idx="313">
                  <c:v>7.2990920936173626E-2</c:v>
                </c:pt>
                <c:pt idx="314">
                  <c:v>7.2524900666415301E-2</c:v>
                </c:pt>
                <c:pt idx="315">
                  <c:v>7.2061490324240113E-2</c:v>
                </c:pt>
                <c:pt idx="316">
                  <c:v>7.1600680219924051E-2</c:v>
                </c:pt>
                <c:pt idx="317">
                  <c:v>7.1142460620396725E-2</c:v>
                </c:pt>
                <c:pt idx="318">
                  <c:v>7.0686821751038867E-2</c:v>
                </c:pt>
                <c:pt idx="319">
                  <c:v>7.0233753797445661E-2</c:v>
                </c:pt>
                <c:pt idx="320">
                  <c:v>6.9783246907156204E-2</c:v>
                </c:pt>
                <c:pt idx="321">
                  <c:v>6.933529119135004E-2</c:v>
                </c:pt>
                <c:pt idx="322">
                  <c:v>6.8889876726510785E-2</c:v>
                </c:pt>
                <c:pt idx="323">
                  <c:v>6.8446993556058086E-2</c:v>
                </c:pt>
                <c:pt idx="324">
                  <c:v>6.8006631691947803E-2</c:v>
                </c:pt>
                <c:pt idx="325">
                  <c:v>6.7568781116241525E-2</c:v>
                </c:pt>
                <c:pt idx="326">
                  <c:v>6.7133431782645511E-2</c:v>
                </c:pt>
                <c:pt idx="327">
                  <c:v>6.6700573618019898E-2</c:v>
                </c:pt>
                <c:pt idx="328">
                  <c:v>6.6270196523858543E-2</c:v>
                </c:pt>
                <c:pt idx="329">
                  <c:v>6.584229037773992E-2</c:v>
                </c:pt>
                <c:pt idx="330">
                  <c:v>6.5416845034749843E-2</c:v>
                </c:pt>
                <c:pt idx="331">
                  <c:v>6.4993850328876224E-2</c:v>
                </c:pt>
                <c:pt idx="332">
                  <c:v>6.4573296074376479E-2</c:v>
                </c:pt>
                <c:pt idx="333">
                  <c:v>6.4155172067118058E-2</c:v>
                </c:pt>
                <c:pt idx="334">
                  <c:v>6.3739468085892509E-2</c:v>
                </c:pt>
                <c:pt idx="335">
                  <c:v>6.3326173893703569E-2</c:v>
                </c:pt>
                <c:pt idx="336">
                  <c:v>6.2915279239029676E-2</c:v>
                </c:pt>
                <c:pt idx="337">
                  <c:v>6.2506773857061493E-2</c:v>
                </c:pt>
                <c:pt idx="338">
                  <c:v>6.2100647470914587E-2</c:v>
                </c:pt>
                <c:pt idx="339">
                  <c:v>6.1696889792818017E-2</c:v>
                </c:pt>
                <c:pt idx="340">
                  <c:v>6.1295490525279071E-2</c:v>
                </c:pt>
                <c:pt idx="341">
                  <c:v>6.0896439362224386E-2</c:v>
                </c:pt>
                <c:pt idx="342">
                  <c:v>6.0499725990118436E-2</c:v>
                </c:pt>
                <c:pt idx="343">
                  <c:v>6.0105340089058872E-2</c:v>
                </c:pt>
                <c:pt idx="344">
                  <c:v>5.9713271333850182E-2</c:v>
                </c:pt>
                <c:pt idx="345">
                  <c:v>5.9323509395055013E-2</c:v>
                </c:pt>
                <c:pt idx="346">
                  <c:v>5.8936043940024323E-2</c:v>
                </c:pt>
                <c:pt idx="347">
                  <c:v>5.8550864633906269E-2</c:v>
                </c:pt>
                <c:pt idx="348">
                  <c:v>5.8167961140634328E-2</c:v>
                </c:pt>
                <c:pt idx="349">
                  <c:v>5.7787323123895132E-2</c:v>
                </c:pt>
                <c:pt idx="350">
                  <c:v>5.7408940248076114E-2</c:v>
                </c:pt>
                <c:pt idx="351">
                  <c:v>5.703280217919357E-2</c:v>
                </c:pt>
                <c:pt idx="352">
                  <c:v>5.6658898585801226E-2</c:v>
                </c:pt>
                <c:pt idx="353">
                  <c:v>5.628721913987985E-2</c:v>
                </c:pt>
                <c:pt idx="354">
                  <c:v>5.5917753517708113E-2</c:v>
                </c:pt>
                <c:pt idx="355">
                  <c:v>5.5550491400715031E-2</c:v>
                </c:pt>
                <c:pt idx="356">
                  <c:v>5.5185422476314451E-2</c:v>
                </c:pt>
                <c:pt idx="357">
                  <c:v>5.4822536438721495E-2</c:v>
                </c:pt>
                <c:pt idx="358">
                  <c:v>5.4461822989751871E-2</c:v>
                </c:pt>
                <c:pt idx="359">
                  <c:v>5.4103271839603749E-2</c:v>
                </c:pt>
                <c:pt idx="360">
                  <c:v>5.3746872707622878E-2</c:v>
                </c:pt>
                <c:pt idx="361">
                  <c:v>5.3392615323051118E-2</c:v>
                </c:pt>
                <c:pt idx="362">
                  <c:v>5.3040489425758598E-2</c:v>
                </c:pt>
                <c:pt idx="363">
                  <c:v>5.2690484766959915E-2</c:v>
                </c:pt>
                <c:pt idx="364">
                  <c:v>5.2342591109914571E-2</c:v>
                </c:pt>
                <c:pt idx="365">
                  <c:v>5.1996798230611881E-2</c:v>
                </c:pt>
                <c:pt idx="366">
                  <c:v>5.1653095918440702E-2</c:v>
                </c:pt>
                <c:pt idx="367">
                  <c:v>5.131147397684422E-2</c:v>
                </c:pt>
                <c:pt idx="368">
                  <c:v>5.0971922223960006E-2</c:v>
                </c:pt>
                <c:pt idx="369">
                  <c:v>5.0634430493245605E-2</c:v>
                </c:pt>
                <c:pt idx="370">
                  <c:v>5.0298988634089999E-2</c:v>
                </c:pt>
                <c:pt idx="371">
                  <c:v>4.9965586512410974E-2</c:v>
                </c:pt>
                <c:pt idx="372">
                  <c:v>4.9634214011238999E-2</c:v>
                </c:pt>
                <c:pt idx="373">
                  <c:v>4.9304861031287353E-2</c:v>
                </c:pt>
                <c:pt idx="374">
                  <c:v>4.8977517491509158E-2</c:v>
                </c:pt>
                <c:pt idx="375">
                  <c:v>4.8652173329641391E-2</c:v>
                </c:pt>
                <c:pt idx="376">
                  <c:v>4.8328818502736029E-2</c:v>
                </c:pt>
                <c:pt idx="377">
                  <c:v>4.8007442987678693E-2</c:v>
                </c:pt>
                <c:pt idx="378">
                  <c:v>4.768803678169483E-2</c:v>
                </c:pt>
                <c:pt idx="379">
                  <c:v>4.737058990284377E-2</c:v>
                </c:pt>
                <c:pt idx="380">
                  <c:v>4.7055092390500985E-2</c:v>
                </c:pt>
                <c:pt idx="381">
                  <c:v>4.6741534305828392E-2</c:v>
                </c:pt>
                <c:pt idx="382">
                  <c:v>4.6429905732233261E-2</c:v>
                </c:pt>
                <c:pt idx="383">
                  <c:v>4.6120196775815754E-2</c:v>
                </c:pt>
                <c:pt idx="384">
                  <c:v>4.5812397565805317E-2</c:v>
                </c:pt>
                <c:pt idx="385">
                  <c:v>4.550649825498617E-2</c:v>
                </c:pt>
                <c:pt idx="386">
                  <c:v>4.5202489020111952E-2</c:v>
                </c:pt>
                <c:pt idx="387">
                  <c:v>4.4900360062309921E-2</c:v>
                </c:pt>
                <c:pt idx="388">
                  <c:v>4.4600101607474622E-2</c:v>
                </c:pt>
                <c:pt idx="389">
                  <c:v>4.4301703906651474E-2</c:v>
                </c:pt>
                <c:pt idx="390">
                  <c:v>4.4005157236410283E-2</c:v>
                </c:pt>
                <c:pt idx="391">
                  <c:v>4.3710451899208858E-2</c:v>
                </c:pt>
                <c:pt idx="392">
                  <c:v>4.3417578223747005E-2</c:v>
                </c:pt>
                <c:pt idx="393">
                  <c:v>4.3126526565311026E-2</c:v>
                </c:pt>
                <c:pt idx="394">
                  <c:v>4.2837287306108723E-2</c:v>
                </c:pt>
                <c:pt idx="395">
                  <c:v>4.2549850855595414E-2</c:v>
                </c:pt>
                <c:pt idx="396">
                  <c:v>4.2264207650790822E-2</c:v>
                </c:pt>
                <c:pt idx="397">
                  <c:v>4.1980348156587063E-2</c:v>
                </c:pt>
                <c:pt idx="398">
                  <c:v>4.1698262866047955E-2</c:v>
                </c:pt>
                <c:pt idx="399">
                  <c:v>4.1417942300699895E-2</c:v>
                </c:pt>
                <c:pt idx="400">
                  <c:v>4.113937701081407E-2</c:v>
                </c:pt>
                <c:pt idx="401">
                  <c:v>4.0862557575680643E-2</c:v>
                </c:pt>
                <c:pt idx="402">
                  <c:v>4.0587474603874692E-2</c:v>
                </c:pt>
                <c:pt idx="403">
                  <c:v>4.0314118733514238E-2</c:v>
                </c:pt>
                <c:pt idx="404">
                  <c:v>4.0042480632510404E-2</c:v>
                </c:pt>
                <c:pt idx="405">
                  <c:v>3.9772550998809893E-2</c:v>
                </c:pt>
                <c:pt idx="406">
                  <c:v>3.9504320560629955E-2</c:v>
                </c:pt>
                <c:pt idx="407">
                  <c:v>3.9237780076685866E-2</c:v>
                </c:pt>
                <c:pt idx="408">
                  <c:v>3.8972920336411143E-2</c:v>
                </c:pt>
                <c:pt idx="409">
                  <c:v>3.8709732160170582E-2</c:v>
                </c:pt>
                <c:pt idx="410">
                  <c:v>3.8448206399466334E-2</c:v>
                </c:pt>
                <c:pt idx="411">
                  <c:v>3.8188333937136935E-2</c:v>
                </c:pt>
                <c:pt idx="412">
                  <c:v>3.7930105687549759E-2</c:v>
                </c:pt>
                <c:pt idx="413">
                  <c:v>3.7673512596786557E-2</c:v>
                </c:pt>
                <c:pt idx="414">
                  <c:v>3.7418545642822681E-2</c:v>
                </c:pt>
                <c:pt idx="415">
                  <c:v>3.716519583569973E-2</c:v>
                </c:pt>
                <c:pt idx="416">
                  <c:v>3.6913454217691967E-2</c:v>
                </c:pt>
                <c:pt idx="417">
                  <c:v>3.6663311863466497E-2</c:v>
                </c:pt>
                <c:pt idx="418">
                  <c:v>3.6414759880237402E-2</c:v>
                </c:pt>
                <c:pt idx="419">
                  <c:v>3.6167789407913889E-2</c:v>
                </c:pt>
                <c:pt idx="420">
                  <c:v>3.5922391619242509E-2</c:v>
                </c:pt>
                <c:pt idx="421">
                  <c:v>3.5678557719943757E-2</c:v>
                </c:pt>
                <c:pt idx="422">
                  <c:v>3.5436278948842867E-2</c:v>
                </c:pt>
                <c:pt idx="423">
                  <c:v>3.519554657799516E-2</c:v>
                </c:pt>
                <c:pt idx="424">
                  <c:v>3.4956351912805883E-2</c:v>
                </c:pt>
                <c:pt idx="425">
                  <c:v>3.4718686292144786E-2</c:v>
                </c:pt>
                <c:pt idx="426">
                  <c:v>3.4482541088455346E-2</c:v>
                </c:pt>
                <c:pt idx="427">
                  <c:v>3.4247907707858849E-2</c:v>
                </c:pt>
                <c:pt idx="428">
                  <c:v>3.401477759025353E-2</c:v>
                </c:pt>
                <c:pt idx="429">
                  <c:v>3.3783142209408597E-2</c:v>
                </c:pt>
                <c:pt idx="430">
                  <c:v>3.3552993073053483E-2</c:v>
                </c:pt>
                <c:pt idx="431">
                  <c:v>3.3324321722962305E-2</c:v>
                </c:pt>
                <c:pt idx="432">
                  <c:v>3.3097119735033556E-2</c:v>
                </c:pt>
                <c:pt idx="433">
                  <c:v>3.2871378719365275E-2</c:v>
                </c:pt>
                <c:pt idx="434">
                  <c:v>3.2647090320325728E-2</c:v>
                </c:pt>
                <c:pt idx="435">
                  <c:v>3.2424246216619483E-2</c:v>
                </c:pt>
                <c:pt idx="436">
                  <c:v>3.2202838121349379E-2</c:v>
                </c:pt>
                <c:pt idx="437">
                  <c:v>3.1982857782074013E-2</c:v>
                </c:pt>
                <c:pt idx="438">
                  <c:v>3.1764296980861167E-2</c:v>
                </c:pt>
                <c:pt idx="439">
                  <c:v>3.1547147534337086E-2</c:v>
                </c:pt>
                <c:pt idx="440">
                  <c:v>3.1331401293731742E-2</c:v>
                </c:pt>
                <c:pt idx="441">
                  <c:v>3.1117050144920111E-2</c:v>
                </c:pt>
                <c:pt idx="442">
                  <c:v>3.0904086008459643E-2</c:v>
                </c:pt>
                <c:pt idx="443">
                  <c:v>3.0692500839623868E-2</c:v>
                </c:pt>
                <c:pt idx="444">
                  <c:v>3.0482286628432286E-2</c:v>
                </c:pt>
                <c:pt idx="445">
                  <c:v>3.027343539967664E-2</c:v>
                </c:pt>
                <c:pt idx="446">
                  <c:v>3.0065939212943562E-2</c:v>
                </c:pt>
                <c:pt idx="447">
                  <c:v>2.9859790162633761E-2</c:v>
                </c:pt>
                <c:pt idx="448">
                  <c:v>2.9654980377977636E-2</c:v>
                </c:pt>
                <c:pt idx="449">
                  <c:v>2.9451502023047728E-2</c:v>
                </c:pt>
                <c:pt idx="450">
                  <c:v>2.924934729676763E-2</c:v>
                </c:pt>
                <c:pt idx="451">
                  <c:v>2.904850843291782E-2</c:v>
                </c:pt>
                <c:pt idx="452">
                  <c:v>2.8848977700138233E-2</c:v>
                </c:pt>
                <c:pt idx="453">
                  <c:v>2.8650747401927756E-2</c:v>
                </c:pt>
                <c:pt idx="454">
                  <c:v>2.84538098766406E-2</c:v>
                </c:pt>
                <c:pt idx="455">
                  <c:v>2.8258157497479765E-2</c:v>
                </c:pt>
                <c:pt idx="456">
                  <c:v>2.8063782672487554E-2</c:v>
                </c:pt>
                <c:pt idx="457">
                  <c:v>2.7870677844533114E-2</c:v>
                </c:pt>
                <c:pt idx="458">
                  <c:v>2.7678835491297328E-2</c:v>
                </c:pt>
                <c:pt idx="459">
                  <c:v>2.7488248125254834E-2</c:v>
                </c:pt>
                <c:pt idx="460">
                  <c:v>2.7298908293653324E-2</c:v>
                </c:pt>
                <c:pt idx="461">
                  <c:v>2.7110808578490294E-2</c:v>
                </c:pt>
                <c:pt idx="462">
                  <c:v>2.6923941596487193E-2</c:v>
                </c:pt>
                <c:pt idx="463">
                  <c:v>2.6738299999060904E-2</c:v>
                </c:pt>
                <c:pt idx="464">
                  <c:v>2.6553876472292889E-2</c:v>
                </c:pt>
                <c:pt idx="465">
                  <c:v>2.6370663736895845E-2</c:v>
                </c:pt>
                <c:pt idx="466">
                  <c:v>2.6188654548178005E-2</c:v>
                </c:pt>
                <c:pt idx="467">
                  <c:v>2.6007841696005035E-2</c:v>
                </c:pt>
                <c:pt idx="468">
                  <c:v>2.5828218004759755E-2</c:v>
                </c:pt>
                <c:pt idx="469">
                  <c:v>2.5649776333299536E-2</c:v>
                </c:pt>
                <c:pt idx="470">
                  <c:v>2.5472509574911605E-2</c:v>
                </c:pt>
                <c:pt idx="471">
                  <c:v>2.5296410657266136E-2</c:v>
                </c:pt>
                <c:pt idx="472">
                  <c:v>2.5121472542367251E-2</c:v>
                </c:pt>
                <c:pt idx="473">
                  <c:v>2.4947688226502091E-2</c:v>
                </c:pt>
                <c:pt idx="474">
                  <c:v>2.477505074018773E-2</c:v>
                </c:pt>
                <c:pt idx="475">
                  <c:v>2.4603553148116245E-2</c:v>
                </c:pt>
                <c:pt idx="476">
                  <c:v>2.4433188549097842E-2</c:v>
                </c:pt>
                <c:pt idx="477">
                  <c:v>2.42639500760021E-2</c:v>
                </c:pt>
                <c:pt idx="478">
                  <c:v>2.4095830895697397E-2</c:v>
                </c:pt>
                <c:pt idx="479">
                  <c:v>2.3928824208988592E-2</c:v>
                </c:pt>
                <c:pt idx="480">
                  <c:v>2.3762923250552886E-2</c:v>
                </c:pt>
                <c:pt idx="481">
                  <c:v>2.3598121288874053E-2</c:v>
                </c:pt>
                <c:pt idx="482">
                  <c:v>2.3434411626174961E-2</c:v>
                </c:pt>
                <c:pt idx="483">
                  <c:v>2.3271787598348494E-2</c:v>
                </c:pt>
                <c:pt idx="484">
                  <c:v>2.311024257488685E-2</c:v>
                </c:pt>
                <c:pt idx="485">
                  <c:v>2.294976995880935E-2</c:v>
                </c:pt>
                <c:pt idx="486">
                  <c:v>2.2790363186588683E-2</c:v>
                </c:pt>
                <c:pt idx="487">
                  <c:v>2.2632015728075678E-2</c:v>
                </c:pt>
                <c:pt idx="488">
                  <c:v>2.2474721086422698E-2</c:v>
                </c:pt>
                <c:pt idx="489">
                  <c:v>2.231847279800549E-2</c:v>
                </c:pt>
                <c:pt idx="490">
                  <c:v>2.2163264432343847E-2</c:v>
                </c:pt>
                <c:pt idx="491">
                  <c:v>2.2009089592020775E-2</c:v>
                </c:pt>
                <c:pt idx="492">
                  <c:v>2.185594191260045E-2</c:v>
                </c:pt>
                <c:pt idx="493">
                  <c:v>2.170381506254487E-2</c:v>
                </c:pt>
                <c:pt idx="494">
                  <c:v>2.1552702743129253E-2</c:v>
                </c:pt>
                <c:pt idx="495">
                  <c:v>2.1402598688356256E-2</c:v>
                </c:pt>
                <c:pt idx="496">
                  <c:v>2.1253496664869025E-2</c:v>
                </c:pt>
                <c:pt idx="497">
                  <c:v>2.1105390471863068E-2</c:v>
                </c:pt>
                <c:pt idx="498">
                  <c:v>2.0958273940997019E-2</c:v>
                </c:pt>
                <c:pt idx="499">
                  <c:v>2.0812140936302358E-2</c:v>
                </c:pt>
                <c:pt idx="500">
                  <c:v>2.0666985354092011E-2</c:v>
                </c:pt>
                <c:pt idx="501">
                  <c:v>2.0522801122867942E-2</c:v>
                </c:pt>
                <c:pt idx="502">
                  <c:v>2.0379582203227824E-2</c:v>
                </c:pt>
                <c:pt idx="503">
                  <c:v>2.0237322587770602E-2</c:v>
                </c:pt>
                <c:pt idx="504">
                  <c:v>2.0096016301001215E-2</c:v>
                </c:pt>
                <c:pt idx="505">
                  <c:v>1.9955657399234362E-2</c:v>
                </c:pt>
                <c:pt idx="506">
                  <c:v>1.9816239970497394E-2</c:v>
                </c:pt>
                <c:pt idx="507">
                  <c:v>1.9677758134432288E-2</c:v>
                </c:pt>
                <c:pt idx="508">
                  <c:v>1.9540206042196875E-2</c:v>
                </c:pt>
                <c:pt idx="509">
                  <c:v>1.9403577876365166E-2</c:v>
                </c:pt>
                <c:pt idx="510">
                  <c:v>1.926786785082692E-2</c:v>
                </c:pt>
                <c:pt idx="511">
                  <c:v>1.913307021068647E-2</c:v>
                </c:pt>
                <c:pt idx="512">
                  <c:v>1.8999179232160757E-2</c:v>
                </c:pt>
                <c:pt idx="513">
                  <c:v>1.8866189222476695E-2</c:v>
                </c:pt>
                <c:pt idx="514">
                  <c:v>1.8734094519767791E-2</c:v>
                </c:pt>
                <c:pt idx="515">
                  <c:v>1.8602889492970141E-2</c:v>
                </c:pt>
                <c:pt idx="516">
                  <c:v>1.8472568541717738E-2</c:v>
                </c:pt>
                <c:pt idx="517">
                  <c:v>1.8343126096237148E-2</c:v>
                </c:pt>
                <c:pt idx="518">
                  <c:v>1.8214556617241622E-2</c:v>
                </c:pt>
                <c:pt idx="519">
                  <c:v>1.8086854595824577E-2</c:v>
                </c:pt>
                <c:pt idx="520">
                  <c:v>1.7960014553352513E-2</c:v>
                </c:pt>
                <c:pt idx="521">
                  <c:v>1.7834031041357393E-2</c:v>
                </c:pt>
                <c:pt idx="522">
                  <c:v>1.7708898641428519E-2</c:v>
                </c:pt>
                <c:pt idx="523">
                  <c:v>1.7584611965103882E-2</c:v>
                </c:pt>
                <c:pt idx="524">
                  <c:v>1.7461165653760991E-2</c:v>
                </c:pt>
                <c:pt idx="525">
                  <c:v>1.7338554378507284E-2</c:v>
                </c:pt>
                <c:pt idx="526">
                  <c:v>1.7216772840070085E-2</c:v>
                </c:pt>
                <c:pt idx="527">
                  <c:v>1.7095815768686067E-2</c:v>
                </c:pt>
                <c:pt idx="528">
                  <c:v>1.6975677923990403E-2</c:v>
                </c:pt>
                <c:pt idx="529">
                  <c:v>1.6856354094905445E-2</c:v>
                </c:pt>
                <c:pt idx="530">
                  <c:v>1.6737839099529021E-2</c:v>
                </c:pt>
                <c:pt idx="531">
                  <c:v>1.6620127785022438E-2</c:v>
                </c:pt>
                <c:pt idx="532">
                  <c:v>1.6503215027498047E-2</c:v>
                </c:pt>
                <c:pt idx="533">
                  <c:v>1.6387095731906557E-2</c:v>
                </c:pt>
                <c:pt idx="534">
                  <c:v>1.6271764831924027E-2</c:v>
                </c:pt>
                <c:pt idx="535">
                  <c:v>1.6157217289838474E-2</c:v>
                </c:pt>
                <c:pt idx="536">
                  <c:v>1.604344809643634E-2</c:v>
                </c:pt>
                <c:pt idx="537">
                  <c:v>1.5930452270888559E-2</c:v>
                </c:pt>
                <c:pt idx="538">
                  <c:v>1.5818224860636481E-2</c:v>
                </c:pt>
                <c:pt idx="539">
                  <c:v>1.5706760941277473E-2</c:v>
                </c:pt>
                <c:pt idx="540">
                  <c:v>1.5596055616450361E-2</c:v>
                </c:pt>
                <c:pt idx="541">
                  <c:v>1.5486104017720614E-2</c:v>
                </c:pt>
                <c:pt idx="542">
                  <c:v>1.5376901304465399E-2</c:v>
                </c:pt>
                <c:pt idx="543">
                  <c:v>1.526844266375835E-2</c:v>
                </c:pt>
                <c:pt idx="544">
                  <c:v>1.5160723310254302E-2</c:v>
                </c:pt>
                <c:pt idx="545">
                  <c:v>1.5053738486073769E-2</c:v>
                </c:pt>
                <c:pt idx="546">
                  <c:v>1.4947483460687309E-2</c:v>
                </c:pt>
                <c:pt idx="547">
                  <c:v>1.4841953530799782E-2</c:v>
                </c:pt>
                <c:pt idx="548">
                  <c:v>1.4737144020234487E-2</c:v>
                </c:pt>
                <c:pt idx="549">
                  <c:v>1.4633050279817154E-2</c:v>
                </c:pt>
                <c:pt idx="550">
                  <c:v>1.4529667687259896E-2</c:v>
                </c:pt>
                <c:pt idx="551">
                  <c:v>1.4426991647045062E-2</c:v>
                </c:pt>
                <c:pt idx="552">
                  <c:v>1.4325017590309007E-2</c:v>
                </c:pt>
                <c:pt idx="553">
                  <c:v>1.4223740974725832E-2</c:v>
                </c:pt>
                <c:pt idx="554">
                  <c:v>1.4123157284391039E-2</c:v>
                </c:pt>
                <c:pt idx="555">
                  <c:v>1.4023262029705202E-2</c:v>
                </c:pt>
                <c:pt idx="556">
                  <c:v>1.3924050747257574E-2</c:v>
                </c:pt>
                <c:pt idx="557">
                  <c:v>1.3825518999709673E-2</c:v>
                </c:pt>
                <c:pt idx="558">
                  <c:v>1.372766237567891E-2</c:v>
                </c:pt>
                <c:pt idx="559">
                  <c:v>1.3630476489622177E-2</c:v>
                </c:pt>
                <c:pt idx="560">
                  <c:v>1.3533956981719476E-2</c:v>
                </c:pt>
                <c:pt idx="561">
                  <c:v>1.3438099517757571E-2</c:v>
                </c:pt>
                <c:pt idx="562">
                  <c:v>1.3342899789013657E-2</c:v>
                </c:pt>
                <c:pt idx="563">
                  <c:v>1.3248353512139079E-2</c:v>
                </c:pt>
                <c:pt idx="564">
                  <c:v>1.3154456429043134E-2</c:v>
                </c:pt>
                <c:pt idx="565">
                  <c:v>1.3061204306776915E-2</c:v>
                </c:pt>
                <c:pt idx="566">
                  <c:v>1.2968592937417183E-2</c:v>
                </c:pt>
                <c:pt idx="567">
                  <c:v>1.2876618137950404E-2</c:v>
                </c:pt>
                <c:pt idx="568">
                  <c:v>1.2785275750156812E-2</c:v>
                </c:pt>
                <c:pt idx="569">
                  <c:v>1.2694561640494564E-2</c:v>
                </c:pt>
                <c:pt idx="570">
                  <c:v>1.2604471699984059E-2</c:v>
                </c:pt>
                <c:pt idx="571">
                  <c:v>1.251500184409229E-2</c:v>
                </c:pt>
                <c:pt idx="572">
                  <c:v>1.2426148012617383E-2</c:v>
                </c:pt>
                <c:pt idx="573">
                  <c:v>1.2337906169573235E-2</c:v>
                </c:pt>
                <c:pt idx="574">
                  <c:v>1.2250272303074248E-2</c:v>
                </c:pt>
                <c:pt idx="575">
                  <c:v>1.2163242425220312E-2</c:v>
                </c:pt>
                <c:pt idx="576">
                  <c:v>1.2076812571981796E-2</c:v>
                </c:pt>
                <c:pt idx="577">
                  <c:v>1.1990978803084818E-2</c:v>
                </c:pt>
                <c:pt idx="578">
                  <c:v>1.1905737201896612E-2</c:v>
                </c:pt>
                <c:pt idx="579">
                  <c:v>1.182108387531107E-2</c:v>
                </c:pt>
                <c:pt idx="580">
                  <c:v>1.1737014953634486E-2</c:v>
                </c:pt>
                <c:pt idx="581">
                  <c:v>1.1653526590471452E-2</c:v>
                </c:pt>
                <c:pt idx="582">
                  <c:v>1.1570614962610958E-2</c:v>
                </c:pt>
                <c:pt idx="583">
                  <c:v>1.1488276269912695E-2</c:v>
                </c:pt>
                <c:pt idx="584">
                  <c:v>1.1406506735193537E-2</c:v>
                </c:pt>
                <c:pt idx="585">
                  <c:v>1.1325302604114244E-2</c:v>
                </c:pt>
                <c:pt idx="586">
                  <c:v>1.1244660145066362E-2</c:v>
                </c:pt>
                <c:pt idx="587">
                  <c:v>1.1164575649059384E-2</c:v>
                </c:pt>
                <c:pt idx="588">
                  <c:v>1.1085045429608059E-2</c:v>
                </c:pt>
                <c:pt idx="589">
                  <c:v>1.1006065822620006E-2</c:v>
                </c:pt>
                <c:pt idx="590">
                  <c:v>1.0927633186283503E-2</c:v>
                </c:pt>
                <c:pt idx="591">
                  <c:v>1.0849743900955553E-2</c:v>
                </c:pt>
                <c:pt idx="592">
                  <c:v>1.077239436905018E-2</c:v>
                </c:pt>
                <c:pt idx="593">
                  <c:v>1.0695581014926958E-2</c:v>
                </c:pt>
                <c:pt idx="594">
                  <c:v>1.0619300284779826E-2</c:v>
                </c:pt>
                <c:pt idx="595">
                  <c:v>1.0543548646526122E-2</c:v>
                </c:pt>
                <c:pt idx="596">
                  <c:v>1.046832258969593E-2</c:v>
                </c:pt>
                <c:pt idx="597">
                  <c:v>1.0393618625321618E-2</c:v>
                </c:pt>
                <c:pt idx="598">
                  <c:v>1.0319433285827732E-2</c:v>
                </c:pt>
                <c:pt idx="599">
                  <c:v>1.0245763124921115E-2</c:v>
                </c:pt>
                <c:pt idx="600">
                  <c:v>1.0172604717481288E-2</c:v>
                </c:pt>
                <c:pt idx="601">
                  <c:v>1.0099954659451175E-2</c:v>
                </c:pt>
                <c:pt idx="602">
                  <c:v>1.0027809567728063E-2</c:v>
                </c:pt>
                <c:pt idx="603">
                  <c:v>9.9561660800548766E-3</c:v>
                </c:pt>
                <c:pt idx="604">
                  <c:v>9.8850208549117295E-3</c:v>
                </c:pt>
                <c:pt idx="605">
                  <c:v>9.8143705714077972E-3</c:v>
                </c:pt>
                <c:pt idx="606">
                  <c:v>9.7442119291734717E-3</c:v>
                </c:pt>
                <c:pt idx="607">
                  <c:v>9.6745416482528299E-3</c:v>
                </c:pt>
                <c:pt idx="608">
                  <c:v>9.6053564689964066E-3</c:v>
                </c:pt>
                <c:pt idx="609">
                  <c:v>9.5366531519542799E-3</c:v>
                </c:pt>
                <c:pt idx="610">
                  <c:v>9.4684284777694742E-3</c:v>
                </c:pt>
                <c:pt idx="611">
                  <c:v>9.4006792470716811E-3</c:v>
                </c:pt>
                <c:pt idx="612">
                  <c:v>9.3334022803712845E-3</c:v>
                </c:pt>
                <c:pt idx="613">
                  <c:v>9.2665944179537284E-3</c:v>
                </c:pt>
                <c:pt idx="614">
                  <c:v>9.2002525197742071E-3</c:v>
                </c:pt>
                <c:pt idx="615">
                  <c:v>9.1343734653526795E-3</c:v>
                </c:pt>
                <c:pt idx="616">
                  <c:v>9.0689541536692255E-3</c:v>
                </c:pt>
                <c:pt idx="617">
                  <c:v>9.0039915030596922E-3</c:v>
                </c:pt>
                <c:pt idx="618">
                  <c:v>8.9394824511117577E-3</c:v>
                </c:pt>
                <c:pt idx="619">
                  <c:v>8.8754239545612637E-3</c:v>
                </c:pt>
                <c:pt idx="620">
                  <c:v>8.8118129891889031E-3</c:v>
                </c:pt>
                <c:pt idx="621">
                  <c:v>8.7486465497172879E-3</c:v>
                </c:pt>
                <c:pt idx="622">
                  <c:v>8.6859216497083037E-3</c:v>
                </c:pt>
                <c:pt idx="623">
                  <c:v>8.6236353214608746E-3</c:v>
                </c:pt>
                <c:pt idx="624">
                  <c:v>8.5617846159090245E-3</c:v>
                </c:pt>
                <c:pt idx="625">
                  <c:v>8.5003666025203189E-3</c:v>
                </c:pt>
                <c:pt idx="626">
                  <c:v>8.4393783691946514E-3</c:v>
                </c:pt>
                <c:pt idx="627">
                  <c:v>8.378817022163405E-3</c:v>
                </c:pt>
                <c:pt idx="628">
                  <c:v>8.3186796858889123E-3</c:v>
                </c:pt>
                <c:pt idx="629">
                  <c:v>8.2589635029643657E-3</c:v>
                </c:pt>
                <c:pt idx="630">
                  <c:v>8.1996656340139907E-3</c:v>
                </c:pt>
                <c:pt idx="631">
                  <c:v>8.1407832575936655E-3</c:v>
                </c:pt>
                <c:pt idx="632">
                  <c:v>8.0823135700918442E-3</c:v>
                </c:pt>
                <c:pt idx="633">
                  <c:v>8.0242537856308697E-3</c:v>
                </c:pt>
                <c:pt idx="634">
                  <c:v>7.9666011359686602E-3</c:v>
                </c:pt>
                <c:pt idx="635">
                  <c:v>7.9093528704007494E-3</c:v>
                </c:pt>
                <c:pt idx="636">
                  <c:v>7.8525062556626946E-3</c:v>
                </c:pt>
                <c:pt idx="637">
                  <c:v>7.796058575832863E-3</c:v>
                </c:pt>
                <c:pt idx="638">
                  <c:v>7.7400071322355967E-3</c:v>
                </c:pt>
                <c:pt idx="639">
                  <c:v>7.6843492433447229E-3</c:v>
                </c:pt>
                <c:pt idx="640">
                  <c:v>7.6290822446874731E-3</c:v>
                </c:pt>
                <c:pt idx="641">
                  <c:v>7.5742034887487453E-3</c:v>
                </c:pt>
                <c:pt idx="642">
                  <c:v>7.519710344875764E-3</c:v>
                </c:pt>
                <c:pt idx="643">
                  <c:v>7.4656001991831025E-3</c:v>
                </c:pt>
                <c:pt idx="644">
                  <c:v>7.4118704544580928E-3</c:v>
                </c:pt>
                <c:pt idx="645">
                  <c:v>7.3585185300666022E-3</c:v>
                </c:pt>
                <c:pt idx="646">
                  <c:v>7.3055418618592095E-3</c:v>
                </c:pt>
                <c:pt idx="647">
                  <c:v>7.2529379020777312E-3</c:v>
                </c:pt>
                <c:pt idx="648">
                  <c:v>7.2007041192621545E-3</c:v>
                </c:pt>
                <c:pt idx="649">
                  <c:v>7.1488379981579338E-3</c:v>
                </c:pt>
                <c:pt idx="650">
                  <c:v>7.0973370396236815E-3</c:v>
                </c:pt>
                <c:pt idx="651">
                  <c:v>7.0461987605392289E-3</c:v>
                </c:pt>
                <c:pt idx="652">
                  <c:v>6.9954206937140823E-3</c:v>
                </c:pt>
                <c:pt idx="653">
                  <c:v>6.9450003877962524E-3</c:v>
                </c:pt>
                <c:pt idx="654">
                  <c:v>6.8949354071814704E-3</c:v>
                </c:pt>
                <c:pt idx="655">
                  <c:v>6.8452233319227836E-3</c:v>
                </c:pt>
                <c:pt idx="656">
                  <c:v>6.7958617576405565E-3</c:v>
                </c:pt>
                <c:pt idx="657">
                  <c:v>6.7468482954328116E-3</c:v>
                </c:pt>
                <c:pt idx="658">
                  <c:v>6.6981805717860098E-3</c:v>
                </c:pt>
                <c:pt idx="659">
                  <c:v>6.6498562284861744E-3</c:v>
                </c:pt>
                <c:pt idx="660">
                  <c:v>6.6018729225304183E-3</c:v>
                </c:pt>
                <c:pt idx="661">
                  <c:v>6.5542283260388509E-3</c:v>
                </c:pt>
                <c:pt idx="662">
                  <c:v>6.5069201261668784E-3</c:v>
                </c:pt>
                <c:pt idx="663">
                  <c:v>6.4599460250178778E-3</c:v>
                </c:pt>
                <c:pt idx="664">
                  <c:v>6.4133037395562613E-3</c:v>
                </c:pt>
                <c:pt idx="665">
                  <c:v>6.3669910015209429E-3</c:v>
                </c:pt>
                <c:pt idx="666">
                  <c:v>6.3210055573391481E-3</c:v>
                </c:pt>
                <c:pt idx="667">
                  <c:v>6.2753451680406603E-3</c:v>
                </c:pt>
                <c:pt idx="668">
                  <c:v>6.2300076091724192E-3</c:v>
                </c:pt>
                <c:pt idx="669">
                  <c:v>6.184990670713513E-3</c:v>
                </c:pt>
                <c:pt idx="670">
                  <c:v>6.1402921569905624E-3</c:v>
                </c:pt>
                <c:pt idx="671">
                  <c:v>6.0959098865934732E-3</c:v>
                </c:pt>
                <c:pt idx="672">
                  <c:v>6.0518416922915996E-3</c:v>
                </c:pt>
                <c:pt idx="673">
                  <c:v>6.0080854209502632E-3</c:v>
                </c:pt>
                <c:pt idx="674">
                  <c:v>5.9646389334476798E-3</c:v>
                </c:pt>
                <c:pt idx="675">
                  <c:v>5.9215001045922581E-3</c:v>
                </c:pt>
                <c:pt idx="676">
                  <c:v>5.8786668230402846E-3</c:v>
                </c:pt>
                <c:pt idx="677">
                  <c:v>5.8361369912139863E-3</c:v>
                </c:pt>
                <c:pt idx="678">
                  <c:v>5.7939085252199955E-3</c:v>
                </c:pt>
                <c:pt idx="679">
                  <c:v>5.7519793547681757E-3</c:v>
                </c:pt>
                <c:pt idx="680">
                  <c:v>5.7103474230908394E-3</c:v>
                </c:pt>
                <c:pt idx="681">
                  <c:v>5.6690106868623425E-3</c:v>
                </c:pt>
                <c:pt idx="682">
                  <c:v>5.6279671161190755E-3</c:v>
                </c:pt>
                <c:pt idx="683">
                  <c:v>5.5872146941798109E-3</c:v>
                </c:pt>
                <c:pt idx="684">
                  <c:v>5.5467514175664579E-3</c:v>
                </c:pt>
                <c:pt idx="685">
                  <c:v>5.5065752959251773E-3</c:v>
                </c:pt>
                <c:pt idx="686">
                  <c:v>5.4666843519478722E-3</c:v>
                </c:pt>
                <c:pt idx="687">
                  <c:v>5.4270766212940877E-3</c:v>
                </c:pt>
                <c:pt idx="688">
                  <c:v>5.3877501525132522E-3</c:v>
                </c:pt>
                <c:pt idx="689">
                  <c:v>5.3487030069673232E-3</c:v>
                </c:pt>
                <c:pt idx="690">
                  <c:v>5.3099332587537842E-3</c:v>
                </c:pt>
                <c:pt idx="691">
                  <c:v>5.2714389946290543E-3</c:v>
                </c:pt>
                <c:pt idx="692">
                  <c:v>5.2332183139322305E-3</c:v>
                </c:pt>
                <c:pt idx="693">
                  <c:v>5.195269328509243E-3</c:v>
                </c:pt>
                <c:pt idx="694">
                  <c:v>5.1575901626373585E-3</c:v>
                </c:pt>
                <c:pt idx="695">
                  <c:v>5.1201789529500717E-3</c:v>
                </c:pt>
                <c:pt idx="696">
                  <c:v>5.0830338483623628E-3</c:v>
                </c:pt>
                <c:pt idx="697">
                  <c:v>5.0461530099963252E-3</c:v>
                </c:pt>
                <c:pt idx="698">
                  <c:v>5.0095346111071739E-3</c:v>
                </c:pt>
                <c:pt idx="699">
                  <c:v>4.9731768370096224E-3</c:v>
                </c:pt>
                <c:pt idx="700">
                  <c:v>4.9370778850046084E-3</c:v>
                </c:pt>
                <c:pt idx="701">
                  <c:v>4.9012359643064215E-3</c:v>
                </c:pt>
                <c:pt idx="702">
                  <c:v>4.8656492959701725E-3</c:v>
                </c:pt>
                <c:pt idx="703">
                  <c:v>4.8303161128196489E-3</c:v>
                </c:pt>
                <c:pt idx="704">
                  <c:v>4.7952346593755166E-3</c:v>
                </c:pt>
                <c:pt idx="705">
                  <c:v>4.7604031917839072E-3</c:v>
                </c:pt>
                <c:pt idx="706">
                  <c:v>4.7258199777453552E-3</c:v>
                </c:pt>
                <c:pt idx="707">
                  <c:v>4.6914832964441095E-3</c:v>
                </c:pt>
                <c:pt idx="708">
                  <c:v>4.6573914384777882E-3</c:v>
                </c:pt>
                <c:pt idx="709">
                  <c:v>4.6235427057874298E-3</c:v>
                </c:pt>
                <c:pt idx="710">
                  <c:v>4.5899354115878643E-3</c:v>
                </c:pt>
                <c:pt idx="711">
                  <c:v>4.5565678802984748E-3</c:v>
                </c:pt>
                <c:pt idx="712">
                  <c:v>4.5234384474743088E-3</c:v>
                </c:pt>
                <c:pt idx="713">
                  <c:v>4.4905454597375383E-3</c:v>
                </c:pt>
                <c:pt idx="714">
                  <c:v>4.4578872747092846E-3</c:v>
                </c:pt>
                <c:pt idx="715">
                  <c:v>4.4254622609418044E-3</c:v>
                </c:pt>
                <c:pt idx="716">
                  <c:v>4.3932687978510219E-3</c:v>
                </c:pt>
                <c:pt idx="717">
                  <c:v>4.3613052756494141E-3</c:v>
                </c:pt>
                <c:pt idx="718">
                  <c:v>4.3295700952792563E-3</c:v>
                </c:pt>
                <c:pt idx="719">
                  <c:v>4.298061668346214E-3</c:v>
                </c:pt>
                <c:pt idx="720">
                  <c:v>4.2667784170532823E-3</c:v>
                </c:pt>
                <c:pt idx="721">
                  <c:v>4.2357187741350888E-3</c:v>
                </c:pt>
                <c:pt idx="722">
                  <c:v>4.2048811827925265E-3</c:v>
                </c:pt>
                <c:pt idx="723">
                  <c:v>4.174264096627747E-3</c:v>
                </c:pt>
                <c:pt idx="724">
                  <c:v>4.1438659795794914E-3</c:v>
                </c:pt>
                <c:pt idx="725">
                  <c:v>4.1136853058587825E-3</c:v>
                </c:pt>
                <c:pt idx="726">
                  <c:v>4.0837205598849334E-3</c:v>
                </c:pt>
                <c:pt idx="727">
                  <c:v>4.0539702362219305E-3</c:v>
                </c:pt>
                <c:pt idx="728">
                  <c:v>4.0244328395151342E-3</c:v>
                </c:pt>
                <c:pt idx="729">
                  <c:v>3.9951068844283301E-3</c:v>
                </c:pt>
                <c:pt idx="730">
                  <c:v>3.9659908955811222E-3</c:v>
                </c:pt>
                <c:pt idx="731">
                  <c:v>3.9370834074866573E-3</c:v>
                </c:pt>
                <c:pt idx="732">
                  <c:v>3.9083829644896975E-3</c:v>
                </c:pt>
                <c:pt idx="733">
                  <c:v>3.8798881207050182E-3</c:v>
                </c:pt>
                <c:pt idx="734">
                  <c:v>3.8515974399561405E-3</c:v>
                </c:pt>
                <c:pt idx="735">
                  <c:v>3.8235094957144119E-3</c:v>
                </c:pt>
                <c:pt idx="736">
                  <c:v>3.7956228710384001E-3</c:v>
                </c:pt>
                <c:pt idx="737">
                  <c:v>3.7679361585136327E-3</c:v>
                </c:pt>
                <c:pt idx="738">
                  <c:v>3.7404479601926676E-3</c:v>
                </c:pt>
                <c:pt idx="739">
                  <c:v>3.7131568875354778E-3</c:v>
                </c:pt>
                <c:pt idx="740">
                  <c:v>3.686061561350173E-3</c:v>
                </c:pt>
                <c:pt idx="741">
                  <c:v>3.6591606117340617E-3</c:v>
                </c:pt>
                <c:pt idx="742">
                  <c:v>3.6324526780150126E-3</c:v>
                </c:pt>
                <c:pt idx="743">
                  <c:v>3.6059364086931541E-3</c:v>
                </c:pt>
                <c:pt idx="744">
                  <c:v>3.5796104613829076E-3</c:v>
                </c:pt>
                <c:pt idx="745">
                  <c:v>3.5534735027553162E-3</c:v>
                </c:pt>
                <c:pt idx="746">
                  <c:v>3.5275242084807194E-3</c:v>
                </c:pt>
                <c:pt idx="747">
                  <c:v>3.50176126317173E-3</c:v>
                </c:pt>
                <c:pt idx="748">
                  <c:v>3.4761833603265398E-3</c:v>
                </c:pt>
                <c:pt idx="749">
                  <c:v>3.4507892022725387E-3</c:v>
                </c:pt>
                <c:pt idx="750">
                  <c:v>3.4255775001102474E-3</c:v>
                </c:pt>
                <c:pt idx="751">
                  <c:v>3.4005469736575647E-3</c:v>
                </c:pt>
                <c:pt idx="752">
                  <c:v>3.3756963513943312E-3</c:v>
                </c:pt>
                <c:pt idx="753">
                  <c:v>3.3510243704072064E-3</c:v>
                </c:pt>
                <c:pt idx="754">
                  <c:v>3.3265297763348475E-3</c:v>
                </c:pt>
                <c:pt idx="755">
                  <c:v>3.3022113233134071E-3</c:v>
                </c:pt>
                <c:pt idx="756">
                  <c:v>3.2780677739223359E-3</c:v>
                </c:pt>
                <c:pt idx="757">
                  <c:v>3.2540978991304923E-3</c:v>
                </c:pt>
                <c:pt idx="758">
                  <c:v>3.2303004782425543E-3</c:v>
                </c:pt>
                <c:pt idx="759">
                  <c:v>3.2066742988457416E-3</c:v>
                </c:pt>
                <c:pt idx="760">
                  <c:v>3.1832181567568408E-3</c:v>
                </c:pt>
                <c:pt idx="761">
                  <c:v>3.1599308559695253E-3</c:v>
                </c:pt>
                <c:pt idx="762">
                  <c:v>3.1368112086019844E-3</c:v>
                </c:pt>
                <c:pt idx="763">
                  <c:v>3.1138580348448438E-3</c:v>
                </c:pt>
                <c:pt idx="764">
                  <c:v>3.0910701629093965E-3</c:v>
                </c:pt>
                <c:pt idx="765">
                  <c:v>3.0684464289761136E-3</c:v>
                </c:pt>
                <c:pt idx="766">
                  <c:v>3.0459856771434643E-3</c:v>
                </c:pt>
                <c:pt idx="767">
                  <c:v>3.0236867593770285E-3</c:v>
                </c:pt>
                <c:pt idx="768">
                  <c:v>3.0015485354588935E-3</c:v>
                </c:pt>
                <c:pt idx="769">
                  <c:v>2.9795698729373531E-3</c:v>
                </c:pt>
                <c:pt idx="770">
                  <c:v>2.9577496470768907E-3</c:v>
                </c:pt>
                <c:pt idx="771">
                  <c:v>2.936086740808455E-3</c:v>
                </c:pt>
                <c:pt idx="772">
                  <c:v>2.9145800446800248E-3</c:v>
                </c:pt>
                <c:pt idx="773">
                  <c:v>2.893228456807452E-3</c:v>
                </c:pt>
                <c:pt idx="774">
                  <c:v>2.872030882825605E-3</c:v>
                </c:pt>
                <c:pt idx="775">
                  <c:v>2.8509862358397785E-3</c:v>
                </c:pt>
                <c:pt idx="776">
                  <c:v>2.8300934363774022E-3</c:v>
                </c:pt>
                <c:pt idx="777">
                  <c:v>2.8093514123400222E-3</c:v>
                </c:pt>
                <c:pt idx="778">
                  <c:v>2.7887590989555656E-3</c:v>
                </c:pt>
                <c:pt idx="779">
                  <c:v>2.7683154387308827E-3</c:v>
                </c:pt>
                <c:pt idx="780">
                  <c:v>2.7480193814045663E-3</c:v>
                </c:pt>
                <c:pt idx="781">
                  <c:v>2.7278698839000555E-3</c:v>
                </c:pt>
                <c:pt idx="782">
                  <c:v>2.7078659102789992E-3</c:v>
                </c:pt>
                <c:pt idx="783">
                  <c:v>2.6880064316949126E-3</c:v>
                </c:pt>
                <c:pt idx="784">
                  <c:v>2.6682904263470933E-3</c:v>
                </c:pt>
                <c:pt idx="785">
                  <c:v>2.6487168794348073E-3</c:v>
                </c:pt>
                <c:pt idx="786">
                  <c:v>2.6292847831117616E-3</c:v>
                </c:pt>
                <c:pt idx="787">
                  <c:v>2.6099931364408214E-3</c:v>
                </c:pt>
                <c:pt idx="788">
                  <c:v>2.590840945349024E-3</c:v>
                </c:pt>
                <c:pt idx="789">
                  <c:v>2.5718272225828264E-3</c:v>
                </c:pt>
                <c:pt idx="790">
                  <c:v>2.5529509876636531E-3</c:v>
                </c:pt>
                <c:pt idx="791">
                  <c:v>2.5342112668436763E-3</c:v>
                </c:pt>
                <c:pt idx="792">
                  <c:v>2.5156070930618811E-3</c:v>
                </c:pt>
                <c:pt idx="793">
                  <c:v>2.4971375059003762E-3</c:v>
                </c:pt>
                <c:pt idx="794">
                  <c:v>2.4788015515409831E-3</c:v>
                </c:pt>
                <c:pt idx="795">
                  <c:v>2.4605982827220641E-3</c:v>
                </c:pt>
                <c:pt idx="796">
                  <c:v>2.4425267586956215E-3</c:v>
                </c:pt>
                <c:pt idx="797">
                  <c:v>2.4245860451846514E-3</c:v>
                </c:pt>
                <c:pt idx="798">
                  <c:v>2.4067752143407451E-3</c:v>
                </c:pt>
                <c:pt idx="799">
                  <c:v>2.3890933447019568E-3</c:v>
                </c:pt>
                <c:pt idx="800">
                  <c:v>2.3715395211509134E-3</c:v>
                </c:pt>
                <c:pt idx="801">
                  <c:v>2.3541128348731799E-3</c:v>
                </c:pt>
                <c:pt idx="802">
                  <c:v>2.3368123833158775E-3</c:v>
                </c:pt>
                <c:pt idx="803">
                  <c:v>2.3196372701465452E-3</c:v>
                </c:pt>
                <c:pt idx="804">
                  <c:v>2.302586605212258E-3</c:v>
                </c:pt>
                <c:pt idx="805">
                  <c:v>2.2856595044989806E-3</c:v>
                </c:pt>
                <c:pt idx="806">
                  <c:v>2.2688550900911717E-3</c:v>
                </c:pt>
                <c:pt idx="807">
                  <c:v>2.2521724901316408E-3</c:v>
                </c:pt>
                <c:pt idx="808">
                  <c:v>2.2356108387816291E-3</c:v>
                </c:pt>
                <c:pt idx="809">
                  <c:v>2.2191692761811526E-3</c:v>
                </c:pt>
                <c:pt idx="810">
                  <c:v>2.2028469484095701E-3</c:v>
                </c:pt>
                <c:pt idx="811">
                  <c:v>2.1866430074464018E-3</c:v>
                </c:pt>
                <c:pt idx="812">
                  <c:v>2.1705566111323736E-3</c:v>
                </c:pt>
                <c:pt idx="813">
                  <c:v>2.1545869231307134E-3</c:v>
                </c:pt>
                <c:pt idx="814">
                  <c:v>2.1387331128886714E-3</c:v>
                </c:pt>
                <c:pt idx="815">
                  <c:v>2.1229943555992805E-3</c:v>
                </c:pt>
                <c:pt idx="816">
                  <c:v>2.1073698321633443E-3</c:v>
                </c:pt>
                <c:pt idx="817">
                  <c:v>2.0918587291516668E-3</c:v>
                </c:pt>
                <c:pt idx="818">
                  <c:v>2.0764602387675041E-3</c:v>
                </c:pt>
                <c:pt idx="819">
                  <c:v>2.0611735588092523E-3</c:v>
                </c:pt>
                <c:pt idx="820">
                  <c:v>2.0459978926333543E-3</c:v>
                </c:pt>
                <c:pt idx="821">
                  <c:v>2.030932449117452E-3</c:v>
                </c:pt>
                <c:pt idx="822">
                  <c:v>2.0159764426237415E-3</c:v>
                </c:pt>
                <c:pt idx="823">
                  <c:v>2.0011290929625712E-3</c:v>
                </c:pt>
                <c:pt idx="824">
                  <c:v>1.9863896253562601E-3</c:v>
                </c:pt>
                <c:pt idx="825">
                  <c:v>1.9717572704031285E-3</c:v>
                </c:pt>
                <c:pt idx="826">
                  <c:v>1.9572312640417679E-3</c:v>
                </c:pt>
                <c:pt idx="827">
                  <c:v>1.942810847515513E-3</c:v>
                </c:pt>
                <c:pt idx="828">
                  <c:v>1.9284952673371476E-3</c:v>
                </c:pt>
                <c:pt idx="829">
                  <c:v>1.9142837752538183E-3</c:v>
                </c:pt>
                <c:pt idx="830">
                  <c:v>1.9001756282121726E-3</c:v>
                </c:pt>
                <c:pt idx="831">
                  <c:v>1.8861700883237092E-3</c:v>
                </c:pt>
                <c:pt idx="832">
                  <c:v>1.872266422830337E-3</c:v>
                </c:pt>
                <c:pt idx="833">
                  <c:v>1.858463904070165E-3</c:v>
                </c:pt>
                <c:pt idx="834">
                  <c:v>1.844761809443482E-3</c:v>
                </c:pt>
                <c:pt idx="835">
                  <c:v>1.8311594213789662E-3</c:v>
                </c:pt>
                <c:pt idx="836">
                  <c:v>1.8176560273000966E-3</c:v>
                </c:pt>
                <c:pt idx="837">
                  <c:v>1.8042509195917715E-3</c:v>
                </c:pt>
                <c:pt idx="838">
                  <c:v>1.7909433955671373E-3</c:v>
                </c:pt>
                <c:pt idx="839">
                  <c:v>1.777732757434631E-3</c:v>
                </c:pt>
                <c:pt idx="840">
                  <c:v>1.7646183122652121E-3</c:v>
                </c:pt>
                <c:pt idx="841">
                  <c:v>1.751599371959816E-3</c:v>
                </c:pt>
                <c:pt idx="842">
                  <c:v>1.738675253217001E-3</c:v>
                </c:pt>
                <c:pt idx="843">
                  <c:v>1.7258452775008003E-3</c:v>
                </c:pt>
                <c:pt idx="844">
                  <c:v>1.713108771008773E-3</c:v>
                </c:pt>
                <c:pt idx="845">
                  <c:v>1.7004650646402584E-3</c:v>
                </c:pt>
                <c:pt idx="846">
                  <c:v>1.687913493964832E-3</c:v>
                </c:pt>
                <c:pt idx="847">
                  <c:v>1.6754533991909471E-3</c:v>
                </c:pt>
                <c:pt idx="848">
                  <c:v>1.6630841251347908E-3</c:v>
                </c:pt>
                <c:pt idx="849">
                  <c:v>1.6508050211893181E-3</c:v>
                </c:pt>
                <c:pt idx="850">
                  <c:v>1.6386154412934952E-3</c:v>
                </c:pt>
                <c:pt idx="851">
                  <c:v>1.6265147439017301E-3</c:v>
                </c:pt>
                <c:pt idx="852">
                  <c:v>1.614502291953491E-3</c:v>
                </c:pt>
                <c:pt idx="853">
                  <c:v>1.6025774528431269E-3</c:v>
                </c:pt>
                <c:pt idx="854">
                  <c:v>1.5907395983898707E-3</c:v>
                </c:pt>
                <c:pt idx="855">
                  <c:v>1.5789881048080326E-3</c:v>
                </c:pt>
                <c:pt idx="856">
                  <c:v>1.5673223526773863E-3</c:v>
                </c:pt>
                <c:pt idx="857">
                  <c:v>1.5557417269137369E-3</c:v>
                </c:pt>
                <c:pt idx="858">
                  <c:v>1.5442456167396792E-3</c:v>
                </c:pt>
                <c:pt idx="859">
                  <c:v>1.5328334156555355E-3</c:v>
                </c:pt>
                <c:pt idx="860">
                  <c:v>1.5215045214104887E-3</c:v>
                </c:pt>
                <c:pt idx="861">
                  <c:v>1.5102583359738859E-3</c:v>
                </c:pt>
                <c:pt idx="862">
                  <c:v>1.4990942655067306E-3</c:v>
                </c:pt>
                <c:pt idx="863">
                  <c:v>1.4880117203333557E-3</c:v>
                </c:pt>
                <c:pt idx="864">
                  <c:v>1.4770101149132765E-3</c:v>
                </c:pt>
                <c:pt idx="865">
                  <c:v>1.4660888678132199E-3</c:v>
                </c:pt>
                <c:pt idx="866">
                  <c:v>1.4552474016793361E-3</c:v>
                </c:pt>
                <c:pt idx="867">
                  <c:v>1.4444851432095839E-3</c:v>
                </c:pt>
                <c:pt idx="868">
                  <c:v>1.4338015231262942E-3</c:v>
                </c:pt>
                <c:pt idx="869">
                  <c:v>1.4231959761489058E-3</c:v>
                </c:pt>
                <c:pt idx="870">
                  <c:v>1.4126679409668793E-3</c:v>
                </c:pt>
                <c:pt idx="871">
                  <c:v>1.4022168602127799E-3</c:v>
                </c:pt>
                <c:pt idx="872">
                  <c:v>1.3918421804355338E-3</c:v>
                </c:pt>
                <c:pt idx="873">
                  <c:v>1.3815433520738595E-3</c:v>
                </c:pt>
                <c:pt idx="874">
                  <c:v>1.3713198294298603E-3</c:v>
                </c:pt>
                <c:pt idx="875">
                  <c:v>1.361171070642795E-3</c:v>
                </c:pt>
                <c:pt idx="876">
                  <c:v>1.3510965376630131E-3</c:v>
                </c:pt>
                <c:pt idx="877">
                  <c:v>1.3410956962260545E-3</c:v>
                </c:pt>
                <c:pt idx="878">
                  <c:v>1.331168015826922E-3</c:v>
                </c:pt>
                <c:pt idx="879">
                  <c:v>1.3213129696945114E-3</c:v>
                </c:pt>
                <c:pt idx="880">
                  <c:v>1.3115300347662129E-3</c:v>
                </c:pt>
                <c:pt idx="881">
                  <c:v>1.30181869166267E-3</c:v>
                </c:pt>
                <c:pt idx="882">
                  <c:v>1.2921784246627049E-3</c:v>
                </c:pt>
                <c:pt idx="883">
                  <c:v>1.2826087216784047E-3</c:v>
                </c:pt>
                <c:pt idx="884">
                  <c:v>1.2731090742303655E-3</c:v>
                </c:pt>
                <c:pt idx="885">
                  <c:v>1.2636789774231006E-3</c:v>
                </c:pt>
                <c:pt idx="886">
                  <c:v>1.254317929920603E-3</c:v>
                </c:pt>
                <c:pt idx="887">
                  <c:v>1.2450254339220678E-3</c:v>
                </c:pt>
                <c:pt idx="888">
                  <c:v>1.2358009951377734E-3</c:v>
                </c:pt>
                <c:pt idx="889">
                  <c:v>1.2266441227651119E-3</c:v>
                </c:pt>
                <c:pt idx="890">
                  <c:v>1.2175543294647858E-3</c:v>
                </c:pt>
                <c:pt idx="891">
                  <c:v>1.2085311313371448E-3</c:v>
                </c:pt>
                <c:pt idx="892">
                  <c:v>1.1995740478986893E-3</c:v>
                </c:pt>
                <c:pt idx="893">
                  <c:v>1.1906826020587164E-3</c:v>
                </c:pt>
                <c:pt idx="894">
                  <c:v>1.1818563200961224E-3</c:v>
                </c:pt>
                <c:pt idx="895">
                  <c:v>1.1730947316363552E-3</c:v>
                </c:pt>
                <c:pt idx="896">
                  <c:v>1.1643973696285129E-3</c:v>
                </c:pt>
                <c:pt idx="897">
                  <c:v>1.1557637703225969E-3</c:v>
                </c:pt>
                <c:pt idx="898">
                  <c:v>1.1471934732469099E-3</c:v>
                </c:pt>
                <c:pt idx="899">
                  <c:v>1.1386860211855965E-3</c:v>
                </c:pt>
                <c:pt idx="900">
                  <c:v>1.1302409601563412E-3</c:v>
                </c:pt>
                <c:pt idx="901">
                  <c:v>1.121857839388198E-3</c:v>
                </c:pt>
                <c:pt idx="902">
                  <c:v>1.1135362112995775E-3</c:v>
                </c:pt>
                <c:pt idx="903">
                  <c:v>1.1052756314763662E-3</c:v>
                </c:pt>
                <c:pt idx="904">
                  <c:v>1.0970756586501955E-3</c:v>
                </c:pt>
                <c:pt idx="905">
                  <c:v>1.0889358546768526E-3</c:v>
                </c:pt>
                <c:pt idx="906">
                  <c:v>1.0808557845148282E-3</c:v>
                </c:pt>
                <c:pt idx="907">
                  <c:v>1.0728350162040063E-3</c:v>
                </c:pt>
                <c:pt idx="908">
                  <c:v>1.0648731208444974E-3</c:v>
                </c:pt>
                <c:pt idx="909">
                  <c:v>1.0569696725756003E-3</c:v>
                </c:pt>
                <c:pt idx="910">
                  <c:v>1.0491242485549145E-3</c:v>
                </c:pt>
                <c:pt idx="911">
                  <c:v>1.0413364289375785E-3</c:v>
                </c:pt>
                <c:pt idx="912">
                  <c:v>1.03360579685565E-3</c:v>
                </c:pt>
                <c:pt idx="913">
                  <c:v>1.0259319383976186E-3</c:v>
                </c:pt>
                <c:pt idx="914">
                  <c:v>1.0183144425880558E-3</c:v>
                </c:pt>
                <c:pt idx="915">
                  <c:v>1.0107529013673952E-3</c:v>
                </c:pt>
                <c:pt idx="916">
                  <c:v>1.0032469095718475E-3</c:v>
                </c:pt>
                <c:pt idx="917">
                  <c:v>9.9579606491344763E-4</c:v>
                </c:pt>
                <c:pt idx="918">
                  <c:v>9.8839996796023285E-4</c:v>
                </c:pt>
                <c:pt idx="919">
                  <c:v>9.8105822211654774E-4</c:v>
                </c:pt>
                <c:pt idx="920">
                  <c:v>9.7377043360348785E-4</c:v>
                </c:pt>
                <c:pt idx="921">
                  <c:v>9.6653621143946136E-4</c:v>
                </c:pt>
                <c:pt idx="922">
                  <c:v>9.5935516742088407E-4</c:v>
                </c:pt>
                <c:pt idx="923">
                  <c:v>9.522269161030049E-4</c:v>
                </c:pt>
                <c:pt idx="924">
                  <c:v>9.4515107478085054E-4</c:v>
                </c:pt>
                <c:pt idx="925">
                  <c:v>9.3812726347030143E-4</c:v>
                </c:pt>
                <c:pt idx="926">
                  <c:v>9.3115510488929107E-4</c:v>
                </c:pt>
                <c:pt idx="927">
                  <c:v>9.2423422443912756E-4</c:v>
                </c:pt>
                <c:pt idx="928">
                  <c:v>9.1736425018594232E-4</c:v>
                </c:pt>
                <c:pt idx="929">
                  <c:v>9.105448128422577E-4</c:v>
                </c:pt>
                <c:pt idx="930">
                  <c:v>9.0377554574868062E-4</c:v>
                </c:pt>
                <c:pt idx="931">
                  <c:v>8.970560848557133E-4</c:v>
                </c:pt>
                <c:pt idx="932">
                  <c:v>8.9038606870568639E-4</c:v>
                </c:pt>
                <c:pt idx="933">
                  <c:v>8.8376513841481282E-4</c:v>
                </c:pt>
                <c:pt idx="934">
                  <c:v>8.7719293765535814E-4</c:v>
                </c:pt>
                <c:pt idx="935">
                  <c:v>8.7066911263793047E-4</c:v>
                </c:pt>
                <c:pt idx="936">
                  <c:v>8.6419331209388998E-4</c:v>
                </c:pt>
                <c:pt idx="937">
                  <c:v>8.5776518725787069E-4</c:v>
                </c:pt>
                <c:pt idx="938">
                  <c:v>8.5138439185042207E-4</c:v>
                </c:pt>
                <c:pt idx="939">
                  <c:v>8.4505058206076403E-4</c:v>
                </c:pt>
                <c:pt idx="940">
                  <c:v>8.3876341652965849E-4</c:v>
                </c:pt>
                <c:pt idx="941">
                  <c:v>8.3252255633239197E-4</c:v>
                </c:pt>
                <c:pt idx="942">
                  <c:v>8.2632766496187437E-4</c:v>
                </c:pt>
                <c:pt idx="943">
                  <c:v>8.201784083118486E-4</c:v>
                </c:pt>
                <c:pt idx="944">
                  <c:v>8.1407445466021185E-4</c:v>
                </c:pt>
                <c:pt idx="945">
                  <c:v>8.0801547465245106E-4</c:v>
                </c:pt>
                <c:pt idx="946">
                  <c:v>8.020011412851819E-4</c:v>
                </c:pt>
                <c:pt idx="947">
                  <c:v>7.9603112988980789E-4</c:v>
                </c:pt>
                <c:pt idx="948">
                  <c:v>7.9010511811627667E-4</c:v>
                </c:pt>
                <c:pt idx="949">
                  <c:v>7.8422278591695576E-4</c:v>
                </c:pt>
                <c:pt idx="950">
                  <c:v>7.7838381553060822E-4</c:v>
                </c:pt>
                <c:pt idx="951">
                  <c:v>7.7258789146647956E-4</c:v>
                </c:pt>
                <c:pt idx="952">
                  <c:v>7.6683470048848849E-4</c:v>
                </c:pt>
                <c:pt idx="953">
                  <c:v>7.6112393159952631E-4</c:v>
                </c:pt>
                <c:pt idx="954">
                  <c:v>7.5545527602585824E-4</c:v>
                </c:pt>
                <c:pt idx="955">
                  <c:v>7.4982842720163086E-4</c:v>
                </c:pt>
                <c:pt idx="956">
                  <c:v>7.442430807534842E-4</c:v>
                </c:pt>
                <c:pt idx="957">
                  <c:v>7.3869893448526465E-4</c:v>
                </c:pt>
                <c:pt idx="958">
                  <c:v>7.3319568836284195E-4</c:v>
                </c:pt>
                <c:pt idx="959">
                  <c:v>7.2773304449902777E-4</c:v>
                </c:pt>
                <c:pt idx="960">
                  <c:v>7.2231070713859463E-4</c:v>
                </c:pt>
                <c:pt idx="961">
                  <c:v>7.1692838264339638E-4</c:v>
                </c:pt>
                <c:pt idx="962">
                  <c:v>7.1158577947758983E-4</c:v>
                </c:pt>
                <c:pt idx="963">
                  <c:v>7.0628260819295045E-4</c:v>
                </c:pt>
                <c:pt idx="964">
                  <c:v>7.0101858141429429E-4</c:v>
                </c:pt>
                <c:pt idx="965">
                  <c:v>6.9579341382499163E-4</c:v>
                </c:pt>
                <c:pt idx="966">
                  <c:v>6.9060682215258155E-4</c:v>
                </c:pt>
                <c:pt idx="967">
                  <c:v>6.8545852515448133E-4</c:v>
                </c:pt>
                <c:pt idx="968">
                  <c:v>6.8034824360379425E-4</c:v>
                </c:pt>
                <c:pt idx="969">
                  <c:v>6.7527570027521068E-4</c:v>
                </c:pt>
                <c:pt idx="970">
                  <c:v>6.702406199310053E-4</c:v>
                </c:pt>
                <c:pt idx="971">
                  <c:v>6.6524272930712871E-4</c:v>
                </c:pt>
                <c:pt idx="972">
                  <c:v>6.6028175709939335E-4</c:v>
                </c:pt>
                <c:pt idx="973">
                  <c:v>6.5535743394975088E-4</c:v>
                </c:pt>
                <c:pt idx="974">
                  <c:v>6.504694924326644E-4</c:v>
                </c:pt>
                <c:pt idx="975">
                  <c:v>6.4561766704157044E-4</c:v>
                </c:pt>
                <c:pt idx="976">
                  <c:v>6.408016941754338E-4</c:v>
                </c:pt>
                <c:pt idx="977">
                  <c:v>6.3602131212539385E-4</c:v>
                </c:pt>
                <c:pt idx="978">
                  <c:v>6.312762610614993E-4</c:v>
                </c:pt>
                <c:pt idx="979">
                  <c:v>6.2656628301953365E-4</c:v>
                </c:pt>
                <c:pt idx="980">
                  <c:v>6.2189112188793005E-4</c:v>
                </c:pt>
                <c:pt idx="981">
                  <c:v>6.1725052339477345E-4</c:v>
                </c:pt>
                <c:pt idx="982">
                  <c:v>6.1264423509489361E-4</c:v>
                </c:pt>
                <c:pt idx="983">
                  <c:v>6.0807200635704139E-4</c:v>
                </c:pt>
                <c:pt idx="984">
                  <c:v>6.0353358835115519E-4</c:v>
                </c:pt>
                <c:pt idx="985">
                  <c:v>5.9902873403571268E-4</c:v>
                </c:pt>
                <c:pt idx="986">
                  <c:v>5.9455719814516836E-4</c:v>
                </c:pt>
                <c:pt idx="987">
                  <c:v>5.9011873717747557E-4</c:v>
                </c:pt>
                <c:pt idx="988">
                  <c:v>5.8571310938169421E-4</c:v>
                </c:pt>
                <c:pt idx="989">
                  <c:v>5.8134007474568291E-4</c:v>
                </c:pt>
                <c:pt idx="990">
                  <c:v>5.7699939498387224E-4</c:v>
                </c:pt>
                <c:pt idx="991">
                  <c:v>5.726908335251257E-4</c:v>
                </c:pt>
                <c:pt idx="992">
                  <c:v>5.684141555006776E-4</c:v>
                </c:pt>
                <c:pt idx="993">
                  <c:v>5.641691277321571E-4</c:v>
                </c:pt>
                <c:pt idx="994">
                  <c:v>5.5995551871969263E-4</c:v>
                </c:pt>
                <c:pt idx="995">
                  <c:v>5.5577309863009505E-4</c:v>
                </c:pt>
                <c:pt idx="996">
                  <c:v>5.5162163928512632E-4</c:v>
                </c:pt>
                <c:pt idx="997">
                  <c:v>5.4750091414984135E-4</c:v>
                </c:pt>
                <c:pt idx="998">
                  <c:v>5.4341069832101563E-4</c:v>
                </c:pt>
                <c:pt idx="999">
                  <c:v>5.3935076851564713E-4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9B-4810-BF5E-146C033BCA8F}"/>
            </c:ext>
          </c:extLst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'Goodness of fit'!$A$4:$A$5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xVal>
          <c:yVal>
            <c:numRef>
              <c:f>'Goodness of fit'!$B$4:$B$5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9B-4810-BF5E-146C033BCA8F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'Goodness of fit'!$A$9:$A$10</c:f>
              <c:numCache>
                <c:formatCode>General</c:formatCode>
                <c:ptCount val="2"/>
              </c:numCache>
            </c:numRef>
          </c:xVal>
          <c:yVal>
            <c:numRef>
              <c:f>'Goodness of fit'!$B$9:$B$10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9B-4810-BF5E-146C033BC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47616"/>
        <c:axId val="172449152"/>
      </c:scatterChart>
      <c:valAx>
        <c:axId val="172447616"/>
        <c:scaling>
          <c:orientation val="minMax"/>
          <c:max val="1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2449152"/>
        <c:crosses val="autoZero"/>
        <c:crossBetween val="midCat"/>
      </c:valAx>
      <c:valAx>
        <c:axId val="172449152"/>
        <c:scaling>
          <c:orientation val="minMax"/>
          <c:max val="4.442999999999999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447616"/>
        <c:crossesAt val="0"/>
        <c:crossBetween val="midCat"/>
      </c:valAx>
      <c:valAx>
        <c:axId val="17246732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72468864"/>
        <c:crosses val="max"/>
        <c:crossBetween val="midCat"/>
      </c:valAx>
      <c:catAx>
        <c:axId val="172468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246732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2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9</xdr:row>
      <xdr:rowOff>23812</xdr:rowOff>
    </xdr:from>
    <xdr:to>
      <xdr:col>8</xdr:col>
      <xdr:colOff>590550</xdr:colOff>
      <xdr:row>21</xdr:row>
      <xdr:rowOff>38100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419100</xdr:colOff>
      <xdr:row>0</xdr:row>
      <xdr:rowOff>2</xdr:rowOff>
    </xdr:from>
    <xdr:to>
      <xdr:col>8</xdr:col>
      <xdr:colOff>581025</xdr:colOff>
      <xdr:row>8</xdr:row>
      <xdr:rowOff>104776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43938" cy="6274594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3938" cy="6274594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K23"/>
  <sheetViews>
    <sheetView showGridLines="0" tabSelected="1" workbookViewId="0">
      <selection activeCell="A3" sqref="A3"/>
    </sheetView>
  </sheetViews>
  <sheetFormatPr defaultRowHeight="14.5" x14ac:dyDescent="0.35"/>
  <cols>
    <col min="1" max="1" width="9.453125" customWidth="1"/>
    <col min="2" max="2" width="10.26953125" customWidth="1"/>
    <col min="3" max="3" width="10" customWidth="1"/>
    <col min="4" max="4" width="6.453125" customWidth="1"/>
    <col min="5" max="5" width="9.1796875" customWidth="1"/>
  </cols>
  <sheetData>
    <row r="1" spans="1:5" ht="15" thickBot="1" x14ac:dyDescent="0.4">
      <c r="A1" s="1" t="s">
        <v>2</v>
      </c>
      <c r="B1" s="3"/>
      <c r="C1" s="1"/>
    </row>
    <row r="2" spans="1:5" ht="30" customHeight="1" thickBot="1" x14ac:dyDescent="0.4">
      <c r="A2" s="14" t="s">
        <v>3</v>
      </c>
      <c r="B2" s="15" t="s">
        <v>4</v>
      </c>
      <c r="E2" s="7"/>
    </row>
    <row r="3" spans="1:5" ht="15" customHeight="1" thickBot="1" x14ac:dyDescent="0.4">
      <c r="A3" s="13">
        <v>1</v>
      </c>
      <c r="B3" s="13">
        <v>3</v>
      </c>
      <c r="C3" s="16" t="s">
        <v>5</v>
      </c>
      <c r="D3" s="17">
        <f>Hjælp!E2</f>
        <v>1.9999999999999998</v>
      </c>
      <c r="E3" s="7"/>
    </row>
    <row r="4" spans="1:5" ht="15" customHeight="1" thickBot="1" x14ac:dyDescent="0.4">
      <c r="A4" s="4">
        <v>2</v>
      </c>
      <c r="B4" s="4">
        <v>3</v>
      </c>
      <c r="C4" s="6" t="s">
        <v>6</v>
      </c>
      <c r="D4" s="20">
        <f>CHIDIST(D3,Hjælp!F1)</f>
        <v>0.57240670447087982</v>
      </c>
      <c r="E4" s="9"/>
    </row>
    <row r="5" spans="1:5" ht="15" customHeight="1" x14ac:dyDescent="0.35">
      <c r="A5" s="4">
        <v>3</v>
      </c>
      <c r="B5" s="4">
        <v>3</v>
      </c>
      <c r="C5" s="7"/>
      <c r="D5" s="10"/>
      <c r="E5" s="11"/>
    </row>
    <row r="6" spans="1:5" ht="15" customHeight="1" x14ac:dyDescent="0.35">
      <c r="A6" s="4">
        <v>4</v>
      </c>
      <c r="B6" s="4">
        <v>3</v>
      </c>
      <c r="C6" s="19" t="s">
        <v>8</v>
      </c>
      <c r="D6" s="8">
        <v>16</v>
      </c>
      <c r="E6" s="9"/>
    </row>
    <row r="7" spans="1:5" ht="15" customHeight="1" x14ac:dyDescent="0.35">
      <c r="A7" s="4"/>
      <c r="B7" s="4"/>
      <c r="C7" s="7"/>
      <c r="D7" s="7"/>
      <c r="E7" s="12"/>
    </row>
    <row r="8" spans="1:5" ht="15" customHeight="1" x14ac:dyDescent="0.35">
      <c r="A8" s="4"/>
      <c r="B8" s="4"/>
      <c r="C8" s="7"/>
      <c r="D8" s="7"/>
      <c r="E8" s="7"/>
    </row>
    <row r="9" spans="1:5" ht="15" customHeight="1" x14ac:dyDescent="0.35">
      <c r="A9" s="4"/>
      <c r="B9" s="4"/>
    </row>
    <row r="10" spans="1:5" ht="15" customHeight="1" x14ac:dyDescent="0.35">
      <c r="A10" s="4"/>
      <c r="B10" s="4"/>
    </row>
    <row r="11" spans="1:5" ht="15" customHeight="1" x14ac:dyDescent="0.35">
      <c r="A11" s="4"/>
      <c r="B11" s="4"/>
    </row>
    <row r="12" spans="1:5" ht="15" customHeight="1" x14ac:dyDescent="0.35">
      <c r="A12" s="4"/>
      <c r="B12" s="4"/>
    </row>
    <row r="13" spans="1:5" ht="15" customHeight="1" x14ac:dyDescent="0.35">
      <c r="A13" s="4"/>
      <c r="B13" s="4"/>
    </row>
    <row r="14" spans="1:5" ht="15" customHeight="1" x14ac:dyDescent="0.35">
      <c r="A14" s="4"/>
      <c r="B14" s="4"/>
    </row>
    <row r="15" spans="1:5" x14ac:dyDescent="0.35">
      <c r="A15" s="4"/>
      <c r="B15" s="4"/>
    </row>
    <row r="16" spans="1:5" x14ac:dyDescent="0.35">
      <c r="A16" s="4"/>
      <c r="B16" s="4"/>
    </row>
    <row r="17" spans="1:11" x14ac:dyDescent="0.35">
      <c r="A17" s="4"/>
      <c r="B17" s="4"/>
    </row>
    <row r="18" spans="1:11" x14ac:dyDescent="0.35">
      <c r="A18" s="4"/>
      <c r="B18" s="4"/>
    </row>
    <row r="19" spans="1:11" x14ac:dyDescent="0.35">
      <c r="A19" s="4"/>
      <c r="B19" s="4"/>
    </row>
    <row r="20" spans="1:11" x14ac:dyDescent="0.35">
      <c r="A20" s="4"/>
      <c r="B20" s="4"/>
      <c r="I20" s="5" t="s">
        <v>1</v>
      </c>
    </row>
    <row r="23" spans="1:11" x14ac:dyDescent="0.35">
      <c r="K23" s="5" t="s"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H1001"/>
  <sheetViews>
    <sheetView workbookViewId="0">
      <selection activeCell="F1" sqref="F1"/>
    </sheetView>
  </sheetViews>
  <sheetFormatPr defaultRowHeight="14.5" x14ac:dyDescent="0.35"/>
  <cols>
    <col min="1" max="3" width="5.1796875" customWidth="1"/>
    <col min="4" max="4" width="9" customWidth="1"/>
    <col min="5" max="7" width="5.1796875" customWidth="1"/>
  </cols>
  <sheetData>
    <row r="1" spans="1:8" x14ac:dyDescent="0.35">
      <c r="A1">
        <v>0</v>
      </c>
      <c r="B1">
        <f>IF(F$1&gt;=3,_xlfn.CHISQ.DIST(A2,F$1,FALSE),_xlfn.CHISQ.DIST(A2/2,F$1,FALSE))</f>
        <v>5.0060559744146423E-2</v>
      </c>
      <c r="C1">
        <f>IF(A1&gt;='Goodness of fit'!$D$3,B1,0)</f>
        <v>0</v>
      </c>
      <c r="D1" s="2">
        <f>CHIDIST(A1,F$1)</f>
        <v>1</v>
      </c>
      <c r="E1" s="18"/>
      <c r="F1" s="18">
        <f>COUNT('Goodness of fit'!A3:A1000)-1</f>
        <v>3</v>
      </c>
      <c r="G1" s="18"/>
      <c r="H1" s="1" t="s">
        <v>7</v>
      </c>
    </row>
    <row r="2" spans="1:8" x14ac:dyDescent="0.35">
      <c r="A2">
        <f>'Goodness of fit'!D$6/1000+A1</f>
        <v>1.6E-2</v>
      </c>
      <c r="B2">
        <f>_xlfn.CHISQ.DIST(A2,F$1,FALSE)</f>
        <v>5.0060559744146423E-2</v>
      </c>
      <c r="C2">
        <f>IF(A2&gt;='Goodness of fit'!$D$3,B2,0)</f>
        <v>0</v>
      </c>
      <c r="D2" s="2">
        <f t="shared" ref="D2:D65" si="0">CHIDIST(A2,F$1)</f>
        <v>0.99946430804965902</v>
      </c>
      <c r="E2" s="18">
        <f>SUM(E3:E1000)</f>
        <v>1.9999999999999998</v>
      </c>
      <c r="F2" s="18">
        <f>'Goodness of fit'!$D$3</f>
        <v>1.9999999999999998</v>
      </c>
      <c r="G2" s="18">
        <v>0</v>
      </c>
      <c r="H2" t="s">
        <v>0</v>
      </c>
    </row>
    <row r="3" spans="1:8" x14ac:dyDescent="0.35">
      <c r="A3">
        <f>'Goodness of fit'!D$6/1000+A2</f>
        <v>3.2000000000000001E-2</v>
      </c>
      <c r="B3">
        <f t="shared" ref="B3:B66" si="1">_xlfn.CHISQ.DIST(A3,F$1,FALSE)</f>
        <v>7.0232211403017164E-2</v>
      </c>
      <c r="C3">
        <f>IF(A3&gt;='Goodness of fit'!$D$3,B3,0)</f>
        <v>0</v>
      </c>
      <c r="D3" s="2">
        <f t="shared" si="0"/>
        <v>0.9984920797935557</v>
      </c>
      <c r="E3" s="18">
        <f>IF('Goodness of fit'!B3&gt;0,('Goodness of fit'!A3-'Goodness of fit'!B3)^2/'Goodness of fit'!B3,"")</f>
        <v>1.3333333333333333</v>
      </c>
      <c r="F3" s="18">
        <f>F2</f>
        <v>1.9999999999999998</v>
      </c>
      <c r="G3" s="21">
        <f>'Goodness of fit'!$D$4</f>
        <v>0.57240670447087982</v>
      </c>
    </row>
    <row r="4" spans="1:8" x14ac:dyDescent="0.35">
      <c r="A4">
        <f>'Goodness of fit'!D$6/1000+A3</f>
        <v>4.8000000000000001E-2</v>
      </c>
      <c r="B4">
        <f t="shared" si="1"/>
        <v>8.533115360043822E-2</v>
      </c>
      <c r="C4">
        <f>IF(A4&gt;='Goodness of fit'!$D$3,B4,0)</f>
        <v>0</v>
      </c>
      <c r="D4" s="2">
        <f t="shared" si="0"/>
        <v>0.99724300864023352</v>
      </c>
      <c r="E4" s="18">
        <f>IF('Goodness of fit'!B4&gt;0,('Goodness of fit'!A4-'Goodness of fit'!B4)^2/'Goodness of fit'!B4,"")</f>
        <v>0.33333333333333331</v>
      </c>
      <c r="F4" s="18">
        <v>0</v>
      </c>
      <c r="G4" s="21">
        <f>G3</f>
        <v>0.57240670447087982</v>
      </c>
    </row>
    <row r="5" spans="1:8" x14ac:dyDescent="0.35">
      <c r="A5">
        <f>'Goodness of fit'!D$6/1000+A4</f>
        <v>6.4000000000000001E-2</v>
      </c>
      <c r="B5">
        <f t="shared" si="1"/>
        <v>9.774681820138445E-2</v>
      </c>
      <c r="C5">
        <f>IF(A5&gt;='Goodness of fit'!$D$3,B5,0)</f>
        <v>0</v>
      </c>
      <c r="D5" s="2">
        <f t="shared" si="0"/>
        <v>0.99577559473213051</v>
      </c>
      <c r="E5" s="18">
        <f>IF('Goodness of fit'!B5&gt;0,('Goodness of fit'!A5-'Goodness of fit'!B5)^2/'Goodness of fit'!B5,"")</f>
        <v>0</v>
      </c>
      <c r="F5" s="18"/>
      <c r="G5" s="18"/>
    </row>
    <row r="6" spans="1:8" x14ac:dyDescent="0.35">
      <c r="A6">
        <f>'Goodness of fit'!D$6/1000+A5</f>
        <v>0.08</v>
      </c>
      <c r="B6">
        <f t="shared" si="1"/>
        <v>0.10841347871048637</v>
      </c>
      <c r="C6">
        <f>IF(A6&gt;='Goodness of fit'!$D$3,B6,0)</f>
        <v>0</v>
      </c>
      <c r="D6" s="2">
        <f t="shared" si="0"/>
        <v>0.9941243682104941</v>
      </c>
      <c r="E6" s="18">
        <f>IF('Goodness of fit'!B6&gt;0,('Goodness of fit'!A6-'Goodness of fit'!B6)^2/'Goodness of fit'!B6,"")</f>
        <v>0.33333333333333331</v>
      </c>
      <c r="F6" s="18"/>
      <c r="G6" s="18"/>
    </row>
    <row r="7" spans="1:8" x14ac:dyDescent="0.35">
      <c r="A7">
        <f>'Goodness of fit'!D$6/1000+A6</f>
        <v>9.6000000000000002E-2</v>
      </c>
      <c r="B7">
        <f t="shared" si="1"/>
        <v>0.11781471776790522</v>
      </c>
      <c r="C7">
        <f>IF(A7&gt;='Goodness of fit'!$D$3,B7,0)</f>
        <v>0</v>
      </c>
      <c r="D7" s="2">
        <f t="shared" si="0"/>
        <v>0.9923130805464847</v>
      </c>
      <c r="E7" s="18" t="str">
        <f>IF('Goodness of fit'!B7&gt;0,('Goodness of fit'!A7-'Goodness of fit'!B7)^2/'Goodness of fit'!B7,"")</f>
        <v/>
      </c>
      <c r="F7" s="18"/>
      <c r="G7" s="18"/>
    </row>
    <row r="8" spans="1:8" x14ac:dyDescent="0.35">
      <c r="A8">
        <f>'Goodness of fit'!D$6/1000+A7</f>
        <v>0.112</v>
      </c>
      <c r="B8">
        <f t="shared" si="1"/>
        <v>0.12624046517460152</v>
      </c>
      <c r="C8">
        <f>IF(A8&gt;='Goodness of fit'!$D$3,B8,0)</f>
        <v>0</v>
      </c>
      <c r="D8" s="2">
        <f t="shared" si="0"/>
        <v>0.99035948314640554</v>
      </c>
      <c r="E8" s="18" t="str">
        <f>IF('Goodness of fit'!B8&gt;0,('Goodness of fit'!A8-'Goodness of fit'!B8)^2/'Goodness of fit'!B8,"")</f>
        <v/>
      </c>
      <c r="F8" s="18"/>
      <c r="G8" s="18"/>
    </row>
    <row r="9" spans="1:8" x14ac:dyDescent="0.35">
      <c r="A9">
        <f>'Goodness of fit'!D$6/1000+A8</f>
        <v>0.128</v>
      </c>
      <c r="B9">
        <f t="shared" si="1"/>
        <v>0.13388138725877138</v>
      </c>
      <c r="C9">
        <f>IF(A9&gt;='Goodness of fit'!$D$3,B9,0)</f>
        <v>0</v>
      </c>
      <c r="D9" s="2">
        <f t="shared" si="0"/>
        <v>0.98827756165379821</v>
      </c>
      <c r="E9" s="18" t="str">
        <f>IF('Goodness of fit'!B9&gt;0,('Goodness of fit'!A9-'Goodness of fit'!B9)^2/'Goodness of fit'!B9,"")</f>
        <v/>
      </c>
      <c r="F9" s="18"/>
      <c r="G9" s="18"/>
    </row>
    <row r="10" spans="1:8" x14ac:dyDescent="0.35">
      <c r="A10">
        <f>'Goodness of fit'!D$6/1000+A9</f>
        <v>0.14400000000000002</v>
      </c>
      <c r="B10">
        <f t="shared" si="1"/>
        <v>0.14087116595794844</v>
      </c>
      <c r="C10">
        <f>IF(A10&gt;='Goodness of fit'!$D$3,B10,0)</f>
        <v>0</v>
      </c>
      <c r="D10" s="2">
        <f t="shared" si="0"/>
        <v>0.98607874540434848</v>
      </c>
      <c r="E10" s="18" t="str">
        <f>IF('Goodness of fit'!B10&gt;0,('Goodness of fit'!A10-'Goodness of fit'!B10)^2/'Goodness of fit'!B10,"")</f>
        <v/>
      </c>
      <c r="F10" s="2"/>
      <c r="G10" s="2"/>
    </row>
    <row r="11" spans="1:8" x14ac:dyDescent="0.35">
      <c r="A11">
        <f>'Goodness of fit'!D$6/1000+A10</f>
        <v>0.16000000000000003</v>
      </c>
      <c r="B11">
        <f t="shared" si="1"/>
        <v>0.14730805612132938</v>
      </c>
      <c r="C11">
        <f>IF(A11&gt;='Goodness of fit'!$D$3,B11,0)</f>
        <v>0</v>
      </c>
      <c r="D11" s="2">
        <f t="shared" si="0"/>
        <v>0.98377262902201035</v>
      </c>
      <c r="E11" s="18" t="str">
        <f>IF('Goodness of fit'!B11&gt;0,('Goodness of fit'!A11-'Goodness of fit'!B11)^2/'Goodness of fit'!B11,"")</f>
        <v/>
      </c>
      <c r="F11" s="2"/>
      <c r="G11" s="2"/>
    </row>
    <row r="12" spans="1:8" x14ac:dyDescent="0.35">
      <c r="A12">
        <f>'Goodness of fit'!D$6/1000+A11</f>
        <v>0.17600000000000005</v>
      </c>
      <c r="B12">
        <f t="shared" si="1"/>
        <v>0.15326693950372319</v>
      </c>
      <c r="C12">
        <f>IF(A12&gt;='Goodness of fit'!$D$3,B12,0)</f>
        <v>0</v>
      </c>
      <c r="D12" s="2">
        <f t="shared" si="0"/>
        <v>0.98136743416021077</v>
      </c>
      <c r="E12" s="18" t="str">
        <f>IF('Goodness of fit'!B12&gt;0,('Goodness of fit'!A12-'Goodness of fit'!B12)^2/'Goodness of fit'!B12,"")</f>
        <v/>
      </c>
      <c r="F12" s="2"/>
      <c r="G12" s="2"/>
    </row>
    <row r="13" spans="1:8" x14ac:dyDescent="0.35">
      <c r="A13">
        <f>'Goodness of fit'!D$6/1000+A12</f>
        <v>0.19200000000000006</v>
      </c>
      <c r="B13">
        <f t="shared" si="1"/>
        <v>0.1588065496008387</v>
      </c>
      <c r="C13">
        <f>IF(A13&gt;='Goodness of fit'!$D$3,B13,0)</f>
        <v>0</v>
      </c>
      <c r="D13" s="2">
        <f t="shared" si="0"/>
        <v>0.97887032105541494</v>
      </c>
      <c r="E13" s="18" t="str">
        <f>IF('Goodness of fit'!B13&gt;0,('Goodness of fit'!A13-'Goodness of fit'!B13)^2/'Goodness of fit'!B13,"")</f>
        <v/>
      </c>
      <c r="F13" s="2"/>
      <c r="G13" s="2"/>
    </row>
    <row r="14" spans="1:8" x14ac:dyDescent="0.35">
      <c r="A14">
        <f>'Goodness of fit'!D$6/1000+A13</f>
        <v>0.20800000000000007</v>
      </c>
      <c r="B14">
        <f t="shared" si="1"/>
        <v>0.16397404385755371</v>
      </c>
      <c r="C14">
        <f>IF(A14&gt;='Goodness of fit'!$D$3,B14,0)</f>
        <v>0</v>
      </c>
      <c r="D14" s="2">
        <f t="shared" si="0"/>
        <v>0.97628760768961176</v>
      </c>
      <c r="E14" s="18" t="str">
        <f>IF('Goodness of fit'!B14&gt;0,('Goodness of fit'!A14-'Goodness of fit'!B14)^2/'Goodness of fit'!B14,"")</f>
        <v/>
      </c>
      <c r="F14" s="2"/>
      <c r="G14" s="2"/>
    </row>
    <row r="15" spans="1:8" x14ac:dyDescent="0.35">
      <c r="A15">
        <f>'Goodness of fit'!D$6/1000+A14</f>
        <v>0.22400000000000009</v>
      </c>
      <c r="B15">
        <f t="shared" si="1"/>
        <v>0.16880802663961955</v>
      </c>
      <c r="C15">
        <f>IF(A15&gt;='Goodness of fit'!$D$3,B15,0)</f>
        <v>0</v>
      </c>
      <c r="D15" s="2">
        <f t="shared" si="0"/>
        <v>0.97362492924011246</v>
      </c>
      <c r="E15" s="18" t="str">
        <f>IF('Goodness of fit'!B15&gt;0,('Goodness of fit'!A15-'Goodness of fit'!B15)^2/'Goodness of fit'!B15,"")</f>
        <v/>
      </c>
      <c r="F15" s="2"/>
      <c r="G15" s="2"/>
    </row>
    <row r="16" spans="1:8" x14ac:dyDescent="0.35">
      <c r="A16">
        <f>'Goodness of fit'!D$6/1000+A15</f>
        <v>0.2400000000000001</v>
      </c>
      <c r="B16">
        <f t="shared" si="1"/>
        <v>0.17334062129521516</v>
      </c>
      <c r="C16">
        <f>IF(A16&gt;='Goodness of fit'!$D$3,B16,0)</f>
        <v>0</v>
      </c>
      <c r="D16" s="2">
        <f t="shared" si="0"/>
        <v>0.97088735735683618</v>
      </c>
      <c r="E16" s="18" t="str">
        <f>IF('Goodness of fit'!B16&gt;0,('Goodness of fit'!A16-'Goodness of fit'!B16)^2/'Goodness of fit'!B16,"")</f>
        <v/>
      </c>
      <c r="F16" s="2"/>
      <c r="G16" s="2"/>
    </row>
    <row r="17" spans="1:7" x14ac:dyDescent="0.35">
      <c r="A17">
        <f>'Goodness of fit'!D$6/1000+A16</f>
        <v>0.25600000000000012</v>
      </c>
      <c r="B17">
        <f t="shared" si="1"/>
        <v>0.17759893404233479</v>
      </c>
      <c r="C17">
        <f>IF(A17&gt;='Goodness of fit'!$D$3,B17,0)</f>
        <v>0</v>
      </c>
      <c r="D17" s="2">
        <f t="shared" si="0"/>
        <v>0.96807949149790606</v>
      </c>
      <c r="E17" s="18" t="str">
        <f>IF('Goodness of fit'!B17&gt;0,('Goodness of fit'!A17-'Goodness of fit'!B17)^2/'Goodness of fit'!B17,"")</f>
        <v/>
      </c>
      <c r="F17" s="2"/>
      <c r="G17" s="2"/>
    </row>
    <row r="18" spans="1:7" x14ac:dyDescent="0.35">
      <c r="A18">
        <f>'Goodness of fit'!D$6/1000+A17</f>
        <v>0.27200000000000013</v>
      </c>
      <c r="B18">
        <f t="shared" si="1"/>
        <v>0.18160611516828212</v>
      </c>
      <c r="C18">
        <f>IF(A18&gt;='Goodness of fit'!$D$3,B18,0)</f>
        <v>0</v>
      </c>
      <c r="D18" s="2">
        <f t="shared" si="0"/>
        <v>0.96520553027666389</v>
      </c>
      <c r="E18" s="18" t="str">
        <f>IF('Goodness of fit'!B18&gt;0,('Goodness of fit'!A18-'Goodness of fit'!B18)^2/'Goodness of fit'!B18,"")</f>
        <v/>
      </c>
      <c r="F18" s="2"/>
      <c r="G18" s="2"/>
    </row>
    <row r="19" spans="1:7" x14ac:dyDescent="0.35">
      <c r="A19">
        <f>'Goodness of fit'!D$6/1000+A18</f>
        <v>0.28800000000000014</v>
      </c>
      <c r="B19">
        <f t="shared" si="1"/>
        <v>0.18538214558323712</v>
      </c>
      <c r="C19">
        <f>IF(A19&gt;='Goodness of fit'!$D$3,B19,0)</f>
        <v>0</v>
      </c>
      <c r="D19" s="2">
        <f t="shared" si="0"/>
        <v>0.96226932816139066</v>
      </c>
      <c r="E19" s="18" t="str">
        <f>IF('Goodness of fit'!B19&gt;0,('Goodness of fit'!A19-'Goodness of fit'!B19)^2/'Goodness of fit'!B19,"")</f>
        <v/>
      </c>
      <c r="F19" s="2"/>
      <c r="G19" s="2"/>
    </row>
    <row r="20" spans="1:7" x14ac:dyDescent="0.35">
      <c r="A20">
        <f>'Goodness of fit'!D$6/1000+A19</f>
        <v>0.30400000000000016</v>
      </c>
      <c r="B20">
        <f t="shared" si="1"/>
        <v>0.18894443119537252</v>
      </c>
      <c r="C20">
        <f>IF(A20&gt;='Goodness of fit'!$D$3,B20,0)</f>
        <v>0</v>
      </c>
      <c r="D20" s="2">
        <f t="shared" si="0"/>
        <v>0.95927444121581151</v>
      </c>
      <c r="E20" s="18" t="str">
        <f>IF('Goodness of fit'!B20&gt;0,('Goodness of fit'!A20-'Goodness of fit'!B20)^2/'Goodness of fit'!B20,"")</f>
        <v/>
      </c>
      <c r="F20" s="2"/>
      <c r="G20" s="2"/>
    </row>
    <row r="21" spans="1:7" x14ac:dyDescent="0.35">
      <c r="A21">
        <f>'Goodness of fit'!D$6/1000+A20</f>
        <v>0.32000000000000017</v>
      </c>
      <c r="B21">
        <f t="shared" si="1"/>
        <v>0.19230825976786159</v>
      </c>
      <c r="C21">
        <f>IF(A21&gt;='Goodness of fit'!$D$3,B21,0)</f>
        <v>0</v>
      </c>
      <c r="D21" s="2">
        <f t="shared" si="0"/>
        <v>0.95622416448905456</v>
      </c>
      <c r="E21" s="18" t="str">
        <f>IF('Goodness of fit'!B21&gt;0,('Goodness of fit'!A21-'Goodness of fit'!B21)^2/'Goodness of fit'!B21,"")</f>
        <v/>
      </c>
      <c r="F21" s="2"/>
      <c r="G21" s="2"/>
    </row>
    <row r="22" spans="1:7" x14ac:dyDescent="0.35">
      <c r="A22">
        <f>'Goodness of fit'!D$6/1000+A21</f>
        <v>0.33600000000000019</v>
      </c>
      <c r="B22">
        <f t="shared" si="1"/>
        <v>0.19548715740956371</v>
      </c>
      <c r="C22">
        <f>IF(A22&gt;='Goodness of fit'!$D$3,B22,0)</f>
        <v>0</v>
      </c>
      <c r="D22" s="2">
        <f t="shared" si="0"/>
        <v>0.953121562939652</v>
      </c>
      <c r="E22" s="18" t="str">
        <f>IF('Goodness of fit'!B22&gt;0,('Goodness of fit'!A22-'Goodness of fit'!B22)^2/'Goodness of fit'!B22,"")</f>
        <v/>
      </c>
      <c r="F22" s="2"/>
      <c r="G22" s="2"/>
    </row>
    <row r="23" spans="1:7" x14ac:dyDescent="0.35">
      <c r="A23">
        <f>'Goodness of fit'!D$6/1000+A22</f>
        <v>0.3520000000000002</v>
      </c>
      <c r="B23">
        <f t="shared" si="1"/>
        <v>0.19849317051819093</v>
      </c>
      <c r="C23">
        <f>IF(A23&gt;='Goodness of fit'!$D$3,B23,0)</f>
        <v>0</v>
      </c>
      <c r="D23" s="2">
        <f t="shared" si="0"/>
        <v>0.94996949728075553</v>
      </c>
      <c r="E23" s="18" t="str">
        <f>IF('Goodness of fit'!B23&gt;0,('Goodness of fit'!A23-'Goodness of fit'!B23)^2/'Goodness of fit'!B23,"")</f>
        <v/>
      </c>
      <c r="F23" s="2"/>
      <c r="G23" s="2"/>
    </row>
    <row r="24" spans="1:7" x14ac:dyDescent="0.35">
      <c r="A24">
        <f>'Goodness of fit'!D$6/1000+A23</f>
        <v>0.36800000000000022</v>
      </c>
      <c r="B24">
        <f t="shared" si="1"/>
        <v>0.20133709147737824</v>
      </c>
      <c r="C24">
        <f>IF(A24&gt;='Goodness of fit'!$D$3,B24,0)</f>
        <v>0</v>
      </c>
      <c r="D24" s="2">
        <f t="shared" si="0"/>
        <v>0.94677064578476799</v>
      </c>
      <c r="E24" s="18" t="str">
        <f>IF('Goodness of fit'!B24&gt;0,('Goodness of fit'!A24-'Goodness of fit'!B24)^2/'Goodness of fit'!B24,"")</f>
        <v/>
      </c>
      <c r="F24" s="2"/>
      <c r="G24" s="2"/>
    </row>
    <row r="25" spans="1:7" x14ac:dyDescent="0.35">
      <c r="A25">
        <f>'Goodness of fit'!D$6/1000+A24</f>
        <v>0.38400000000000023</v>
      </c>
      <c r="B25">
        <f t="shared" si="1"/>
        <v>0.2040286413125646</v>
      </c>
      <c r="C25">
        <f>IF(A25&gt;='Goodness of fit'!$D$3,B25,0)</f>
        <v>0</v>
      </c>
      <c r="D25" s="2">
        <f t="shared" si="0"/>
        <v>0.94352752283609997</v>
      </c>
      <c r="E25" s="18" t="str">
        <f>IF('Goodness of fit'!B25&gt;0,('Goodness of fit'!A25-'Goodness of fit'!B25)^2/'Goodness of fit'!B25,"")</f>
        <v/>
      </c>
      <c r="F25" s="2"/>
      <c r="G25" s="2"/>
    </row>
    <row r="26" spans="1:7" x14ac:dyDescent="0.35">
      <c r="A26">
        <f>'Goodness of fit'!D$6/1000+A25</f>
        <v>0.40000000000000024</v>
      </c>
      <c r="B26">
        <f t="shared" si="1"/>
        <v>0.20657661898691132</v>
      </c>
      <c r="C26">
        <f>IF(A26&gt;='Goodness of fit'!$D$3,B26,0)</f>
        <v>0</v>
      </c>
      <c r="D26" s="2">
        <f t="shared" si="0"/>
        <v>0.94024249483936073</v>
      </c>
      <c r="E26" s="18" t="str">
        <f>IF('Goodness of fit'!B26&gt;0,('Goodness of fit'!A26-'Goodness of fit'!B26)^2/'Goodness of fit'!B26,"")</f>
        <v/>
      </c>
      <c r="F26" s="2"/>
      <c r="G26" s="2"/>
    </row>
    <row r="27" spans="1:7" x14ac:dyDescent="0.35">
      <c r="A27">
        <f>'Goodness of fit'!D$6/1000+A26</f>
        <v>0.41600000000000026</v>
      </c>
      <c r="B27">
        <f t="shared" si="1"/>
        <v>0.20898902453870699</v>
      </c>
      <c r="C27">
        <f>IF(A27&gt;='Goodness of fit'!$D$3,B27,0)</f>
        <v>0</v>
      </c>
      <c r="D27" s="2">
        <f t="shared" si="0"/>
        <v>0.93691779395636177</v>
      </c>
      <c r="E27" s="18" t="str">
        <f>IF('Goodness of fit'!B27&gt;0,('Goodness of fit'!A27-'Goodness of fit'!B27)^2/'Goodness of fit'!B27,"")</f>
        <v/>
      </c>
      <c r="F27" s="2"/>
      <c r="G27" s="2"/>
    </row>
    <row r="28" spans="1:7" x14ac:dyDescent="0.35">
      <c r="A28">
        <f>'Goodness of fit'!D$6/1000+A27</f>
        <v>0.43200000000000027</v>
      </c>
      <c r="B28">
        <f t="shared" si="1"/>
        <v>0.21127316148828126</v>
      </c>
      <c r="C28">
        <f>IF(A28&gt;='Goodness of fit'!$D$3,B28,0)</f>
        <v>0</v>
      </c>
      <c r="D28" s="2">
        <f t="shared" si="0"/>
        <v>0.93355553004504621</v>
      </c>
      <c r="E28" s="18" t="str">
        <f>IF('Goodness of fit'!B28&gt;0,('Goodness of fit'!A28-'Goodness of fit'!B28)^2/'Goodness of fit'!B28,"")</f>
        <v/>
      </c>
      <c r="F28" s="2"/>
      <c r="G28" s="2"/>
    </row>
    <row r="29" spans="1:7" x14ac:dyDescent="0.35">
      <c r="A29">
        <f>'Goodness of fit'!D$6/1000+A28</f>
        <v>0.44800000000000029</v>
      </c>
      <c r="B29">
        <f t="shared" si="1"/>
        <v>0.213435722655449</v>
      </c>
      <c r="C29">
        <f>IF(A29&gt;='Goodness of fit'!$D$3,B29,0)</f>
        <v>0</v>
      </c>
      <c r="D29" s="2">
        <f t="shared" si="0"/>
        <v>0.93015770109744478</v>
      </c>
      <c r="E29" s="18" t="str">
        <f>IF('Goodness of fit'!B29&gt;0,('Goodness of fit'!A29-'Goodness of fit'!B29)^2/'Goodness of fit'!B29,"")</f>
        <v/>
      </c>
      <c r="F29" s="2"/>
      <c r="G29" s="2"/>
    </row>
    <row r="30" spans="1:7" x14ac:dyDescent="0.35">
      <c r="A30">
        <f>'Goodness of fit'!D$6/1000+A29</f>
        <v>0.4640000000000003</v>
      </c>
      <c r="B30">
        <f t="shared" si="1"/>
        <v>0.21548286258186183</v>
      </c>
      <c r="C30">
        <f>IF(A30&gt;='Goodness of fit'!$D$3,B30,0)</f>
        <v>0</v>
      </c>
      <c r="D30" s="2">
        <f t="shared" si="0"/>
        <v>0.926726202415453</v>
      </c>
      <c r="E30" s="18" t="str">
        <f>IF('Goodness of fit'!B30&gt;0,('Goodness of fit'!A30-'Goodness of fit'!B30)^2/'Goodness of fit'!B30,"")</f>
        <v/>
      </c>
      <c r="F30" s="2"/>
      <c r="G30" s="2"/>
    </row>
    <row r="31" spans="1:7" x14ac:dyDescent="0.35">
      <c r="A31">
        <f>'Goodness of fit'!D$6/1000+A30</f>
        <v>0.48000000000000032</v>
      </c>
      <c r="B31">
        <f t="shared" si="1"/>
        <v>0.2174202590477157</v>
      </c>
      <c r="C31">
        <f>IF(A31&gt;='Goodness of fit'!$D$3,B31,0)</f>
        <v>0</v>
      </c>
      <c r="D31" s="2">
        <f t="shared" si="0"/>
        <v>0.92326283471802506</v>
      </c>
      <c r="E31" s="18" t="str">
        <f>IF('Goodness of fit'!B31&gt;0,('Goodness of fit'!A31-'Goodness of fit'!B31)^2/'Goodness of fit'!B31,"")</f>
        <v/>
      </c>
      <c r="F31" s="2"/>
      <c r="G31" s="2"/>
    </row>
    <row r="32" spans="1:7" x14ac:dyDescent="0.35">
      <c r="A32">
        <f>'Goodness of fit'!D$6/1000+A31</f>
        <v>0.49600000000000033</v>
      </c>
      <c r="B32">
        <f t="shared" si="1"/>
        <v>0.21925316564130073</v>
      </c>
      <c r="C32">
        <f>IF(A32&gt;='Goodness of fit'!$D$3,B32,0)</f>
        <v>0</v>
      </c>
      <c r="D32" s="2">
        <f t="shared" si="0"/>
        <v>0.91976931133799367</v>
      </c>
      <c r="E32" s="18" t="str">
        <f>IF('Goodness of fit'!B32&gt;0,('Goodness of fit'!A32-'Goodness of fit'!B32)^2/'Goodness of fit'!B32,"")</f>
        <v/>
      </c>
      <c r="F32" s="2"/>
      <c r="G32" s="2"/>
    </row>
    <row r="33" spans="1:7" x14ac:dyDescent="0.35">
      <c r="A33">
        <f>'Goodness of fit'!D$6/1000+A32</f>
        <v>0.51200000000000034</v>
      </c>
      <c r="B33">
        <f t="shared" si="1"/>
        <v>0.22098645693571781</v>
      </c>
      <c r="C33">
        <f>IF(A33&gt;='Goodness of fit'!$D$3,B33,0)</f>
        <v>0</v>
      </c>
      <c r="D33" s="2">
        <f t="shared" si="0"/>
        <v>0.91624726463876505</v>
      </c>
      <c r="E33" s="18" t="str">
        <f>IF('Goodness of fit'!B33&gt;0,('Goodness of fit'!A33-'Goodness of fit'!B33)^2/'Goodness of fit'!B33,"")</f>
        <v/>
      </c>
      <c r="F33" s="2"/>
      <c r="G33" s="2"/>
    </row>
    <row r="34" spans="1:7" x14ac:dyDescent="0.35">
      <c r="A34">
        <f>'Goodness of fit'!D$6/1000+A33</f>
        <v>0.52800000000000036</v>
      </c>
      <c r="B34">
        <f t="shared" si="1"/>
        <v>0.22262466751642293</v>
      </c>
      <c r="C34">
        <f>IF(A34&gt;='Goodness of fit'!$D$3,B34,0)</f>
        <v>0</v>
      </c>
      <c r="D34" s="2">
        <f t="shared" si="0"/>
        <v>0.91269825175886277</v>
      </c>
      <c r="E34" s="18" t="str">
        <f>IF('Goodness of fit'!B34&gt;0,('Goodness of fit'!A34-'Goodness of fit'!B34)^2/'Goodness of fit'!B34,"")</f>
        <v/>
      </c>
      <c r="F34" s="2"/>
      <c r="G34" s="2"/>
    </row>
    <row r="35" spans="1:7" x14ac:dyDescent="0.35">
      <c r="A35">
        <f>'Goodness of fit'!D$6/1000+A34</f>
        <v>0.54400000000000037</v>
      </c>
      <c r="B35">
        <f t="shared" si="1"/>
        <v>0.22417202586226384</v>
      </c>
      <c r="C35">
        <f>IF(A35&gt;='Goodness of fit'!$D$3,B35,0)</f>
        <v>0</v>
      </c>
      <c r="D35" s="2">
        <f t="shared" si="0"/>
        <v>0.90912375977440352</v>
      </c>
      <c r="E35" s="18" t="str">
        <f>IF('Goodness of fit'!B35&gt;0,('Goodness of fit'!A35-'Goodness of fit'!B35)^2/'Goodness of fit'!B35,"")</f>
        <v/>
      </c>
      <c r="F35" s="2"/>
      <c r="G35" s="2"/>
    </row>
    <row r="36" spans="1:7" x14ac:dyDescent="0.35">
      <c r="A36">
        <f>'Goodness of fit'!D$6/1000+A35</f>
        <v>0.56000000000000039</v>
      </c>
      <c r="B36">
        <f t="shared" si="1"/>
        <v>0.22563248389414692</v>
      </c>
      <c r="C36">
        <f>IF(A36&gt;='Goodness of fit'!$D$3,B36,0)</f>
        <v>0</v>
      </c>
      <c r="D36" s="2">
        <f t="shared" si="0"/>
        <v>0.90552521035511258</v>
      </c>
      <c r="E36" s="18" t="str">
        <f>IF('Goodness of fit'!B36&gt;0,('Goodness of fit'!A36-'Goodness of fit'!B36)^2/'Goodness of fit'!B36,"")</f>
        <v/>
      </c>
      <c r="F36" s="2"/>
      <c r="G36" s="2"/>
    </row>
    <row r="37" spans="1:7" x14ac:dyDescent="0.35">
      <c r="A37">
        <f>'Goodness of fit'!D$6/1000+A36</f>
        <v>0.5760000000000004</v>
      </c>
      <c r="B37">
        <f t="shared" si="1"/>
        <v>0.22700974285679318</v>
      </c>
      <c r="C37">
        <f>IF(A37&gt;='Goodness of fit'!$D$3,B37,0)</f>
        <v>0</v>
      </c>
      <c r="D37" s="2">
        <f t="shared" si="0"/>
        <v>0.90190396397769823</v>
      </c>
      <c r="E37" s="18" t="str">
        <f>IF('Goodness of fit'!B37&gt;0,('Goodness of fit'!A37-'Goodness of fit'!B37)^2/'Goodness of fit'!B37,"")</f>
        <v/>
      </c>
      <c r="F37" s="2"/>
      <c r="G37" s="2"/>
    </row>
    <row r="38" spans="1:7" x14ac:dyDescent="0.35">
      <c r="A38">
        <f>'Goodness of fit'!D$6/1000+A37</f>
        <v>0.59200000000000041</v>
      </c>
      <c r="B38">
        <f t="shared" si="1"/>
        <v>0.22830727608092613</v>
      </c>
      <c r="C38">
        <f>IF(A38&gt;='Goodness of fit'!$D$3,B38,0)</f>
        <v>0</v>
      </c>
      <c r="D38" s="2">
        <f t="shared" si="0"/>
        <v>0.89826132375073664</v>
      </c>
      <c r="E38" s="18" t="str">
        <f>IF('Goodness of fit'!B38&gt;0,('Goodness of fit'!A38-'Goodness of fit'!B38)^2/'Goodness of fit'!B38,"")</f>
        <v/>
      </c>
      <c r="F38" s="2"/>
      <c r="G38" s="2"/>
    </row>
    <row r="39" spans="1:7" x14ac:dyDescent="0.35">
      <c r="A39">
        <f>'Goodness of fit'!D$6/1000+A38</f>
        <v>0.60800000000000043</v>
      </c>
      <c r="B39">
        <f t="shared" si="1"/>
        <v>0.22952834907872927</v>
      </c>
      <c r="C39">
        <f>IF(A39&gt;='Goodness of fit'!$D$3,B39,0)</f>
        <v>0</v>
      </c>
      <c r="D39" s="2">
        <f t="shared" si="0"/>
        <v>0.89459853889724383</v>
      </c>
      <c r="E39" s="18" t="str">
        <f>IF('Goodness of fit'!B39&gt;0,('Goodness of fit'!A39-'Goodness of fit'!B39)^2/'Goodness of fit'!B39,"")</f>
        <v/>
      </c>
      <c r="F39" s="2"/>
      <c r="G39" s="2"/>
    </row>
    <row r="40" spans="1:7" x14ac:dyDescent="0.35">
      <c r="A40">
        <f>'Goodness of fit'!D$6/1000+A39</f>
        <v>0.62400000000000044</v>
      </c>
      <c r="B40">
        <f t="shared" si="1"/>
        <v>0.23067603734930459</v>
      </c>
      <c r="C40">
        <f>IF(A40&gt;='Goodness of fit'!$D$3,B40,0)</f>
        <v>0</v>
      </c>
      <c r="D40" s="2">
        <f t="shared" si="0"/>
        <v>0.89091680793449934</v>
      </c>
      <c r="E40" s="18" t="str">
        <f>IF('Goodness of fit'!B40&gt;0,('Goodness of fit'!A40-'Goodness of fit'!B40)^2/'Goodness of fit'!B40,"")</f>
        <v/>
      </c>
      <c r="F40" s="2"/>
      <c r="G40" s="2"/>
    </row>
    <row r="41" spans="1:7" x14ac:dyDescent="0.35">
      <c r="A41">
        <f>'Goodness of fit'!D$6/1000+A40</f>
        <v>0.64000000000000046</v>
      </c>
      <c r="B41">
        <f t="shared" si="1"/>
        <v>0.23175324220918617</v>
      </c>
      <c r="C41">
        <f>IF(A41&gt;='Goodness of fit'!$D$3,B41,0)</f>
        <v>0</v>
      </c>
      <c r="D41" s="2">
        <f t="shared" si="0"/>
        <v>0.88721728158516566</v>
      </c>
      <c r="E41" s="18" t="str">
        <f>IF('Goodness of fit'!B41&gt;0,('Goodness of fit'!A41-'Goodness of fit'!B41)^2/'Goodness of fit'!B41,"")</f>
        <v/>
      </c>
      <c r="F41" s="2"/>
      <c r="G41" s="2"/>
    </row>
    <row r="42" spans="1:7" x14ac:dyDescent="0.35">
      <c r="A42">
        <f>'Goodness of fit'!D$6/1000+A41</f>
        <v>0.65600000000000047</v>
      </c>
      <c r="B42">
        <f t="shared" si="1"/>
        <v>0.2327627049126873</v>
      </c>
      <c r="C42">
        <f>IF(A42&gt;='Goodness of fit'!$D$3,B42,0)</f>
        <v>0</v>
      </c>
      <c r="D42" s="2">
        <f t="shared" si="0"/>
        <v>0.88350106544912399</v>
      </c>
      <c r="E42" s="18" t="str">
        <f>IF('Goodness of fit'!B42&gt;0,('Goodness of fit'!A42-'Goodness of fit'!B42)^2/'Goodness of fit'!B42,"")</f>
        <v/>
      </c>
      <c r="F42" s="2"/>
      <c r="G42" s="2"/>
    </row>
    <row r="43" spans="1:7" x14ac:dyDescent="0.35">
      <c r="A43">
        <f>'Goodness of fit'!D$6/1000+A42</f>
        <v>0.67200000000000049</v>
      </c>
      <c r="B43">
        <f t="shared" si="1"/>
        <v>0.23370701928564969</v>
      </c>
      <c r="C43">
        <f>IF(A43&gt;='Goodness of fit'!$D$3,B43,0)</f>
        <v>0</v>
      </c>
      <c r="D43" s="2">
        <f t="shared" si="0"/>
        <v>0.87976922246155242</v>
      </c>
      <c r="E43" s="18" t="str">
        <f>IF('Goodness of fit'!B43&gt;0,('Goodness of fit'!A43-'Goodness of fit'!B43)^2/'Goodness of fit'!B43,"")</f>
        <v/>
      </c>
      <c r="F43" s="2"/>
      <c r="G43" s="2"/>
    </row>
    <row r="44" spans="1:7" x14ac:dyDescent="0.35">
      <c r="A44">
        <f>'Goodness of fit'!D$6/1000+A43</f>
        <v>0.6880000000000005</v>
      </c>
      <c r="B44">
        <f t="shared" si="1"/>
        <v>0.23458864306220664</v>
      </c>
      <c r="C44">
        <f>IF(A44&gt;='Goodness of fit'!$D$3,B44,0)</f>
        <v>0</v>
      </c>
      <c r="D44" s="2">
        <f t="shared" si="0"/>
        <v>0.87602277515947125</v>
      </c>
      <c r="E44" s="18" t="str">
        <f>IF('Goodness of fit'!B44&gt;0,('Goodness of fit'!A44-'Goodness of fit'!B44)^2/'Goodness of fit'!B44,"")</f>
        <v/>
      </c>
      <c r="F44" s="2"/>
      <c r="G44" s="2"/>
    </row>
    <row r="45" spans="1:7" x14ac:dyDescent="0.35">
      <c r="A45">
        <f>'Goodness of fit'!D$6/1000+A44</f>
        <v>0.70400000000000051</v>
      </c>
      <c r="B45">
        <f t="shared" si="1"/>
        <v>0.2354099080860492</v>
      </c>
      <c r="C45">
        <f>IF(A45&gt;='Goodness of fit'!$D$3,B45,0)</f>
        <v>0</v>
      </c>
      <c r="D45" s="2">
        <f t="shared" si="0"/>
        <v>0.87226270777618387</v>
      </c>
      <c r="E45" s="18" t="str">
        <f>IF('Goodness of fit'!B45&gt;0,('Goodness of fit'!A45-'Goodness of fit'!B45)^2/'Goodness of fit'!B45,"")</f>
        <v/>
      </c>
      <c r="F45" s="2"/>
      <c r="G45" s="2"/>
    </row>
    <row r="46" spans="1:7" x14ac:dyDescent="0.35">
      <c r="A46">
        <f>'Goodness of fit'!D$6/1000+A45</f>
        <v>0.72000000000000053</v>
      </c>
      <c r="B46">
        <f t="shared" si="1"/>
        <v>0.2361730295142862</v>
      </c>
      <c r="C46">
        <f>IF(A46&gt;='Goodness of fit'!$D$3,B46,0)</f>
        <v>0</v>
      </c>
      <c r="D46" s="2">
        <f t="shared" si="0"/>
        <v>0.86848996818064628</v>
      </c>
      <c r="E46" s="18" t="str">
        <f>IF('Goodness of fit'!B46&gt;0,('Goodness of fit'!A46-'Goodness of fit'!B46)^2/'Goodness of fit'!B46,"")</f>
        <v/>
      </c>
      <c r="F46" s="2"/>
      <c r="G46" s="2"/>
    </row>
    <row r="47" spans="1:7" x14ac:dyDescent="0.35">
      <c r="A47">
        <f>'Goodness of fit'!D$6/1000+A46</f>
        <v>0.73600000000000054</v>
      </c>
      <c r="B47">
        <f t="shared" si="1"/>
        <v>0.23688011414243162</v>
      </c>
      <c r="C47">
        <f>IF(A47&gt;='Goodness of fit'!$D$3,B47,0)</f>
        <v>0</v>
      </c>
      <c r="D47" s="2">
        <f t="shared" si="0"/>
        <v>0.86470546967675266</v>
      </c>
      <c r="E47" s="18" t="str">
        <f>IF('Goodness of fit'!B47&gt;0,('Goodness of fit'!A47-'Goodness of fit'!B47)^2/'Goodness of fit'!B47,"")</f>
        <v/>
      </c>
      <c r="F47" s="2"/>
      <c r="G47" s="2"/>
    </row>
    <row r="48" spans="1:7" x14ac:dyDescent="0.35">
      <c r="A48">
        <f>'Goodness of fit'!D$6/1000+A47</f>
        <v>0.75200000000000056</v>
      </c>
      <c r="B48">
        <f t="shared" si="1"/>
        <v>0.23753316795263416</v>
      </c>
      <c r="C48">
        <f>IF(A48&gt;='Goodness of fit'!$D$3,B48,0)</f>
        <v>0</v>
      </c>
      <c r="D48" s="2">
        <f t="shared" si="0"/>
        <v>0.86091009267576091</v>
      </c>
      <c r="E48" s="18" t="str">
        <f>IF('Goodness of fit'!B48&gt;0,('Goodness of fit'!A48-'Goodness of fit'!B48)^2/'Goodness of fit'!B48,"")</f>
        <v/>
      </c>
      <c r="F48" s="2"/>
      <c r="G48" s="2"/>
    </row>
    <row r="49" spans="1:7" x14ac:dyDescent="0.35">
      <c r="A49">
        <f>'Goodness of fit'!D$6/1000+A48</f>
        <v>0.76800000000000057</v>
      </c>
      <c r="B49">
        <f t="shared" si="1"/>
        <v>0.2381341029734263</v>
      </c>
      <c r="C49">
        <f>IF(A49&gt;='Goodness of fit'!$D$3,B49,0)</f>
        <v>0</v>
      </c>
      <c r="D49" s="2">
        <f t="shared" si="0"/>
        <v>0.85710468625356451</v>
      </c>
      <c r="E49" s="18" t="str">
        <f>IF('Goodness of fit'!B49&gt;0,('Goodness of fit'!A49-'Goodness of fit'!B49)^2/'Goodness of fit'!B49,"")</f>
        <v/>
      </c>
      <c r="F49" s="2"/>
      <c r="G49" s="2"/>
    </row>
    <row r="50" spans="1:7" x14ac:dyDescent="0.35">
      <c r="A50">
        <f>'Goodness of fit'!D$6/1000+A49</f>
        <v>0.78400000000000059</v>
      </c>
      <c r="B50">
        <f t="shared" si="1"/>
        <v>0.23868474352756211</v>
      </c>
      <c r="C50">
        <f>IF(A50&gt;='Goodness of fit'!$D$3,B50,0)</f>
        <v>0</v>
      </c>
      <c r="D50" s="2">
        <f t="shared" si="0"/>
        <v>0.85329006960319875</v>
      </c>
      <c r="E50" s="18" t="str">
        <f>IF('Goodness of fit'!B50&gt;0,('Goodness of fit'!A50-'Goodness of fit'!B50)^2/'Goodness of fit'!B50,"")</f>
        <v/>
      </c>
      <c r="F50" s="2"/>
      <c r="G50" s="2"/>
    </row>
    <row r="51" spans="1:7" x14ac:dyDescent="0.35">
      <c r="A51">
        <f>'Goodness of fit'!D$6/1000+A50</f>
        <v>0.8000000000000006</v>
      </c>
      <c r="B51">
        <f t="shared" si="1"/>
        <v>0.23918683193456394</v>
      </c>
      <c r="C51">
        <f>IF(A51&gt;='Goodness of fit'!$D$3,B51,0)</f>
        <v>0</v>
      </c>
      <c r="D51" s="2">
        <f t="shared" si="0"/>
        <v>0.8494670333918255</v>
      </c>
      <c r="E51" s="18" t="str">
        <f>IF('Goodness of fit'!B51&gt;0,('Goodness of fit'!A51-'Goodness of fit'!B51)^2/'Goodness of fit'!B51,"")</f>
        <v/>
      </c>
      <c r="F51" s="2"/>
      <c r="G51" s="2"/>
    </row>
    <row r="52" spans="1:7" x14ac:dyDescent="0.35">
      <c r="A52">
        <f>'Goodness of fit'!D$6/1000+A51</f>
        <v>0.81600000000000061</v>
      </c>
      <c r="B52">
        <f t="shared" si="1"/>
        <v>0.23964203372612469</v>
      </c>
      <c r="C52">
        <f>IF(A52&gt;='Goodness of fit'!$D$3,B52,0)</f>
        <v>0</v>
      </c>
      <c r="D52" s="2">
        <f t="shared" si="0"/>
        <v>0.84563634103044838</v>
      </c>
      <c r="E52" s="18" t="str">
        <f>IF('Goodness of fit'!B52&gt;0,('Goodness of fit'!A52-'Goodness of fit'!B52)^2/'Goodness of fit'!B52,"")</f>
        <v/>
      </c>
      <c r="F52" s="2"/>
      <c r="G52" s="2"/>
    </row>
    <row r="53" spans="1:7" x14ac:dyDescent="0.35">
      <c r="A53">
        <f>'Goodness of fit'!D$6/1000+A52</f>
        <v>0.83200000000000063</v>
      </c>
      <c r="B53">
        <f t="shared" si="1"/>
        <v>0.24005194242525696</v>
      </c>
      <c r="C53">
        <f>IF(A53&gt;='Goodness of fit'!$D$3,B53,0)</f>
        <v>0</v>
      </c>
      <c r="D53" s="2">
        <f t="shared" si="0"/>
        <v>0.84179872986373483</v>
      </c>
      <c r="E53" s="18" t="str">
        <f>IF('Goodness of fit'!B53&gt;0,('Goodness of fit'!A53-'Goodness of fit'!B53)^2/'Goodness of fit'!B53,"")</f>
        <v/>
      </c>
      <c r="F53" s="2"/>
      <c r="G53" s="2"/>
    </row>
    <row r="54" spans="1:7" x14ac:dyDescent="0.35">
      <c r="A54">
        <f>'Goodness of fit'!D$6/1000+A53</f>
        <v>0.84800000000000064</v>
      </c>
      <c r="B54">
        <f t="shared" si="1"/>
        <v>0.24041808393386127</v>
      </c>
      <c r="C54">
        <f>IF(A54&gt;='Goodness of fit'!$D$3,B54,0)</f>
        <v>0</v>
      </c>
      <c r="D54" s="2">
        <f t="shared" si="0"/>
        <v>0.83795491228655883</v>
      </c>
      <c r="E54" s="18" t="str">
        <f>IF('Goodness of fit'!B54&gt;0,('Goodness of fit'!A54-'Goodness of fit'!B54)^2/'Goodness of fit'!B54,"")</f>
        <v/>
      </c>
      <c r="F54" s="2"/>
      <c r="G54" s="2"/>
    </row>
    <row r="55" spans="1:7" x14ac:dyDescent="0.35">
      <c r="A55">
        <f>'Goodness of fit'!D$6/1000+A54</f>
        <v>0.86400000000000066</v>
      </c>
      <c r="B55">
        <f t="shared" si="1"/>
        <v>0.24074192056802651</v>
      </c>
      <c r="C55">
        <f>IF(A55&gt;='Goodness of fit'!$D$3,B55,0)</f>
        <v>0</v>
      </c>
      <c r="D55" s="2">
        <f t="shared" si="0"/>
        <v>0.83410557679321118</v>
      </c>
      <c r="E55" s="18" t="str">
        <f>IF('Goodness of fit'!B55&gt;0,('Goodness of fit'!A55-'Goodness of fit'!B55)^2/'Goodness of fit'!B55,"")</f>
        <v/>
      </c>
      <c r="F55" s="2"/>
      <c r="G55" s="2"/>
    </row>
    <row r="56" spans="1:7" x14ac:dyDescent="0.35">
      <c r="A56">
        <f>'Goodness of fit'!D$6/1000+A55</f>
        <v>0.88000000000000067</v>
      </c>
      <c r="B56">
        <f t="shared" si="1"/>
        <v>0.24102485477575131</v>
      </c>
      <c r="C56">
        <f>IF(A56&gt;='Goodness of fit'!$D$3,B56,0)</f>
        <v>0</v>
      </c>
      <c r="D56" s="2">
        <f t="shared" si="0"/>
        <v>0.83025138896462858</v>
      </c>
      <c r="E56" s="18" t="str">
        <f>IF('Goodness of fit'!B56&gt;0,('Goodness of fit'!A56-'Goodness of fit'!B56)^2/'Goodness of fit'!B56,"")</f>
        <v/>
      </c>
      <c r="F56" s="2"/>
      <c r="G56" s="2"/>
    </row>
    <row r="57" spans="1:7" x14ac:dyDescent="0.35">
      <c r="A57">
        <f>'Goodness of fit'!D$6/1000+A56</f>
        <v>0.89600000000000068</v>
      </c>
      <c r="B57">
        <f t="shared" si="1"/>
        <v>0.24126823256776941</v>
      </c>
      <c r="C57">
        <f>IF(A57&gt;='Goodness of fit'!$D$3,B57,0)</f>
        <v>0</v>
      </c>
      <c r="D57" s="2">
        <f t="shared" si="0"/>
        <v>0.82639299239847297</v>
      </c>
      <c r="E57" s="18" t="str">
        <f>IF('Goodness of fit'!B57&gt;0,('Goodness of fit'!A57-'Goodness of fit'!B57)^2/'Goodness of fit'!B57,"")</f>
        <v/>
      </c>
      <c r="F57" s="2"/>
      <c r="G57" s="2"/>
    </row>
    <row r="58" spans="1:7" x14ac:dyDescent="0.35">
      <c r="A58">
        <f>'Goodness of fit'!D$6/1000+A57</f>
        <v>0.9120000000000007</v>
      </c>
      <c r="B58">
        <f t="shared" si="1"/>
        <v>0.2414733466886842</v>
      </c>
      <c r="C58">
        <f>IF(A58&gt;='Goodness of fit'!$D$3,B58,0)</f>
        <v>0</v>
      </c>
      <c r="D58" s="2">
        <f t="shared" si="0"/>
        <v>0.82253100958642933</v>
      </c>
      <c r="E58" s="18" t="str">
        <f>IF('Goodness of fit'!B58&gt;0,('Goodness of fit'!A58-'Goodness of fit'!B58)^2/'Goodness of fit'!B58,"")</f>
        <v/>
      </c>
      <c r="F58" s="2"/>
      <c r="G58" s="2"/>
    </row>
    <row r="59" spans="1:7" x14ac:dyDescent="0.35">
      <c r="A59">
        <f>'Goodness of fit'!D$6/1000+A58</f>
        <v>0.92800000000000071</v>
      </c>
      <c r="B59">
        <f t="shared" si="1"/>
        <v>0.24164143955258802</v>
      </c>
      <c r="C59">
        <f>IF(A59&gt;='Goodness of fit'!$D$3,B59,0)</f>
        <v>0</v>
      </c>
      <c r="D59" s="2">
        <f t="shared" si="0"/>
        <v>0.81866604274267951</v>
      </c>
      <c r="E59" s="18" t="str">
        <f>IF('Goodness of fit'!B59&gt;0,('Goodness of fit'!A59-'Goodness of fit'!B59)^2/'Goodness of fit'!B59,"")</f>
        <v/>
      </c>
      <c r="F59" s="2"/>
      <c r="G59" s="2"/>
    </row>
    <row r="60" spans="1:7" x14ac:dyDescent="0.35">
      <c r="A60">
        <f>'Goodness of fit'!D$6/1000+A59</f>
        <v>0.94400000000000073</v>
      </c>
      <c r="B60">
        <f t="shared" si="1"/>
        <v>0.24177370596469874</v>
      </c>
      <c r="C60">
        <f>IF(A60&gt;='Goodness of fit'!$D$3,B60,0)</f>
        <v>0</v>
      </c>
      <c r="D60" s="2">
        <f t="shared" si="0"/>
        <v>0.81479867458714539</v>
      </c>
      <c r="E60" s="18" t="str">
        <f>IF('Goodness of fit'!B60&gt;0,('Goodness of fit'!A60-'Goodness of fit'!B60)^2/'Goodness of fit'!B60,"")</f>
        <v/>
      </c>
      <c r="F60" s="2"/>
      <c r="G60" s="2"/>
    </row>
    <row r="61" spans="1:7" x14ac:dyDescent="0.35">
      <c r="A61">
        <f>'Goodness of fit'!D$6/1000+A60</f>
        <v>0.96000000000000074</v>
      </c>
      <c r="B61">
        <f t="shared" si="1"/>
        <v>0.24187129564823129</v>
      </c>
      <c r="C61">
        <f>IF(A61&gt;='Goodness of fit'!$D$3,B61,0)</f>
        <v>0</v>
      </c>
      <c r="D61" s="2">
        <f t="shared" si="0"/>
        <v>0.810929469086768</v>
      </c>
      <c r="E61" s="18" t="str">
        <f>IF('Goodness of fit'!B61&gt;0,('Goodness of fit'!A61-'Goodness of fit'!B61)^2/'Goodness of fit'!B61,"")</f>
        <v/>
      </c>
      <c r="F61" s="2"/>
      <c r="G61" s="2"/>
    </row>
    <row r="62" spans="1:7" x14ac:dyDescent="0.35">
      <c r="A62">
        <f>'Goodness of fit'!D$6/1000+A61</f>
        <v>0.97600000000000076</v>
      </c>
      <c r="B62">
        <f t="shared" si="1"/>
        <v>0.24193531559369236</v>
      </c>
      <c r="C62">
        <f>IF(A62&gt;='Goodness of fit'!$D$3,B62,0)</f>
        <v>0</v>
      </c>
      <c r="D62" s="2">
        <f t="shared" si="0"/>
        <v>0.80705897215779987</v>
      </c>
      <c r="E62" s="18" t="str">
        <f>IF('Goodness of fit'!B62&gt;0,('Goodness of fit'!A62-'Goodness of fit'!B62)^2/'Goodness of fit'!B62,"")</f>
        <v/>
      </c>
      <c r="F62" s="2"/>
      <c r="G62" s="2"/>
    </row>
    <row r="63" spans="1:7" x14ac:dyDescent="0.35">
      <c r="A63">
        <f>'Goodness of fit'!D$6/1000+A62</f>
        <v>0.99200000000000077</v>
      </c>
      <c r="B63">
        <f t="shared" si="1"/>
        <v>0.24196683224600063</v>
      </c>
      <c r="C63">
        <f>IF(A63&gt;='Goodness of fit'!$D$3,B63,0)</f>
        <v>0</v>
      </c>
      <c r="D63" s="2">
        <f t="shared" si="0"/>
        <v>0.80318771233182407</v>
      </c>
      <c r="E63" s="18" t="str">
        <f>IF('Goodness of fit'!B63&gt;0,('Goodness of fit'!A63-'Goodness of fit'!B63)^2/'Goodness of fit'!B63,"")</f>
        <v/>
      </c>
      <c r="F63" s="2"/>
      <c r="G63" s="2"/>
    </row>
    <row r="64" spans="1:7" x14ac:dyDescent="0.35">
      <c r="A64">
        <f>'Goodness of fit'!D$6/1000+A63</f>
        <v>1.0080000000000007</v>
      </c>
      <c r="B64">
        <f t="shared" si="1"/>
        <v>0.24196687354326268</v>
      </c>
      <c r="C64">
        <f>IF(A64&gt;='Goodness of fit'!$D$3,B64,0)</f>
        <v>0</v>
      </c>
      <c r="D64" s="2">
        <f t="shared" si="0"/>
        <v>0.79931620138798332</v>
      </c>
      <c r="E64" s="18" t="str">
        <f>IF('Goodness of fit'!B64&gt;0,('Goodness of fit'!A64-'Goodness of fit'!B64)^2/'Goodness of fit'!B64,"")</f>
        <v/>
      </c>
      <c r="F64" s="2"/>
      <c r="G64" s="2"/>
    </row>
    <row r="65" spans="1:7" x14ac:dyDescent="0.35">
      <c r="A65">
        <f>'Goodness of fit'!D$6/1000+A64</f>
        <v>1.0240000000000007</v>
      </c>
      <c r="B65">
        <f t="shared" si="1"/>
        <v>0.24193643081964356</v>
      </c>
      <c r="C65">
        <f>IF(A65&gt;='Goodness of fit'!$D$3,B65,0)</f>
        <v>0</v>
      </c>
      <c r="D65" s="2">
        <f t="shared" si="0"/>
        <v>0.79544493495369539</v>
      </c>
      <c r="E65" s="18" t="str">
        <f>IF('Goodness of fit'!B65&gt;0,('Goodness of fit'!A65-'Goodness of fit'!B65)^2/'Goodness of fit'!B65,"")</f>
        <v/>
      </c>
      <c r="F65" s="2"/>
      <c r="G65" s="2"/>
    </row>
    <row r="66" spans="1:7" x14ac:dyDescent="0.35">
      <c r="A66">
        <f>'Goodness of fit'!D$6/1000+A65</f>
        <v>1.0400000000000007</v>
      </c>
      <c r="B66">
        <f t="shared" si="1"/>
        <v>0.24187646058354284</v>
      </c>
      <c r="C66">
        <f>IF(A66&gt;='Goodness of fit'!$D$3,B66,0)</f>
        <v>0</v>
      </c>
      <c r="D66" s="2">
        <f t="shared" ref="D66:D129" si="2">CHIDIST(A66,F$1)</f>
        <v>0.79157439307592825</v>
      </c>
      <c r="E66" s="18" t="str">
        <f>IF('Goodness of fit'!B66&gt;0,('Goodness of fit'!A66-'Goodness of fit'!B66)^2/'Goodness of fit'!B66,"")</f>
        <v/>
      </c>
      <c r="F66" s="2"/>
      <c r="G66" s="2"/>
    </row>
    <row r="67" spans="1:7" x14ac:dyDescent="0.35">
      <c r="A67">
        <f>'Goodness of fit'!D$6/1000+A66</f>
        <v>1.0560000000000007</v>
      </c>
      <c r="B67">
        <f t="shared" ref="B67:B130" si="3">_xlfn.CHISQ.DIST(A67,F$1,FALSE)</f>
        <v>0.24178788618119576</v>
      </c>
      <c r="C67">
        <f>IF(A67&gt;='Goodness of fit'!$D$3,B67,0)</f>
        <v>0</v>
      </c>
      <c r="D67" s="2">
        <f t="shared" si="2"/>
        <v>0.78770504076495884</v>
      </c>
      <c r="E67" s="18" t="str">
        <f>IF('Goodness of fit'!B67&gt;0,('Goodness of fit'!A67-'Goodness of fit'!B67)^2/'Goodness of fit'!B67,"")</f>
        <v/>
      </c>
      <c r="F67" s="2"/>
      <c r="G67" s="2"/>
    </row>
    <row r="68" spans="1:7" x14ac:dyDescent="0.35">
      <c r="A68">
        <f>'Goodness of fit'!D$6/1000+A67</f>
        <v>1.0720000000000007</v>
      </c>
      <c r="B68">
        <f t="shared" si="3"/>
        <v>0.24167159935484786</v>
      </c>
      <c r="C68">
        <f>IF(A68&gt;='Goodness of fit'!$D$3,B68,0)</f>
        <v>0</v>
      </c>
      <c r="D68" s="2">
        <f t="shared" si="2"/>
        <v>0.78383732851236765</v>
      </c>
      <c r="E68" s="18" t="str">
        <f>IF('Goodness of fit'!B68&gt;0,('Goodness of fit'!A68-'Goodness of fit'!B68)^2/'Goodness of fit'!B68,"")</f>
        <v/>
      </c>
      <c r="F68" s="2"/>
      <c r="G68" s="2"/>
    </row>
    <row r="69" spans="1:7" x14ac:dyDescent="0.35">
      <c r="A69">
        <f>'Goodness of fit'!D$6/1000+A68</f>
        <v>1.0880000000000007</v>
      </c>
      <c r="B69">
        <f t="shared" si="3"/>
        <v>0.24152846170379236</v>
      </c>
      <c r="C69">
        <f>IF(A69&gt;='Goodness of fit'!$D$3,B69,0)</f>
        <v>0</v>
      </c>
      <c r="D69" s="2">
        <f t="shared" si="2"/>
        <v>0.77997169278488898</v>
      </c>
      <c r="E69" s="18" t="str">
        <f>IF('Goodness of fit'!B69&gt;0,('Goodness of fit'!A69-'Goodness of fit'!B69)^2/'Goodness of fit'!B69,"")</f>
        <v/>
      </c>
      <c r="F69" s="2"/>
      <c r="G69" s="2"/>
    </row>
    <row r="70" spans="1:7" x14ac:dyDescent="0.35">
      <c r="A70">
        <f>'Goodness of fit'!D$6/1000+A69</f>
        <v>1.1040000000000008</v>
      </c>
      <c r="B70">
        <f t="shared" si="3"/>
        <v>0.24135930605578565</v>
      </c>
      <c r="C70">
        <f>IF(A70&gt;='Goodness of fit'!$D$3,B70,0)</f>
        <v>0</v>
      </c>
      <c r="D70" s="2">
        <f t="shared" si="2"/>
        <v>0.77610855649561261</v>
      </c>
      <c r="E70" s="18" t="str">
        <f>IF('Goodness of fit'!B70&gt;0,('Goodness of fit'!A70-'Goodness of fit'!B70)^2/'Goodness of fit'!B70,"")</f>
        <v/>
      </c>
      <c r="F70" s="2"/>
      <c r="G70" s="2"/>
    </row>
    <row r="71" spans="1:7" x14ac:dyDescent="0.35">
      <c r="A71">
        <f>'Goodness of fit'!D$6/1000+A70</f>
        <v>1.1200000000000008</v>
      </c>
      <c r="B71">
        <f t="shared" si="3"/>
        <v>0.24116493775567155</v>
      </c>
      <c r="C71">
        <f>IF(A71&gt;='Goodness of fit'!$D$3,B71,0)</f>
        <v>0</v>
      </c>
      <c r="D71" s="2">
        <f t="shared" si="2"/>
        <v>0.77224832945391286</v>
      </c>
      <c r="E71" s="18" t="str">
        <f>IF('Goodness of fit'!B71&gt;0,('Goodness of fit'!A71-'Goodness of fit'!B71)^2/'Goodness of fit'!B71,"")</f>
        <v/>
      </c>
      <c r="F71" s="2"/>
      <c r="G71" s="2"/>
    </row>
    <row r="72" spans="1:7" x14ac:dyDescent="0.35">
      <c r="A72">
        <f>'Goodness of fit'!D$6/1000+A71</f>
        <v>1.1360000000000008</v>
      </c>
      <c r="B72">
        <f t="shared" si="3"/>
        <v>0.24094613587742797</v>
      </c>
      <c r="C72">
        <f>IF(A72&gt;='Goodness of fit'!$D$3,B72,0)</f>
        <v>0</v>
      </c>
      <c r="D72" s="2">
        <f t="shared" si="2"/>
        <v>0.76839140879538159</v>
      </c>
      <c r="E72" s="18" t="str">
        <f>IF('Goodness of fit'!B72&gt;0,('Goodness of fit'!A72-'Goodness of fit'!B72)^2/'Goodness of fit'!B72,"")</f>
        <v/>
      </c>
      <c r="F72" s="2"/>
      <c r="G72" s="2"/>
    </row>
    <row r="73" spans="1:7" x14ac:dyDescent="0.35">
      <c r="A73">
        <f>'Goodness of fit'!D$6/1000+A72</f>
        <v>1.1520000000000008</v>
      </c>
      <c r="B73">
        <f t="shared" si="3"/>
        <v>0.24070365436529717</v>
      </c>
      <c r="C73">
        <f>IF(A73&gt;='Goodness of fit'!$D$3,B73,0)</f>
        <v>0</v>
      </c>
      <c r="D73" s="2">
        <f t="shared" si="2"/>
        <v>0.76453817939294089</v>
      </c>
      <c r="E73" s="18" t="str">
        <f>IF('Goodness of fit'!B73&gt;0,('Goodness of fit'!A73-'Goodness of fit'!B73)^2/'Goodness of fit'!B73,"")</f>
        <v/>
      </c>
      <c r="F73" s="2"/>
      <c r="G73" s="2"/>
    </row>
    <row r="74" spans="1:7" x14ac:dyDescent="0.35">
      <c r="A74">
        <f>'Goodness of fit'!D$6/1000+A73</f>
        <v>1.1680000000000008</v>
      </c>
      <c r="B74">
        <f t="shared" si="3"/>
        <v>0.24043822310916685</v>
      </c>
      <c r="C74">
        <f>IF(A74&gt;='Goodness of fit'!$D$3,B74,0)</f>
        <v>0</v>
      </c>
      <c r="D74" s="2">
        <f t="shared" si="2"/>
        <v>0.76068901425023205</v>
      </c>
      <c r="E74" s="18" t="str">
        <f>IF('Goodness of fit'!B74&gt;0,('Goodness of fit'!A74-'Goodness of fit'!B74)^2/'Goodness of fit'!B74,"")</f>
        <v/>
      </c>
      <c r="F74" s="2"/>
      <c r="G74" s="2"/>
    </row>
    <row r="75" spans="1:7" x14ac:dyDescent="0.35">
      <c r="A75">
        <f>'Goodness of fit'!D$6/1000+A74</f>
        <v>1.1840000000000008</v>
      </c>
      <c r="B75">
        <f t="shared" si="3"/>
        <v>0.24015054895892113</v>
      </c>
      <c r="C75">
        <f>IF(A75&gt;='Goodness of fit'!$D$3,B75,0)</f>
        <v>0</v>
      </c>
      <c r="D75" s="2">
        <f t="shared" si="2"/>
        <v>0.75684427487829153</v>
      </c>
      <c r="E75" s="18" t="str">
        <f>IF('Goodness of fit'!B75&gt;0,('Goodness of fit'!A75-'Goodness of fit'!B75)^2/'Goodness of fit'!B75,"")</f>
        <v/>
      </c>
      <c r="F75" s="2"/>
      <c r="G75" s="2"/>
    </row>
    <row r="76" spans="1:7" x14ac:dyDescent="0.35">
      <c r="A76">
        <f>'Goodness of fit'!D$6/1000+A75</f>
        <v>1.2000000000000008</v>
      </c>
      <c r="B76">
        <f t="shared" si="3"/>
        <v>0.23984131668207989</v>
      </c>
      <c r="C76">
        <f>IF(A76&gt;='Goodness of fit'!$D$3,B76,0)</f>
        <v>0</v>
      </c>
      <c r="D76" s="2">
        <f t="shared" si="2"/>
        <v>0.75300431165645776</v>
      </c>
      <c r="E76" s="18" t="str">
        <f>IF('Goodness of fit'!B76&gt;0,('Goodness of fit'!A76-'Goodness of fit'!B76)^2/'Goodness of fit'!B76,"")</f>
        <v/>
      </c>
      <c r="F76" s="2"/>
      <c r="G76" s="2"/>
    </row>
    <row r="77" spans="1:7" x14ac:dyDescent="0.35">
      <c r="A77">
        <f>'Goodness of fit'!D$6/1000+A76</f>
        <v>1.2160000000000009</v>
      </c>
      <c r="B77">
        <f t="shared" si="3"/>
        <v>0.23951118986868361</v>
      </c>
      <c r="C77">
        <f>IF(A77&gt;='Goodness of fit'!$D$3,B77,0)</f>
        <v>0</v>
      </c>
      <c r="D77" s="2">
        <f t="shared" si="2"/>
        <v>0.74916946417838148</v>
      </c>
      <c r="E77" s="18" t="str">
        <f>IF('Goodness of fit'!B77&gt;0,('Goodness of fit'!A77-'Goodness of fit'!B77)^2/'Goodness of fit'!B77,"")</f>
        <v/>
      </c>
      <c r="F77" s="2"/>
      <c r="G77" s="2"/>
    </row>
    <row r="78" spans="1:7" x14ac:dyDescent="0.35">
      <c r="A78">
        <f>'Goodness of fit'!D$6/1000+A77</f>
        <v>1.2320000000000009</v>
      </c>
      <c r="B78">
        <f t="shared" si="3"/>
        <v>0.23916081178705045</v>
      </c>
      <c r="C78">
        <f>IF(A78&gt;='Goodness of fit'!$D$3,B78,0)</f>
        <v>0</v>
      </c>
      <c r="D78" s="2">
        <f t="shared" si="2"/>
        <v>0.74534006158395605</v>
      </c>
      <c r="E78" s="18" t="str">
        <f>IF('Goodness of fit'!B78&gt;0,('Goodness of fit'!A78-'Goodness of fit'!B78)^2/'Goodness of fit'!B78,"")</f>
        <v/>
      </c>
      <c r="F78" s="2"/>
      <c r="G78" s="2"/>
    </row>
    <row r="79" spans="1:7" x14ac:dyDescent="0.35">
      <c r="A79">
        <f>'Goodness of fit'!D$6/1000+A78</f>
        <v>1.2480000000000009</v>
      </c>
      <c r="B79">
        <f t="shared" si="3"/>
        <v>0.23879080619373869</v>
      </c>
      <c r="C79">
        <f>IF(A79&gt;='Goodness of fit'!$D$3,B79,0)</f>
        <v>0</v>
      </c>
      <c r="D79" s="2">
        <f t="shared" si="2"/>
        <v>0.74151642287792652</v>
      </c>
      <c r="E79" s="18" t="str">
        <f>IF('Goodness of fit'!B79&gt;0,('Goodness of fit'!A79-'Goodness of fit'!B79)^2/'Goodness of fit'!B79,"")</f>
        <v/>
      </c>
      <c r="F79" s="2"/>
      <c r="G79" s="2"/>
    </row>
    <row r="80" spans="1:7" x14ac:dyDescent="0.35">
      <c r="A80">
        <f>'Goodness of fit'!D$6/1000+A79</f>
        <v>1.2640000000000009</v>
      </c>
      <c r="B80">
        <f t="shared" si="3"/>
        <v>0.23840177810077773</v>
      </c>
      <c r="C80">
        <f>IF(A80&gt;='Goodness of fit'!$D$3,B80,0)</f>
        <v>0</v>
      </c>
      <c r="D80" s="2">
        <f t="shared" si="2"/>
        <v>0.73769885723588557</v>
      </c>
      <c r="E80" s="18" t="str">
        <f>IF('Goodness of fit'!B80&gt;0,('Goodness of fit'!A80-'Goodness of fit'!B80)^2/'Goodness of fit'!B80,"")</f>
        <v/>
      </c>
      <c r="F80" s="2"/>
      <c r="G80" s="2"/>
    </row>
    <row r="81" spans="1:7" x14ac:dyDescent="0.35">
      <c r="A81">
        <f>'Goodness of fit'!D$6/1000+A80</f>
        <v>1.2800000000000009</v>
      </c>
      <c r="B81">
        <f t="shared" si="3"/>
        <v>0.23799431450298753</v>
      </c>
      <c r="C81">
        <f>IF(A81&gt;='Goodness of fit'!$D$3,B81,0)</f>
        <v>0</v>
      </c>
      <c r="D81" s="2">
        <f t="shared" si="2"/>
        <v>0.73388766429831453</v>
      </c>
      <c r="E81" s="18" t="str">
        <f>IF('Goodness of fit'!B81&gt;0,('Goodness of fit'!A81-'Goodness of fit'!B81)^2/'Goodness of fit'!B81,"")</f>
        <v/>
      </c>
      <c r="F81" s="2"/>
      <c r="G81" s="2"/>
    </row>
    <row r="82" spans="1:7" x14ac:dyDescent="0.35">
      <c r="A82">
        <f>'Goodness of fit'!D$6/1000+A81</f>
        <v>1.2960000000000009</v>
      </c>
      <c r="B82">
        <f t="shared" si="3"/>
        <v>0.23756898506798538</v>
      </c>
      <c r="C82">
        <f>IF(A82&gt;='Goodness of fit'!$D$3,B82,0)</f>
        <v>0</v>
      </c>
      <c r="D82" s="2">
        <f t="shared" si="2"/>
        <v>0.73008313445329165</v>
      </c>
      <c r="E82" s="18" t="str">
        <f>IF('Goodness of fit'!B82&gt;0,('Goodness of fit'!A82-'Goodness of fit'!B82)^2/'Goodness of fit'!B82,"")</f>
        <v/>
      </c>
      <c r="F82" s="2"/>
      <c r="G82" s="2"/>
    </row>
    <row r="83" spans="1:7" x14ac:dyDescent="0.35">
      <c r="A83">
        <f>'Goodness of fit'!D$6/1000+A82</f>
        <v>1.3120000000000009</v>
      </c>
      <c r="B83">
        <f t="shared" si="3"/>
        <v>0.23712634279127642</v>
      </c>
      <c r="C83">
        <f>IF(A83&gt;='Goodness of fit'!$D$3,B83,0)</f>
        <v>0</v>
      </c>
      <c r="D83" s="2">
        <f t="shared" si="2"/>
        <v>0.72628554910844212</v>
      </c>
      <c r="E83" s="18" t="str">
        <f>IF('Goodness of fit'!B83&gt;0,('Goodness of fit'!A83-'Goodness of fit'!B83)^2/'Goodness of fit'!B83,"")</f>
        <v/>
      </c>
      <c r="F83" s="2"/>
      <c r="G83" s="2"/>
    </row>
    <row r="84" spans="1:7" x14ac:dyDescent="0.35">
      <c r="A84">
        <f>'Goodness of fit'!D$6/1000+A83</f>
        <v>1.328000000000001</v>
      </c>
      <c r="B84">
        <f t="shared" si="3"/>
        <v>0.23666692461864289</v>
      </c>
      <c r="C84">
        <f>IF(A84&gt;='Goodness of fit'!$D$3,B84,0)</f>
        <v>0</v>
      </c>
      <c r="D84" s="2">
        <f t="shared" si="2"/>
        <v>0.72249518095266851</v>
      </c>
      <c r="E84" s="18" t="str">
        <f>IF('Goodness of fit'!B84&gt;0,('Goodness of fit'!A84-'Goodness of fit'!B84)^2/'Goodness of fit'!B84,"")</f>
        <v/>
      </c>
      <c r="F84" s="2"/>
      <c r="G84" s="2"/>
    </row>
    <row r="85" spans="1:7" x14ac:dyDescent="0.35">
      <c r="A85">
        <f>'Goodness of fit'!D$6/1000+A84</f>
        <v>1.344000000000001</v>
      </c>
      <c r="B85">
        <f t="shared" si="3"/>
        <v>0.23619125203787755</v>
      </c>
      <c r="C85">
        <f>IF(A85&gt;='Goodness of fit'!$D$3,B85,0)</f>
        <v>0</v>
      </c>
      <c r="D85" s="2">
        <f t="shared" si="2"/>
        <v>0.71871229420817473</v>
      </c>
      <c r="E85" s="18" t="str">
        <f>IF('Goodness of fit'!B85&gt;0,('Goodness of fit'!A85-'Goodness of fit'!B85)^2/'Goodness of fit'!B85,"")</f>
        <v/>
      </c>
      <c r="F85" s="2"/>
      <c r="G85" s="2"/>
    </row>
    <row r="86" spans="1:7" x14ac:dyDescent="0.35">
      <c r="A86">
        <f>'Goodness of fit'!D$6/1000+A85</f>
        <v>1.360000000000001</v>
      </c>
      <c r="B86">
        <f t="shared" si="3"/>
        <v>0.23569983164175601</v>
      </c>
      <c r="C86">
        <f>IF(A86&gt;='Goodness of fit'!$D$3,B86,0)</f>
        <v>0</v>
      </c>
      <c r="D86" s="2">
        <f t="shared" si="2"/>
        <v>0.71493714487325266</v>
      </c>
      <c r="E86" s="18" t="str">
        <f>IF('Goodness of fit'!B86&gt;0,('Goodness of fit'!A86-'Goodness of fit'!B86)^2/'Goodness of fit'!B86,"")</f>
        <v/>
      </c>
      <c r="F86" s="2"/>
      <c r="G86" s="2"/>
    </row>
    <row r="87" spans="1:7" x14ac:dyDescent="0.35">
      <c r="A87">
        <f>'Goodness of fit'!D$6/1000+A86</f>
        <v>1.376000000000001</v>
      </c>
      <c r="B87">
        <f t="shared" si="3"/>
        <v>0.23519315566400248</v>
      </c>
      <c r="C87">
        <f>IF(A87&gt;='Goodness of fit'!$D$3,B87,0)</f>
        <v>0</v>
      </c>
      <c r="D87" s="2">
        <f t="shared" si="2"/>
        <v>0.71116998095627926</v>
      </c>
      <c r="E87" s="18" t="str">
        <f>IF('Goodness of fit'!B87&gt;0,('Goodness of fit'!A87-'Goodness of fit'!B87)^2/'Goodness of fit'!B87,"")</f>
        <v/>
      </c>
      <c r="F87" s="2"/>
      <c r="G87" s="2"/>
    </row>
    <row r="88" spans="1:7" x14ac:dyDescent="0.35">
      <c r="A88">
        <f>'Goodness of fit'!D$6/1000+A87</f>
        <v>1.392000000000001</v>
      </c>
      <c r="B88">
        <f t="shared" si="3"/>
        <v>0.2346717024898744</v>
      </c>
      <c r="C88">
        <f>IF(A88&gt;='Goodness of fit'!$D$3,B88,0)</f>
        <v>0</v>
      </c>
      <c r="D88" s="2">
        <f t="shared" si="2"/>
        <v>0.70741104270134358</v>
      </c>
      <c r="E88" s="18" t="str">
        <f>IF('Goodness of fit'!B88&gt;0,('Goodness of fit'!A88-'Goodness of fit'!B88)^2/'Goodness of fit'!B88,"")</f>
        <v/>
      </c>
      <c r="F88" s="2"/>
      <c r="G88" s="2"/>
    </row>
    <row r="89" spans="1:7" x14ac:dyDescent="0.35">
      <c r="A89">
        <f>'Goodness of fit'!D$6/1000+A88</f>
        <v>1.408000000000001</v>
      </c>
      <c r="B89">
        <f t="shared" si="3"/>
        <v>0.23413593714287737</v>
      </c>
      <c r="C89">
        <f>IF(A89&gt;='Goodness of fit'!$D$3,B89,0)</f>
        <v>0</v>
      </c>
      <c r="D89" s="2">
        <f t="shared" si="2"/>
        <v>0.70366056280589939</v>
      </c>
      <c r="E89" s="18" t="str">
        <f>IF('Goodness of fit'!B89&gt;0,('Goodness of fit'!A89-'Goodness of fit'!B89)^2/'Goodness of fit'!B89,"")</f>
        <v/>
      </c>
      <c r="F89" s="2"/>
      <c r="G89" s="2"/>
    </row>
    <row r="90" spans="1:7" x14ac:dyDescent="0.35">
      <c r="A90">
        <f>'Goodness of fit'!D$6/1000+A89</f>
        <v>1.424000000000001</v>
      </c>
      <c r="B90">
        <f t="shared" si="3"/>
        <v>0.23358631174901182</v>
      </c>
      <c r="C90">
        <f>IF(A90&gt;='Goodness of fit'!$D$3,B90,0)</f>
        <v>0</v>
      </c>
      <c r="D90" s="2">
        <f t="shared" si="2"/>
        <v>0.69991876663080776</v>
      </c>
      <c r="E90" s="18" t="str">
        <f>IF('Goodness of fit'!B90&gt;0,('Goodness of fit'!A90-'Goodness of fit'!B90)^2/'Goodness of fit'!B90,"")</f>
        <v/>
      </c>
      <c r="F90" s="2"/>
      <c r="G90" s="2"/>
    </row>
    <row r="91" spans="1:7" x14ac:dyDescent="0.35">
      <c r="A91">
        <f>'Goodness of fit'!D$6/1000+A90</f>
        <v>1.4400000000000011</v>
      </c>
      <c r="B91">
        <f t="shared" si="3"/>
        <v>0.23302326597985545</v>
      </c>
      <c r="C91">
        <f>IF(A91&gt;='Goodness of fit'!$D$3,B91,0)</f>
        <v>0</v>
      </c>
      <c r="D91" s="2">
        <f t="shared" si="2"/>
        <v>0.69618587240312735</v>
      </c>
      <c r="E91" s="18" t="str">
        <f>IF('Goodness of fit'!B91&gt;0,('Goodness of fit'!A91-'Goodness of fit'!B91)^2/'Goodness of fit'!B91,"")</f>
        <v/>
      </c>
      <c r="F91" s="2"/>
      <c r="G91" s="2"/>
    </row>
    <row r="92" spans="1:7" x14ac:dyDescent="0.35">
      <c r="A92">
        <f>'Goodness of fit'!D$6/1000+A91</f>
        <v>1.4560000000000011</v>
      </c>
      <c r="B92">
        <f t="shared" si="3"/>
        <v>0.23244722747569554</v>
      </c>
      <c r="C92">
        <f>IF(A92&gt;='Goodness of fit'!$D$3,B92,0)</f>
        <v>0</v>
      </c>
      <c r="D92" s="2">
        <f t="shared" si="2"/>
        <v>0.69246209141197246</v>
      </c>
      <c r="E92" s="18" t="str">
        <f>IF('Goodness of fit'!B92&gt;0,('Goodness of fit'!A92-'Goodness of fit'!B92)^2/'Goodness of fit'!B92,"")</f>
        <v/>
      </c>
      <c r="F92" s="2"/>
      <c r="G92" s="2"/>
    </row>
    <row r="93" spans="1:7" x14ac:dyDescent="0.35">
      <c r="A93">
        <f>'Goodness of fit'!D$6/1000+A92</f>
        <v>1.4720000000000011</v>
      </c>
      <c r="B93">
        <f t="shared" si="3"/>
        <v>0.23185861224984047</v>
      </c>
      <c r="C93">
        <f>IF(A93&gt;='Goodness of fit'!$D$3,B93,0)</f>
        <v>0</v>
      </c>
      <c r="D93" s="2">
        <f t="shared" si="2"/>
        <v>0.68874762819775626</v>
      </c>
      <c r="E93" s="18" t="str">
        <f>IF('Goodness of fit'!B93&gt;0,('Goodness of fit'!A93-'Goodness of fit'!B93)^2/'Goodness of fit'!B93,"")</f>
        <v/>
      </c>
      <c r="F93" s="2"/>
      <c r="G93" s="2"/>
    </row>
    <row r="94" spans="1:7" x14ac:dyDescent="0.35">
      <c r="A94">
        <f>'Goodness of fit'!D$6/1000+A93</f>
        <v>1.4880000000000011</v>
      </c>
      <c r="B94">
        <f t="shared" si="3"/>
        <v>0.2312578250751654</v>
      </c>
      <c r="C94">
        <f>IF(A94&gt;='Goodness of fit'!$D$3,B94,0)</f>
        <v>0</v>
      </c>
      <c r="D94" s="2">
        <f t="shared" si="2"/>
        <v>0.68504268073510577</v>
      </c>
      <c r="E94" s="18" t="str">
        <f>IF('Goodness of fit'!B94&gt;0,('Goodness of fit'!A94-'Goodness of fit'!B94)^2/'Goodness of fit'!B94,"")</f>
        <v/>
      </c>
      <c r="F94" s="2"/>
      <c r="G94" s="2"/>
    </row>
    <row r="95" spans="1:7" x14ac:dyDescent="0.35">
      <c r="A95">
        <f>'Goodness of fit'!D$6/1000+A94</f>
        <v>1.5040000000000011</v>
      </c>
      <c r="B95">
        <f t="shared" si="3"/>
        <v>0.23064525985387346</v>
      </c>
      <c r="C95">
        <f>IF(A95&gt;='Goodness of fit'!$D$3,B95,0)</f>
        <v>0</v>
      </c>
      <c r="D95" s="2">
        <f t="shared" si="2"/>
        <v>0.68134744060973018</v>
      </c>
      <c r="E95" s="18" t="str">
        <f>IF('Goodness of fit'!B95&gt;0,('Goodness of fit'!A95-'Goodness of fit'!B95)^2/'Goodness of fit'!B95,"")</f>
        <v/>
      </c>
      <c r="F95" s="2"/>
      <c r="G95" s="2"/>
    </row>
    <row r="96" spans="1:7" x14ac:dyDescent="0.35">
      <c r="A96">
        <f>'Goodness of fit'!D$6/1000+A95</f>
        <v>1.5200000000000011</v>
      </c>
      <c r="B96">
        <f t="shared" si="3"/>
        <v>0.23002129997139217</v>
      </c>
      <c r="C96">
        <f>IF(A96&gt;='Goodness of fit'!$D$3,B96,0)</f>
        <v>0</v>
      </c>
      <c r="D96" s="2">
        <f t="shared" si="2"/>
        <v>0.67766209318949899</v>
      </c>
      <c r="E96" s="18" t="str">
        <f>IF('Goodness of fit'!B96&gt;0,('Goodness of fit'!A96-'Goodness of fit'!B96)^2/'Goodness of fit'!B96,"")</f>
        <v/>
      </c>
      <c r="F96" s="2"/>
      <c r="G96" s="2"/>
    </row>
    <row r="97" spans="1:7" x14ac:dyDescent="0.35">
      <c r="A97">
        <f>'Goodness of fit'!D$6/1000+A96</f>
        <v>1.5360000000000011</v>
      </c>
      <c r="B97">
        <f t="shared" si="3"/>
        <v>0.22938631863526082</v>
      </c>
      <c r="C97">
        <f>IF(A97&gt;='Goodness of fit'!$D$3,B97,0)</f>
        <v>0</v>
      </c>
      <c r="D97" s="2">
        <f t="shared" si="2"/>
        <v>0.67398681778998037</v>
      </c>
      <c r="E97" s="18" t="str">
        <f>IF('Goodness of fit'!B97&gt;0,('Goodness of fit'!A97-'Goodness of fit'!B97)^2/'Goodness of fit'!B97,"")</f>
        <v/>
      </c>
      <c r="F97" s="2"/>
      <c r="G97" s="2"/>
    </row>
    <row r="98" spans="1:7" x14ac:dyDescent="0.35">
      <c r="A98">
        <f>'Goodness of fit'!D$6/1000+A97</f>
        <v>1.5520000000000012</v>
      </c>
      <c r="B98">
        <f t="shared" si="3"/>
        <v>0.22874067919981275</v>
      </c>
      <c r="C98">
        <f>IF(A98&gt;='Goodness of fit'!$D$3,B98,0)</f>
        <v>0</v>
      </c>
      <c r="D98" s="2">
        <f t="shared" si="2"/>
        <v>0.670321787834671</v>
      </c>
      <c r="E98" s="18" t="str">
        <f>IF('Goodness of fit'!B98&gt;0,('Goodness of fit'!A98-'Goodness of fit'!B98)^2/'Goodness of fit'!B98,"")</f>
        <v/>
      </c>
      <c r="F98" s="2"/>
      <c r="G98" s="2"/>
    </row>
    <row r="99" spans="1:7" x14ac:dyDescent="0.35">
      <c r="A99">
        <f>'Goodness of fit'!D$6/1000+A98</f>
        <v>1.5680000000000012</v>
      </c>
      <c r="B99">
        <f t="shared" si="3"/>
        <v>0.2280847354774016</v>
      </c>
      <c r="C99">
        <f>IF(A99&gt;='Goodness of fit'!$D$3,B99,0)</f>
        <v>0</v>
      </c>
      <c r="D99" s="2">
        <f t="shared" si="2"/>
        <v>0.6666671710101405</v>
      </c>
      <c r="E99" s="18" t="str">
        <f>IF('Goodness of fit'!B99&gt;0,('Goodness of fit'!A99-'Goodness of fit'!B99)^2/'Goodness of fit'!B99,"")</f>
        <v/>
      </c>
      <c r="F99" s="2"/>
      <c r="G99" s="2"/>
    </row>
    <row r="100" spans="1:7" x14ac:dyDescent="0.35">
      <c r="A100">
        <f>'Goodness of fit'!D$6/1000+A99</f>
        <v>1.5840000000000012</v>
      </c>
      <c r="B100">
        <f t="shared" si="3"/>
        <v>0.22741883203687549</v>
      </c>
      <c r="C100">
        <f>IF(A100&gt;='Goodness of fit'!$D$3,B100,0)</f>
        <v>0</v>
      </c>
      <c r="D100" s="2">
        <f t="shared" si="2"/>
        <v>0.66302312941629848</v>
      </c>
      <c r="E100" s="18" t="str">
        <f>IF('Goodness of fit'!B100&gt;0,('Goodness of fit'!A100-'Goodness of fit'!B100)^2/'Goodness of fit'!B100,"")</f>
        <v/>
      </c>
      <c r="F100" s="2"/>
      <c r="G100" s="2"/>
    </row>
    <row r="101" spans="1:7" x14ac:dyDescent="0.35">
      <c r="A101">
        <f>'Goodness of fit'!D$6/1000+A100</f>
        <v>1.6000000000000012</v>
      </c>
      <c r="B101">
        <f t="shared" si="3"/>
        <v>0.22674330448995822</v>
      </c>
      <c r="C101">
        <f>IF(A101&gt;='Goodness of fit'!$D$3,B101,0)</f>
        <v>0</v>
      </c>
      <c r="D101" s="2">
        <f t="shared" si="2"/>
        <v>0.65938981971198463</v>
      </c>
      <c r="E101" s="18" t="str">
        <f>IF('Goodness of fit'!B101&gt;0,('Goodness of fit'!A101-'Goodness of fit'!B101)^2/'Goodness of fit'!B101,"")</f>
        <v/>
      </c>
      <c r="F101" s="2"/>
      <c r="G101" s="2"/>
    </row>
    <row r="102" spans="1:7" x14ac:dyDescent="0.35">
      <c r="A102">
        <f>'Goodness of fit'!D$6/1000+A101</f>
        <v>1.6160000000000012</v>
      </c>
      <c r="B102">
        <f t="shared" si="3"/>
        <v>0.22605847976615437</v>
      </c>
      <c r="C102">
        <f>IF(A102&gt;='Goodness of fit'!$D$3,B102,0)</f>
        <v>0</v>
      </c>
      <c r="D102" s="2">
        <f t="shared" si="2"/>
        <v>0.65576739325606692</v>
      </c>
      <c r="E102" s="18" t="str">
        <f>IF('Goodness of fit'!B102&gt;0,('Goodness of fit'!A102-'Goodness of fit'!B102)^2/'Goodness of fit'!B102,"")</f>
        <v/>
      </c>
      <c r="F102" s="2"/>
      <c r="G102" s="2"/>
    </row>
    <row r="103" spans="1:7" x14ac:dyDescent="0.35">
      <c r="A103">
        <f>'Goodness of fit'!D$6/1000+A102</f>
        <v>1.6320000000000012</v>
      </c>
      <c r="B103">
        <f t="shared" si="3"/>
        <v>0.22536467637675978</v>
      </c>
      <c r="C103">
        <f>IF(A103&gt;='Goodness of fit'!$D$3,B103,0)</f>
        <v>0</v>
      </c>
      <c r="D103" s="2">
        <f t="shared" si="2"/>
        <v>0.65215599624423271</v>
      </c>
      <c r="E103" s="18" t="str">
        <f>IF('Goodness of fit'!B103&gt;0,('Goodness of fit'!A103-'Goodness of fit'!B103)^2/'Goodness of fit'!B103,"")</f>
        <v/>
      </c>
      <c r="F103" s="2"/>
      <c r="G103" s="2"/>
    </row>
    <row r="104" spans="1:7" x14ac:dyDescent="0.35">
      <c r="A104">
        <f>'Goodness of fit'!D$6/1000+A103</f>
        <v>1.6480000000000012</v>
      </c>
      <c r="B104">
        <f t="shared" si="3"/>
        <v>0.22466220466852108</v>
      </c>
      <c r="C104">
        <f>IF(A104&gt;='Goodness of fit'!$D$3,B104,0)</f>
        <v>0</v>
      </c>
      <c r="D104" s="2">
        <f t="shared" si="2"/>
        <v>0.64855576984163665</v>
      </c>
      <c r="E104" s="18" t="str">
        <f>IF('Goodness of fit'!B104&gt;0,('Goodness of fit'!A104-'Goodness of fit'!B104)^2/'Goodness of fit'!B104,"")</f>
        <v/>
      </c>
      <c r="F104" s="2"/>
      <c r="G104" s="2"/>
    </row>
    <row r="105" spans="1:7" x14ac:dyDescent="0.35">
      <c r="A105">
        <f>'Goodness of fit'!D$6/1000+A104</f>
        <v>1.6640000000000013</v>
      </c>
      <c r="B105">
        <f t="shared" si="3"/>
        <v>0.22395136706745694</v>
      </c>
      <c r="C105">
        <f>IF(A105&gt;='Goodness of fit'!$D$3,B105,0)</f>
        <v>0</v>
      </c>
      <c r="D105" s="2">
        <f t="shared" si="2"/>
        <v>0.64496685031156886</v>
      </c>
      <c r="E105" s="18" t="str">
        <f>IF('Goodness of fit'!B105&gt;0,('Goodness of fit'!A105-'Goodness of fit'!B105)^2/'Goodness of fit'!B105,"")</f>
        <v/>
      </c>
      <c r="F105" s="2"/>
      <c r="G105" s="2"/>
    </row>
    <row r="106" spans="1:7" x14ac:dyDescent="0.35">
      <c r="A106">
        <f>'Goodness of fit'!D$6/1000+A105</f>
        <v>1.6800000000000013</v>
      </c>
      <c r="B106">
        <f t="shared" si="3"/>
        <v>0.22323245831332203</v>
      </c>
      <c r="C106">
        <f>IF(A106&gt;='Goodness of fit'!$D$3,B106,0)</f>
        <v>0</v>
      </c>
      <c r="D106" s="2">
        <f t="shared" si="2"/>
        <v>0.64138936914030154</v>
      </c>
      <c r="E106" s="18" t="str">
        <f>IF('Goodness of fit'!B106&gt;0,('Goodness of fit'!A106-'Goodness of fit'!B106)^2/'Goodness of fit'!B106,"")</f>
        <v/>
      </c>
      <c r="F106" s="2"/>
      <c r="G106" s="2"/>
    </row>
    <row r="107" spans="1:7" x14ac:dyDescent="0.35">
      <c r="A107">
        <f>'Goodness of fit'!D$6/1000+A106</f>
        <v>1.6960000000000013</v>
      </c>
      <c r="B107">
        <f t="shared" si="3"/>
        <v>0.22250576568516786</v>
      </c>
      <c r="C107">
        <f>IF(A107&gt;='Goodness of fit'!$D$3,B107,0)</f>
        <v>0</v>
      </c>
      <c r="D107" s="2">
        <f t="shared" si="2"/>
        <v>0.63782345315824984</v>
      </c>
      <c r="E107" s="18" t="str">
        <f>IF('Goodness of fit'!B107&gt;0,('Goodness of fit'!A107-'Goodness of fit'!B107)^2/'Goodness of fit'!B107,"")</f>
        <v/>
      </c>
      <c r="F107" s="2"/>
      <c r="G107" s="2"/>
    </row>
    <row r="108" spans="1:7" x14ac:dyDescent="0.35">
      <c r="A108">
        <f>'Goodness of fit'!D$6/1000+A107</f>
        <v>1.7120000000000013</v>
      </c>
      <c r="B108">
        <f t="shared" si="3"/>
        <v>0.22177156921842553</v>
      </c>
      <c r="C108">
        <f>IF(A108&gt;='Goodness of fit'!$D$3,B108,0)</f>
        <v>0</v>
      </c>
      <c r="D108" s="2">
        <f t="shared" si="2"/>
        <v>0.63426922465759816</v>
      </c>
      <c r="E108" s="18" t="str">
        <f>IF('Goodness of fit'!B108&gt;0,('Goodness of fit'!A108-'Goodness of fit'!B108)^2/'Goodness of fit'!B108,"")</f>
        <v/>
      </c>
      <c r="F108" s="2"/>
      <c r="G108" s="2"/>
    </row>
    <row r="109" spans="1:7" x14ac:dyDescent="0.35">
      <c r="A109">
        <f>'Goodness of fit'!D$6/1000+A108</f>
        <v>1.7280000000000013</v>
      </c>
      <c r="B109">
        <f t="shared" si="3"/>
        <v>0.22103014191391424</v>
      </c>
      <c r="C109">
        <f>IF(A109&gt;='Goodness of fit'!$D$3,B109,0)</f>
        <v>0</v>
      </c>
      <c r="D109" s="2">
        <f t="shared" si="2"/>
        <v>0.63072680150651372</v>
      </c>
      <c r="E109" s="18" t="str">
        <f>IF('Goodness of fit'!B109&gt;0,('Goodness of fit'!A109-'Goodness of fit'!B109)^2/'Goodness of fit'!B109,"")</f>
        <v/>
      </c>
      <c r="F109" s="2"/>
      <c r="G109" s="2"/>
    </row>
    <row r="110" spans="1:7" x14ac:dyDescent="0.35">
      <c r="A110">
        <f>'Goodness of fit'!D$6/1000+A109</f>
        <v>1.7440000000000013</v>
      </c>
      <c r="B110">
        <f t="shared" si="3"/>
        <v>0.22028174993915328</v>
      </c>
      <c r="C110">
        <f>IF(A110&gt;='Goodness of fit'!$D$3,B110,0)</f>
        <v>0</v>
      </c>
      <c r="D110" s="2">
        <f t="shared" si="2"/>
        <v>0.62719629726008064</v>
      </c>
      <c r="E110" s="18" t="str">
        <f>IF('Goodness of fit'!B110&gt;0,('Goodness of fit'!A110-'Goodness of fit'!B110)^2/'Goodness of fit'!B110,"")</f>
        <v/>
      </c>
      <c r="F110" s="2"/>
      <c r="G110" s="2"/>
    </row>
    <row r="111" spans="1:7" x14ac:dyDescent="0.35">
      <c r="A111">
        <f>'Goodness of fit'!D$6/1000+A110</f>
        <v>1.7600000000000013</v>
      </c>
      <c r="B111">
        <f t="shared" si="3"/>
        <v>0.21952665282233597</v>
      </c>
      <c r="C111">
        <f>IF(A111&gt;='Goodness of fit'!$D$3,B111,0)</f>
        <v>0</v>
      </c>
      <c r="D111" s="2">
        <f t="shared" si="2"/>
        <v>0.62367782126807148</v>
      </c>
      <c r="E111" s="18" t="str">
        <f>IF('Goodness of fit'!B111&gt;0,('Goodness of fit'!A111-'Goodness of fit'!B111)^2/'Goodness of fit'!B111,"")</f>
        <v/>
      </c>
      <c r="F111" s="2"/>
      <c r="G111" s="2"/>
    </row>
    <row r="112" spans="1:7" x14ac:dyDescent="0.35">
      <c r="A112">
        <f>'Goodness of fit'!D$6/1000+A111</f>
        <v>1.7760000000000014</v>
      </c>
      <c r="B112">
        <f t="shared" si="3"/>
        <v>0.21876510363930252</v>
      </c>
      <c r="C112">
        <f>IF(A112&gt;='Goodness of fit'!$D$3,B112,0)</f>
        <v>0</v>
      </c>
      <c r="D112" s="2">
        <f t="shared" si="2"/>
        <v>0.6201714787796706</v>
      </c>
      <c r="E112" s="18" t="str">
        <f>IF('Goodness of fit'!B112&gt;0,('Goodness of fit'!A112-'Goodness of fit'!B112)^2/'Goodness of fit'!B112,"")</f>
        <v/>
      </c>
      <c r="F112" s="2"/>
      <c r="G112" s="2"/>
    </row>
    <row r="113" spans="1:7" x14ac:dyDescent="0.35">
      <c r="A113">
        <f>'Goodness of fit'!D$6/1000+A112</f>
        <v>1.7920000000000014</v>
      </c>
      <c r="B113">
        <f t="shared" si="3"/>
        <v>0.21799734919383085</v>
      </c>
      <c r="C113">
        <f>IF(A113&gt;='Goodness of fit'!$D$3,B113,0)</f>
        <v>0</v>
      </c>
      <c r="D113" s="2">
        <f t="shared" si="2"/>
        <v>0.61667737104526277</v>
      </c>
      <c r="E113" s="18" t="str">
        <f>IF('Goodness of fit'!B113&gt;0,('Goodness of fit'!A113-'Goodness of fit'!B113)^2/'Goodness of fit'!B113,"")</f>
        <v/>
      </c>
      <c r="F113" s="2"/>
      <c r="G113" s="2"/>
    </row>
    <row r="114" spans="1:7" x14ac:dyDescent="0.35">
      <c r="A114">
        <f>'Goodness of fit'!D$6/1000+A113</f>
        <v>1.8080000000000014</v>
      </c>
      <c r="B114">
        <f t="shared" si="3"/>
        <v>0.21722363019154681</v>
      </c>
      <c r="C114">
        <f>IF(A114&gt;='Goodness of fit'!$D$3,B114,0)</f>
        <v>0</v>
      </c>
      <c r="D114" s="2">
        <f t="shared" si="2"/>
        <v>0.61319559541538393</v>
      </c>
      <c r="E114" s="18" t="str">
        <f>IF('Goodness of fit'!B114&gt;0,('Goodness of fit'!A114-'Goodness of fit'!B114)^2/'Goodness of fit'!B114,"")</f>
        <v/>
      </c>
      <c r="F114" s="2"/>
      <c r="G114" s="2"/>
    </row>
    <row r="115" spans="1:7" x14ac:dyDescent="0.35">
      <c r="A115">
        <f>'Goodness of fit'!D$6/1000+A114</f>
        <v>1.8240000000000014</v>
      </c>
      <c r="B115">
        <f t="shared" si="3"/>
        <v>0.21644418140773844</v>
      </c>
      <c r="C115">
        <f>IF(A115&gt;='Goodness of fit'!$D$3,B115,0)</f>
        <v>0</v>
      </c>
      <c r="D115" s="2">
        <f t="shared" si="2"/>
        <v>0.60972624543694265</v>
      </c>
      <c r="E115" s="18" t="str">
        <f>IF('Goodness of fit'!B115&gt;0,('Goodness of fit'!A115-'Goodness of fit'!B115)^2/'Goodness of fit'!B115,"")</f>
        <v/>
      </c>
      <c r="F115" s="2"/>
      <c r="G115" s="2"/>
    </row>
    <row r="116" spans="1:7" x14ac:dyDescent="0.35">
      <c r="A116">
        <f>'Goodness of fit'!D$6/1000+A115</f>
        <v>1.8400000000000014</v>
      </c>
      <c r="B116">
        <f t="shared" si="3"/>
        <v>0.21565923184934319</v>
      </c>
      <c r="C116">
        <f>IF(A116&gt;='Goodness of fit'!$D$3,B116,0)</f>
        <v>0</v>
      </c>
      <c r="D116" s="2">
        <f t="shared" si="2"/>
        <v>0.60626941094680309</v>
      </c>
      <c r="E116" s="18" t="str">
        <f>IF('Goodness of fit'!B116&gt;0,('Goodness of fit'!A116-'Goodness of fit'!B116)^2/'Goodness of fit'!B116,"")</f>
        <v/>
      </c>
      <c r="F116" s="2"/>
      <c r="G116" s="2"/>
    </row>
    <row r="117" spans="1:7" x14ac:dyDescent="0.35">
      <c r="A117">
        <f>'Goodness of fit'!D$6/1000+A116</f>
        <v>1.8560000000000014</v>
      </c>
      <c r="B117">
        <f t="shared" si="3"/>
        <v>0.21486900491136485</v>
      </c>
      <c r="C117">
        <f>IF(A117&gt;='Goodness of fit'!$D$3,B117,0)</f>
        <v>0</v>
      </c>
      <c r="D117" s="2">
        <f t="shared" si="2"/>
        <v>0.60282517816281755</v>
      </c>
      <c r="E117" s="18" t="str">
        <f>IF('Goodness of fit'!B117&gt;0,('Goodness of fit'!A117-'Goodness of fit'!B117)^2/'Goodness of fit'!B117,"")</f>
        <v/>
      </c>
      <c r="F117" s="2"/>
      <c r="G117" s="2"/>
    </row>
    <row r="118" spans="1:7" x14ac:dyDescent="0.35">
      <c r="A118">
        <f>'Goodness of fit'!D$6/1000+A117</f>
        <v>1.8720000000000014</v>
      </c>
      <c r="B118">
        <f t="shared" si="3"/>
        <v>0.21407371852795989</v>
      </c>
      <c r="C118">
        <f>IF(A118&gt;='Goodness of fit'!$D$3,B118,0)</f>
        <v>0</v>
      </c>
      <c r="D118" s="2">
        <f t="shared" si="2"/>
        <v>0.59939362977240362</v>
      </c>
      <c r="E118" s="18" t="str">
        <f>IF('Goodness of fit'!B118&gt;0,('Goodness of fit'!A118-'Goodness of fit'!B118)^2/'Goodness of fit'!B118,"")</f>
        <v/>
      </c>
      <c r="F118" s="2"/>
      <c r="G118" s="2"/>
    </row>
    <row r="119" spans="1:7" x14ac:dyDescent="0.35">
      <c r="A119">
        <f>'Goodness of fit'!D$6/1000+A118</f>
        <v>1.8880000000000015</v>
      </c>
      <c r="B119">
        <f t="shared" si="3"/>
        <v>0.2132735853184228</v>
      </c>
      <c r="C119">
        <f>IF(A119&gt;='Goodness of fit'!$D$3,B119,0)</f>
        <v>0</v>
      </c>
      <c r="D119" s="2">
        <f t="shared" si="2"/>
        <v>0.59597484501874232</v>
      </c>
      <c r="E119" s="18" t="str">
        <f>IF('Goodness of fit'!B119&gt;0,('Goodness of fit'!A119-'Goodness of fit'!B119)^2/'Goodness of fit'!B119,"")</f>
        <v/>
      </c>
      <c r="F119" s="2"/>
      <c r="G119" s="2"/>
    </row>
    <row r="120" spans="1:7" x14ac:dyDescent="0.35">
      <c r="A120">
        <f>'Goodness of fit'!D$6/1000+A119</f>
        <v>1.9040000000000015</v>
      </c>
      <c r="B120">
        <f t="shared" si="3"/>
        <v>0.21246881272828819</v>
      </c>
      <c r="C120">
        <f>IF(A120&gt;='Goodness of fit'!$D$3,B120,0)</f>
        <v>0</v>
      </c>
      <c r="D120" s="2">
        <f t="shared" si="2"/>
        <v>0.59256889978468175</v>
      </c>
      <c r="E120" s="18" t="str">
        <f>IF('Goodness of fit'!B120&gt;0,('Goodness of fit'!A120-'Goodness of fit'!B120)^2/'Goodness of fit'!B120,"")</f>
        <v/>
      </c>
      <c r="F120" s="2"/>
      <c r="G120" s="2"/>
    </row>
    <row r="121" spans="1:7" x14ac:dyDescent="0.35">
      <c r="A121">
        <f>'Goodness of fit'!D$6/1000+A120</f>
        <v>1.9200000000000015</v>
      </c>
      <c r="B121">
        <f t="shared" si="3"/>
        <v>0.21165960316575411</v>
      </c>
      <c r="C121">
        <f>IF(A121&gt;='Goodness of fit'!$D$3,B121,0)</f>
        <v>0</v>
      </c>
      <c r="D121" s="2">
        <f t="shared" si="2"/>
        <v>0.58917586667441801</v>
      </c>
      <c r="E121" s="18" t="str">
        <f>IF('Goodness of fit'!B121&gt;0,('Goodness of fit'!A121-'Goodness of fit'!B121)^2/'Goodness of fit'!B121,"")</f>
        <v/>
      </c>
      <c r="F121" s="2"/>
      <c r="G121" s="2"/>
    </row>
    <row r="122" spans="1:7" x14ac:dyDescent="0.35">
      <c r="A122">
        <f>'Goodness of fit'!D$6/1000+A121</f>
        <v>1.9360000000000015</v>
      </c>
      <c r="B122">
        <f t="shared" si="3"/>
        <v>0.21084615413362304</v>
      </c>
      <c r="C122">
        <f>IF(A122&gt;='Goodness of fit'!$D$3,B122,0)</f>
        <v>0</v>
      </c>
      <c r="D122" s="2">
        <f t="shared" si="2"/>
        <v>0.58579581509303291</v>
      </c>
      <c r="E122" s="18" t="str">
        <f>IF('Goodness of fit'!B122&gt;0,('Goodness of fit'!A122-'Goodness of fit'!B122)^2/'Goodness of fit'!B122,"")</f>
        <v/>
      </c>
      <c r="F122" s="2"/>
      <c r="G122" s="2"/>
    </row>
    <row r="123" spans="1:7" x14ac:dyDescent="0.35">
      <c r="A123">
        <f>'Goodness of fit'!D$6/1000+A122</f>
        <v>1.9520000000000015</v>
      </c>
      <c r="B123">
        <f t="shared" si="3"/>
        <v>0.21002865835694526</v>
      </c>
      <c r="C123">
        <f>IF(A123&gt;='Goodness of fit'!$D$3,B123,0)</f>
        <v>0</v>
      </c>
      <c r="D123" s="2">
        <f t="shared" si="2"/>
        <v>0.58242881132395219</v>
      </c>
      <c r="E123" s="18" t="str">
        <f>IF('Goodness of fit'!B123&gt;0,('Goodness of fit'!A123-'Goodness of fit'!B123)^2/'Goodness of fit'!B123,"")</f>
        <v/>
      </c>
      <c r="F123" s="2"/>
      <c r="G123" s="2"/>
    </row>
    <row r="124" spans="1:7" x14ac:dyDescent="0.35">
      <c r="A124">
        <f>'Goodness of fit'!D$6/1000+A123</f>
        <v>1.9680000000000015</v>
      </c>
      <c r="B124">
        <f t="shared" si="3"/>
        <v>0.20920730390654083</v>
      </c>
      <c r="C124">
        <f>IF(A124&gt;='Goodness of fit'!$D$3,B124,0)</f>
        <v>0</v>
      </c>
      <c r="D124" s="2">
        <f t="shared" si="2"/>
        <v>0.57907491860439753</v>
      </c>
      <c r="E124" s="18" t="str">
        <f>IF('Goodness of fit'!B124&gt;0,('Goodness of fit'!A124-'Goodness of fit'!B124)^2/'Goodness of fit'!B124,"")</f>
        <v/>
      </c>
      <c r="F124" s="2"/>
      <c r="G124" s="2"/>
    </row>
    <row r="125" spans="1:7" x14ac:dyDescent="0.35">
      <c r="A125">
        <f>'Goodness of fit'!D$6/1000+A124</f>
        <v>1.9840000000000015</v>
      </c>
      <c r="B125">
        <f t="shared" si="3"/>
        <v>0.20838227431856807</v>
      </c>
      <c r="C125">
        <f>IF(A125&gt;='Goodness of fit'!$D$3,B125,0)</f>
        <v>0</v>
      </c>
      <c r="D125" s="2">
        <f t="shared" si="2"/>
        <v>0.57573419719889118</v>
      </c>
      <c r="E125" s="18" t="str">
        <f>IF('Goodness of fit'!B125&gt;0,('Goodness of fit'!A125-'Goodness of fit'!B125)^2/'Goodness of fit'!B125,"")</f>
        <v/>
      </c>
      <c r="F125" s="2"/>
      <c r="G125" s="2"/>
    </row>
    <row r="126" spans="1:7" x14ac:dyDescent="0.35">
      <c r="A126">
        <f>'Goodness of fit'!D$6/1000+A125</f>
        <v>2.0000000000000013</v>
      </c>
      <c r="B126">
        <f t="shared" si="3"/>
        <v>0.20755374871029728</v>
      </c>
      <c r="C126">
        <f>IF(A126&gt;='Goodness of fit'!$D$3,B126,0)</f>
        <v>0.20755374871029728</v>
      </c>
      <c r="D126" s="2">
        <f t="shared" si="2"/>
        <v>0.5724067044708796</v>
      </c>
      <c r="E126" s="18" t="str">
        <f>IF('Goodness of fit'!B126&gt;0,('Goodness of fit'!A126-'Goodness of fit'!B126)^2/'Goodness of fit'!B126,"")</f>
        <v/>
      </c>
      <c r="F126" s="2"/>
      <c r="G126" s="2"/>
    </row>
    <row r="127" spans="1:7" x14ac:dyDescent="0.35">
      <c r="A127">
        <f>'Goodness of fit'!D$6/1000+A126</f>
        <v>2.0160000000000013</v>
      </c>
      <c r="B127">
        <f t="shared" si="3"/>
        <v>0.20672190189224046</v>
      </c>
      <c r="C127">
        <f>IF(A127&gt;='Goodness of fit'!$D$3,B127,0)</f>
        <v>0.20672190189224046</v>
      </c>
      <c r="D127" s="2">
        <f t="shared" si="2"/>
        <v>0.56909249495253444</v>
      </c>
      <c r="E127" s="18" t="str">
        <f>IF('Goodness of fit'!B127&gt;0,('Goodness of fit'!A127-'Goodness of fit'!B127)^2/'Goodness of fit'!B127,"")</f>
        <v/>
      </c>
      <c r="F127" s="2"/>
      <c r="G127" s="2"/>
    </row>
    <row r="128" spans="1:7" x14ac:dyDescent="0.35">
      <c r="A128">
        <f>'Goodness of fit'!D$6/1000+A127</f>
        <v>2.0320000000000014</v>
      </c>
      <c r="B128">
        <f t="shared" si="3"/>
        <v>0.20588690447678271</v>
      </c>
      <c r="C128">
        <f>IF(A128&gt;='Goodness of fit'!$D$3,B128,0)</f>
        <v>0.20588690447678271</v>
      </c>
      <c r="D128" s="2">
        <f t="shared" si="2"/>
        <v>0.56579162041278641</v>
      </c>
      <c r="E128" s="18" t="str">
        <f>IF('Goodness of fit'!B128&gt;0,('Goodness of fit'!A128-'Goodness of fit'!B128)^2/'Goodness of fit'!B128,"")</f>
        <v/>
      </c>
      <c r="F128" s="2"/>
      <c r="G128" s="2"/>
    </row>
    <row r="129" spans="1:7" x14ac:dyDescent="0.35">
      <c r="A129">
        <f>'Goodness of fit'!D$6/1000+A128</f>
        <v>2.0480000000000014</v>
      </c>
      <c r="B129">
        <f t="shared" si="3"/>
        <v>0.20504892298345032</v>
      </c>
      <c r="C129">
        <f>IF(A129&gt;='Goodness of fit'!$D$3,B129,0)</f>
        <v>0.20504892298345032</v>
      </c>
      <c r="D129" s="2">
        <f t="shared" si="2"/>
        <v>0.56250412992364995</v>
      </c>
      <c r="E129" s="18" t="str">
        <f>IF('Goodness of fit'!B129&gt;0,('Goodness of fit'!A129-'Goodness of fit'!B129)^2/'Goodness of fit'!B129,"")</f>
        <v/>
      </c>
      <c r="F129" s="2"/>
      <c r="G129" s="2"/>
    </row>
    <row r="130" spans="1:7" x14ac:dyDescent="0.35">
      <c r="A130">
        <f>'Goodness of fit'!D$6/1000+A129</f>
        <v>2.0640000000000014</v>
      </c>
      <c r="B130">
        <f t="shared" si="3"/>
        <v>0.20420811994094792</v>
      </c>
      <c r="C130">
        <f>IF(A130&gt;='Goodness of fit'!$D$3,B130,0)</f>
        <v>0.20420811994094792</v>
      </c>
      <c r="D130" s="2">
        <f t="shared" ref="D130:D193" si="4">CHIDIST(A130,F$1)</f>
        <v>0.55923006992488644</v>
      </c>
      <c r="E130" s="18" t="str">
        <f>IF('Goodness of fit'!B130&gt;0,('Goodness of fit'!A130-'Goodness of fit'!B130)^2/'Goodness of fit'!B130,"")</f>
        <v/>
      </c>
      <c r="F130" s="2"/>
      <c r="G130" s="2"/>
    </row>
    <row r="131" spans="1:7" x14ac:dyDescent="0.35">
      <c r="A131">
        <f>'Goodness of fit'!D$6/1000+A130</f>
        <v>2.0800000000000014</v>
      </c>
      <c r="B131">
        <f t="shared" ref="B131:B194" si="5">_xlfn.CHISQ.DIST(A131,F$1,FALSE)</f>
        <v>0.20336465398608838</v>
      </c>
      <c r="C131">
        <f>IF(A131&gt;='Goodness of fit'!$D$3,B131,0)</f>
        <v>0.20336465398608838</v>
      </c>
      <c r="D131" s="2">
        <f t="shared" si="4"/>
        <v>0.55596948428706405</v>
      </c>
      <c r="E131" s="18" t="str">
        <f>IF('Goodness of fit'!B131&gt;0,('Goodness of fit'!A131-'Goodness of fit'!B131)^2/'Goodness of fit'!B131,"")</f>
        <v/>
      </c>
      <c r="F131" s="2"/>
      <c r="G131" s="2"/>
    </row>
    <row r="132" spans="1:7" x14ac:dyDescent="0.35">
      <c r="A132">
        <f>'Goodness of fit'!D$6/1000+A131</f>
        <v>2.0960000000000014</v>
      </c>
      <c r="B132">
        <f t="shared" si="5"/>
        <v>0.20251867995973372</v>
      </c>
      <c r="C132">
        <f>IF(A132&gt;='Goodness of fit'!$D$3,B132,0)</f>
        <v>0.20251867995973372</v>
      </c>
      <c r="D132" s="2">
        <f t="shared" si="4"/>
        <v>0.5527224143730548</v>
      </c>
      <c r="E132" s="18" t="str">
        <f>IF('Goodness of fit'!B132&gt;0,('Goodness of fit'!A132-'Goodness of fit'!B132)^2/'Goodness of fit'!B132,"")</f>
        <v/>
      </c>
      <c r="F132" s="2"/>
      <c r="G132" s="2"/>
    </row>
    <row r="133" spans="1:7" x14ac:dyDescent="0.35">
      <c r="A133">
        <f>'Goodness of fit'!D$6/1000+A132</f>
        <v>2.1120000000000014</v>
      </c>
      <c r="B133">
        <f t="shared" si="5"/>
        <v>0.20167034899986086</v>
      </c>
      <c r="C133">
        <f>IF(A133&gt;='Goodness of fit'!$D$3,B133,0)</f>
        <v>0.20167034899986086</v>
      </c>
      <c r="D133" s="2">
        <f t="shared" si="4"/>
        <v>0.54948889909802234</v>
      </c>
      <c r="E133" s="18" t="str">
        <f>IF('Goodness of fit'!B133&gt;0,('Goodness of fit'!A133-'Goodness of fit'!B133)^2/'Goodness of fit'!B133,"")</f>
        <v/>
      </c>
      <c r="F133" s="2"/>
      <c r="G133" s="2"/>
    </row>
    <row r="134" spans="1:7" x14ac:dyDescent="0.35">
      <c r="A134">
        <f>'Goodness of fit'!D$6/1000+A133</f>
        <v>2.1280000000000014</v>
      </c>
      <c r="B134">
        <f t="shared" si="5"/>
        <v>0.20081980863185969</v>
      </c>
      <c r="C134">
        <f>IF(A134&gt;='Goodness of fit'!$D$3,B134,0)</f>
        <v>0.20081980863185969</v>
      </c>
      <c r="D134" s="2">
        <f t="shared" si="4"/>
        <v>0.54626897498794258</v>
      </c>
      <c r="E134" s="18" t="str">
        <f>IF('Goodness of fit'!B134&gt;0,('Goodness of fit'!A134-'Goodness of fit'!B134)^2/'Goodness of fit'!B134,"")</f>
        <v/>
      </c>
      <c r="F134" s="2"/>
      <c r="G134" s="2"/>
    </row>
    <row r="135" spans="1:7" x14ac:dyDescent="0.35">
      <c r="A135">
        <f>'Goodness of fit'!D$6/1000+A134</f>
        <v>2.1440000000000015</v>
      </c>
      <c r="B135">
        <f t="shared" si="5"/>
        <v>0.19996720285616665</v>
      </c>
      <c r="C135">
        <f>IF(A135&gt;='Goodness of fit'!$D$3,B135,0)</f>
        <v>0.19996720285616665</v>
      </c>
      <c r="D135" s="2">
        <f t="shared" si="4"/>
        <v>0.54306267623669902</v>
      </c>
      <c r="E135" s="18" t="str">
        <f>IF('Goodness of fit'!B135&gt;0,('Goodness of fit'!A135-'Goodness of fit'!B135)^2/'Goodness of fit'!B135,"")</f>
        <v/>
      </c>
      <c r="F135" s="2"/>
      <c r="G135" s="2"/>
    </row>
    <row r="136" spans="1:7" x14ac:dyDescent="0.35">
      <c r="A136">
        <f>'Goodness of fit'!D$6/1000+A135</f>
        <v>2.1600000000000015</v>
      </c>
      <c r="B136">
        <f t="shared" si="5"/>
        <v>0.19911267223333157</v>
      </c>
      <c r="C136">
        <f>IF(A136&gt;='Goodness of fit'!$D$3,B136,0)</f>
        <v>0.19911267223333157</v>
      </c>
      <c r="D136" s="2">
        <f t="shared" si="4"/>
        <v>0.53987003476179973</v>
      </c>
      <c r="E136" s="18" t="str">
        <f>IF('Goodness of fit'!B136&gt;0,('Goodness of fit'!A136-'Goodness of fit'!B136)^2/'Goodness of fit'!B136,"")</f>
        <v/>
      </c>
      <c r="F136" s="2"/>
      <c r="G136" s="2"/>
    </row>
    <row r="137" spans="1:7" x14ac:dyDescent="0.35">
      <c r="A137">
        <f>'Goodness of fit'!D$6/1000+A136</f>
        <v>2.1760000000000015</v>
      </c>
      <c r="B137">
        <f t="shared" si="5"/>
        <v>0.19825635396661306</v>
      </c>
      <c r="C137">
        <f>IF(A137&gt;='Goodness of fit'!$D$3,B137,0)</f>
        <v>0.19825635396661306</v>
      </c>
      <c r="D137" s="2">
        <f t="shared" si="4"/>
        <v>0.53669108025875079</v>
      </c>
      <c r="E137" s="18" t="str">
        <f>IF('Goodness of fit'!B137&gt;0,('Goodness of fit'!A137-'Goodness of fit'!B137)^2/'Goodness of fit'!B137,"")</f>
        <v/>
      </c>
      <c r="F137" s="2"/>
      <c r="G137" s="2"/>
    </row>
    <row r="138" spans="1:7" x14ac:dyDescent="0.35">
      <c r="A138">
        <f>'Goodness of fit'!D$6/1000+A137</f>
        <v>2.1920000000000015</v>
      </c>
      <c r="B138">
        <f t="shared" si="5"/>
        <v>0.19739838198219012</v>
      </c>
      <c r="C138">
        <f>IF(A138&gt;='Goodness of fit'!$D$3,B138,0)</f>
        <v>0.19739838198219012</v>
      </c>
      <c r="D138" s="2">
        <f t="shared" si="4"/>
        <v>0.5335258402541273</v>
      </c>
      <c r="E138" s="18" t="str">
        <f>IF('Goodness of fit'!B138&gt;0,('Goodness of fit'!A138-'Goodness of fit'!B138)^2/'Goodness of fit'!B138,"")</f>
        <v/>
      </c>
      <c r="F138" s="2"/>
      <c r="G138" s="2"/>
    </row>
    <row r="139" spans="1:7" x14ac:dyDescent="0.35">
      <c r="A139">
        <f>'Goodness of fit'!D$6/1000+A138</f>
        <v>2.2080000000000015</v>
      </c>
      <c r="B139">
        <f t="shared" si="5"/>
        <v>0.19653888700707794</v>
      </c>
      <c r="C139">
        <f>IF(A139&gt;='Goodness of fit'!$D$3,B139,0)</f>
        <v>0.19653888700707794</v>
      </c>
      <c r="D139" s="2">
        <f t="shared" si="4"/>
        <v>0.53037434015738216</v>
      </c>
      <c r="E139" s="18" t="str">
        <f>IF('Goodness of fit'!B139&gt;0,('Goodness of fit'!A139-'Goodness of fit'!B139)^2/'Goodness of fit'!B139,"")</f>
        <v/>
      </c>
      <c r="F139" s="2"/>
      <c r="G139" s="2"/>
    </row>
    <row r="140" spans="1:7" x14ac:dyDescent="0.35">
      <c r="A140">
        <f>'Goodness of fit'!D$6/1000+A139</f>
        <v>2.2240000000000015</v>
      </c>
      <c r="B140">
        <f t="shared" si="5"/>
        <v>0.19567799664482763</v>
      </c>
      <c r="C140">
        <f>IF(A140&gt;='Goodness of fit'!$D$3,B140,0)</f>
        <v>0.19567799664482763</v>
      </c>
      <c r="D140" s="2">
        <f t="shared" si="4"/>
        <v>0.52723660331142308</v>
      </c>
      <c r="E140" s="18" t="str">
        <f>IF('Goodness of fit'!B140&gt;0,('Goodness of fit'!A140-'Goodness of fit'!B140)^2/'Goodness of fit'!B140,"")</f>
        <v/>
      </c>
      <c r="F140" s="2"/>
      <c r="G140" s="2"/>
    </row>
    <row r="141" spans="1:7" x14ac:dyDescent="0.35">
      <c r="A141">
        <f>'Goodness of fit'!D$6/1000+A140</f>
        <v>2.2400000000000015</v>
      </c>
      <c r="B141">
        <f t="shared" si="5"/>
        <v>0.19481583544909103</v>
      </c>
      <c r="C141">
        <f>IF(A141&gt;='Goodness of fit'!$D$3,B141,0)</f>
        <v>0.19481583544909103</v>
      </c>
      <c r="D141" s="2">
        <f t="shared" si="4"/>
        <v>0.52411265104199689</v>
      </c>
      <c r="E141" s="18" t="str">
        <f>IF('Goodness of fit'!B141&gt;0,('Goodness of fit'!A141-'Goodness of fit'!B141)^2/'Goodness of fit'!B141,"")</f>
        <v/>
      </c>
      <c r="F141" s="2"/>
      <c r="G141" s="2"/>
    </row>
    <row r="142" spans="1:7" x14ac:dyDescent="0.35">
      <c r="A142">
        <f>'Goodness of fit'!D$6/1000+A141</f>
        <v>2.2560000000000016</v>
      </c>
      <c r="B142">
        <f t="shared" si="5"/>
        <v>0.19395252499512308</v>
      </c>
      <c r="C142">
        <f>IF(A142&gt;='Goodness of fit'!$D$3,B142,0)</f>
        <v>0.19395252499512308</v>
      </c>
      <c r="D142" s="2">
        <f t="shared" si="4"/>
        <v>0.52100250270591242</v>
      </c>
      <c r="E142" s="18" t="str">
        <f>IF('Goodness of fit'!B142&gt;0,('Goodness of fit'!A142-'Goodness of fit'!B142)^2/'Goodness of fit'!B142,"")</f>
        <v/>
      </c>
      <c r="F142" s="2"/>
      <c r="G142" s="2"/>
    </row>
    <row r="143" spans="1:7" x14ac:dyDescent="0.35">
      <c r="A143">
        <f>'Goodness of fit'!D$6/1000+A142</f>
        <v>2.2720000000000016</v>
      </c>
      <c r="B143">
        <f t="shared" si="5"/>
        <v>0.19308818394929453</v>
      </c>
      <c r="C143">
        <f>IF(A143&gt;='Goodness of fit'!$D$3,B143,0)</f>
        <v>0.19308818394929453</v>
      </c>
      <c r="D143" s="2">
        <f t="shared" si="4"/>
        <v>0.51790617573813758</v>
      </c>
      <c r="E143" s="18" t="str">
        <f>IF('Goodness of fit'!B143&gt;0,('Goodness of fit'!A143-'Goodness of fit'!B143)^2/'Goodness of fit'!B143,"")</f>
        <v/>
      </c>
      <c r="F143" s="2"/>
      <c r="G143" s="2"/>
    </row>
    <row r="144" spans="1:7" x14ac:dyDescent="0.35">
      <c r="A144">
        <f>'Goodness of fit'!D$6/1000+A143</f>
        <v>2.2880000000000016</v>
      </c>
      <c r="B144">
        <f t="shared" si="5"/>
        <v>0.1922229281366849</v>
      </c>
      <c r="C144">
        <f>IF(A144&gt;='Goodness of fit'!$D$3,B144,0)</f>
        <v>0.1922229281366849</v>
      </c>
      <c r="D144" s="2">
        <f t="shared" si="4"/>
        <v>0.51482368569779768</v>
      </c>
      <c r="E144" s="18" t="str">
        <f>IF('Goodness of fit'!B144&gt;0,('Goodness of fit'!A144-'Goodness of fit'!B144)^2/'Goodness of fit'!B144,"")</f>
        <v/>
      </c>
      <c r="F144" s="2"/>
      <c r="G144" s="2"/>
    </row>
    <row r="145" spans="1:7" x14ac:dyDescent="0.35">
      <c r="A145">
        <f>'Goodness of fit'!D$6/1000+A144</f>
        <v>2.3040000000000016</v>
      </c>
      <c r="B145">
        <f t="shared" si="5"/>
        <v>0.19135687060681975</v>
      </c>
      <c r="C145">
        <f>IF(A145&gt;='Goodness of fit'!$D$3,B145,0)</f>
        <v>0.19135687060681975</v>
      </c>
      <c r="D145" s="2">
        <f t="shared" si="4"/>
        <v>0.5117550463131072</v>
      </c>
      <c r="E145" s="18" t="str">
        <f>IF('Goodness of fit'!B145&gt;0,('Goodness of fit'!A145-'Goodness of fit'!B145)^2/'Goodness of fit'!B145,"")</f>
        <v/>
      </c>
      <c r="F145" s="2"/>
      <c r="G145" s="2"/>
    </row>
    <row r="146" spans="1:7" x14ac:dyDescent="0.35">
      <c r="A146">
        <f>'Goodness of fit'!D$6/1000+A145</f>
        <v>2.3200000000000016</v>
      </c>
      <c r="B146">
        <f t="shared" si="5"/>
        <v>0.19049012169761689</v>
      </c>
      <c r="C146">
        <f>IF(A146&gt;='Goodness of fit'!$D$3,B146,0)</f>
        <v>0.19049012169761689</v>
      </c>
      <c r="D146" s="2">
        <f t="shared" si="4"/>
        <v>0.50870026952526493</v>
      </c>
      <c r="E146" s="18" t="str">
        <f>IF('Goodness of fit'!B146&gt;0,('Goodness of fit'!A146-'Goodness of fit'!B146)^2/'Goodness of fit'!B146,"")</f>
        <v/>
      </c>
      <c r="F146" s="2"/>
      <c r="G146" s="2"/>
    </row>
    <row r="147" spans="1:7" x14ac:dyDescent="0.35">
      <c r="A147">
        <f>'Goodness of fit'!D$6/1000+A146</f>
        <v>2.3360000000000016</v>
      </c>
      <c r="B147">
        <f t="shared" si="5"/>
        <v>0.18962278909760108</v>
      </c>
      <c r="C147">
        <f>IF(A147&gt;='Goodness of fit'!$D$3,B147,0)</f>
        <v>0.18962278909760108</v>
      </c>
      <c r="D147" s="2">
        <f t="shared" si="4"/>
        <v>0.50565936553134083</v>
      </c>
      <c r="E147" s="18" t="str">
        <f>IF('Goodness of fit'!B147&gt;0,('Goodness of fit'!A147-'Goodness of fit'!B147)^2/'Goodness of fit'!B147,"")</f>
        <v/>
      </c>
      <c r="F147" s="2"/>
      <c r="G147" s="2"/>
    </row>
    <row r="148" spans="1:7" x14ac:dyDescent="0.35">
      <c r="A148">
        <f>'Goodness of fit'!D$6/1000+A147</f>
        <v>2.3520000000000016</v>
      </c>
      <c r="B148">
        <f t="shared" si="5"/>
        <v>0.18875497790644574</v>
      </c>
      <c r="C148">
        <f>IF(A148&gt;='Goodness of fit'!$D$3,B148,0)</f>
        <v>0.18875497790644574</v>
      </c>
      <c r="D148" s="2">
        <f t="shared" si="4"/>
        <v>0.50263234282617819</v>
      </c>
      <c r="E148" s="18" t="str">
        <f>IF('Goodness of fit'!B148&gt;0,('Goodness of fit'!A148-'Goodness of fit'!B148)^2/'Goodness of fit'!B148,"")</f>
        <v/>
      </c>
      <c r="F148" s="2"/>
      <c r="G148" s="2"/>
    </row>
    <row r="149" spans="1:7" x14ac:dyDescent="0.35">
      <c r="A149">
        <f>'Goodness of fit'!D$6/1000+A148</f>
        <v>2.3680000000000017</v>
      </c>
      <c r="B149">
        <f t="shared" si="5"/>
        <v>0.18788679069389749</v>
      </c>
      <c r="C149">
        <f>IF(A149&gt;='Goodness of fit'!$D$3,B149,0)</f>
        <v>0.18788679069389749</v>
      </c>
      <c r="D149" s="2">
        <f t="shared" si="4"/>
        <v>0.49961920824334238</v>
      </c>
      <c r="E149" s="18" t="str">
        <f>IF('Goodness of fit'!B149&gt;0,('Goodness of fit'!A149-'Goodness of fit'!B149)^2/'Goodness of fit'!B149,"")</f>
        <v/>
      </c>
      <c r="F149" s="2"/>
      <c r="G149" s="2"/>
    </row>
    <row r="150" spans="1:7" x14ac:dyDescent="0.35">
      <c r="A150">
        <f>'Goodness of fit'!D$6/1000+A149</f>
        <v>2.3840000000000017</v>
      </c>
      <c r="B150">
        <f t="shared" si="5"/>
        <v>0.18701832755713618</v>
      </c>
      <c r="C150">
        <f>IF(A150&gt;='Goodness of fit'!$D$3,B150,0)</f>
        <v>0.18701832755713618</v>
      </c>
      <c r="D150" s="2">
        <f t="shared" si="4"/>
        <v>0.49661996699513955</v>
      </c>
      <c r="E150" s="18" t="str">
        <f>IF('Goodness of fit'!B150&gt;0,('Goodness of fit'!A150-'Goodness of fit'!B150)^2/'Goodness of fit'!B150,"")</f>
        <v/>
      </c>
      <c r="F150" s="2"/>
      <c r="G150" s="2"/>
    </row>
    <row r="151" spans="1:7" x14ac:dyDescent="0.35">
      <c r="A151">
        <f>'Goodness of fit'!D$6/1000+A150</f>
        <v>2.4000000000000017</v>
      </c>
      <c r="B151">
        <f t="shared" si="5"/>
        <v>0.18614968617662289</v>
      </c>
      <c r="C151">
        <f>IF(A151&gt;='Goodness of fit'!$D$3,B151,0)</f>
        <v>0.18614968617662289</v>
      </c>
      <c r="D151" s="2">
        <f t="shared" si="4"/>
        <v>0.49363462271172753</v>
      </c>
      <c r="E151" s="18" t="str">
        <f>IF('Goodness of fit'!B151&gt;0,('Goodness of fit'!A151-'Goodness of fit'!B151)^2/'Goodness of fit'!B151,"")</f>
        <v/>
      </c>
      <c r="F151" s="2"/>
      <c r="G151" s="2"/>
    </row>
    <row r="152" spans="1:7" x14ac:dyDescent="0.35">
      <c r="A152">
        <f>'Goodness of fit'!D$6/1000+A151</f>
        <v>2.4160000000000017</v>
      </c>
      <c r="B152">
        <f t="shared" si="5"/>
        <v>0.18528096187048373</v>
      </c>
      <c r="C152">
        <f>IF(A152&gt;='Goodness of fit'!$D$3,B152,0)</f>
        <v>0.18528096187048373</v>
      </c>
      <c r="D152" s="2">
        <f t="shared" si="4"/>
        <v>0.49066317747934718</v>
      </c>
      <c r="E152" s="18" t="str">
        <f>IF('Goodness of fit'!B152&gt;0,('Goodness of fit'!A152-'Goodness of fit'!B152)^2/'Goodness of fit'!B152,"")</f>
        <v/>
      </c>
      <c r="F152" s="2"/>
      <c r="G152" s="2"/>
    </row>
    <row r="153" spans="1:7" x14ac:dyDescent="0.35">
      <c r="A153">
        <f>'Goodness of fit'!D$6/1000+A152</f>
        <v>2.4320000000000017</v>
      </c>
      <c r="B153">
        <f t="shared" si="5"/>
        <v>0.18441224764747777</v>
      </c>
      <c r="C153">
        <f>IF(A153&gt;='Goodness of fit'!$D$3,B153,0)</f>
        <v>0.18441224764747777</v>
      </c>
      <c r="D153" s="2">
        <f t="shared" si="4"/>
        <v>0.48770563187769411</v>
      </c>
      <c r="E153" s="18" t="str">
        <f>IF('Goodness of fit'!B153&gt;0,('Goodness of fit'!A153-'Goodness of fit'!B153)^2/'Goodness of fit'!B153,"")</f>
        <v/>
      </c>
      <c r="F153" s="2"/>
      <c r="G153" s="2"/>
    </row>
    <row r="154" spans="1:7" x14ac:dyDescent="0.35">
      <c r="A154">
        <f>'Goodness of fit'!D$6/1000+A153</f>
        <v>2.4480000000000017</v>
      </c>
      <c r="B154">
        <f t="shared" si="5"/>
        <v>0.18354363425859418</v>
      </c>
      <c r="C154">
        <f>IF(A154&gt;='Goodness of fit'!$D$3,B154,0)</f>
        <v>0.18354363425859418</v>
      </c>
      <c r="D154" s="2">
        <f t="shared" si="4"/>
        <v>0.48476198501645351</v>
      </c>
      <c r="E154" s="18" t="str">
        <f>IF('Goodness of fit'!B154&gt;0,('Goodness of fit'!A154-'Goodness of fit'!B154)^2/'Goodness of fit'!B154,"")</f>
        <v/>
      </c>
      <c r="F154" s="2"/>
      <c r="G154" s="2"/>
    </row>
    <row r="155" spans="1:7" x14ac:dyDescent="0.35">
      <c r="A155">
        <f>'Goodness of fit'!D$6/1000+A154</f>
        <v>2.4640000000000017</v>
      </c>
      <c r="B155">
        <f t="shared" si="5"/>
        <v>0.18267521024732178</v>
      </c>
      <c r="C155">
        <f>IF(A155&gt;='Goodness of fit'!$D$3,B155,0)</f>
        <v>0.18267521024732178</v>
      </c>
      <c r="D155" s="2">
        <f t="shared" si="4"/>
        <v>0.48183223457102131</v>
      </c>
      <c r="E155" s="18" t="str">
        <f>IF('Goodness of fit'!B155&gt;0,('Goodness of fit'!A155-'Goodness of fit'!B155)^2/'Goodness of fit'!B155,"")</f>
        <v/>
      </c>
      <c r="F155" s="2"/>
      <c r="G155" s="2"/>
    </row>
    <row r="156" spans="1:7" x14ac:dyDescent="0.35">
      <c r="A156">
        <f>'Goodness of fit'!D$6/1000+A155</f>
        <v>2.4800000000000018</v>
      </c>
      <c r="B156">
        <f t="shared" si="5"/>
        <v>0.18180706199863383</v>
      </c>
      <c r="C156">
        <f>IF(A156&gt;='Goodness of fit'!$D$3,B156,0)</f>
        <v>0.18180706199863383</v>
      </c>
      <c r="D156" s="2">
        <f t="shared" si="4"/>
        <v>0.47891637681743005</v>
      </c>
      <c r="E156" s="18" t="str">
        <f>IF('Goodness of fit'!B156&gt;0,('Goodness of fit'!A156-'Goodness of fit'!B156)^2/'Goodness of fit'!B156,"")</f>
        <v/>
      </c>
      <c r="F156" s="2"/>
      <c r="G156" s="2"/>
    </row>
    <row r="157" spans="1:7" x14ac:dyDescent="0.35">
      <c r="A157">
        <f>'Goodness of fit'!D$6/1000+A156</f>
        <v>2.4960000000000018</v>
      </c>
      <c r="B157">
        <f t="shared" si="5"/>
        <v>0.18093927378672744</v>
      </c>
      <c r="C157">
        <f>IF(A157&gt;='Goodness of fit'!$D$3,B157,0)</f>
        <v>0.18093927378672744</v>
      </c>
      <c r="D157" s="2">
        <f t="shared" si="4"/>
        <v>0.47601440666650185</v>
      </c>
      <c r="E157" s="18" t="str">
        <f>IF('Goodness of fit'!B157&gt;0,('Goodness of fit'!A157-'Goodness of fit'!B157)^2/'Goodness of fit'!B157,"")</f>
        <v/>
      </c>
      <c r="F157" s="2"/>
      <c r="G157" s="2"/>
    </row>
    <row r="158" spans="1:7" x14ac:dyDescent="0.35">
      <c r="A158">
        <f>'Goodness of fit'!D$6/1000+A157</f>
        <v>2.5120000000000018</v>
      </c>
      <c r="B158">
        <f t="shared" si="5"/>
        <v>0.18007192782155718</v>
      </c>
      <c r="C158">
        <f>IF(A158&gt;='Goodness of fit'!$D$3,B158,0)</f>
        <v>0.18007192782155718</v>
      </c>
      <c r="D158" s="2">
        <f t="shared" si="4"/>
        <v>0.47312631769724678</v>
      </c>
      <c r="E158" s="18" t="str">
        <f>IF('Goodness of fit'!B158&gt;0,('Goodness of fit'!A158-'Goodness of fit'!B158)^2/'Goodness of fit'!B158,"")</f>
        <v/>
      </c>
      <c r="F158" s="2"/>
      <c r="G158" s="2"/>
    </row>
    <row r="159" spans="1:7" x14ac:dyDescent="0.35">
      <c r="A159">
        <f>'Goodness of fit'!D$6/1000+A158</f>
        <v>2.5280000000000018</v>
      </c>
      <c r="B159">
        <f t="shared" si="5"/>
        <v>0.17920510429419939</v>
      </c>
      <c r="C159">
        <f>IF(A159&gt;='Goodness of fit'!$D$3,B159,0)</f>
        <v>0.17920510429419939</v>
      </c>
      <c r="D159" s="2">
        <f t="shared" si="4"/>
        <v>0.47025210218952607</v>
      </c>
      <c r="E159" s="18" t="str">
        <f>IF('Goodness of fit'!B159&gt;0,('Goodness of fit'!A159-'Goodness of fit'!B159)^2/'Goodness of fit'!B159,"")</f>
        <v/>
      </c>
      <c r="F159" s="2"/>
      <c r="G159" s="2"/>
    </row>
    <row r="160" spans="1:7" x14ac:dyDescent="0.35">
      <c r="A160">
        <f>'Goodness of fit'!D$6/1000+A159</f>
        <v>2.5440000000000018</v>
      </c>
      <c r="B160">
        <f t="shared" si="5"/>
        <v>0.17833888142108426</v>
      </c>
      <c r="C160">
        <f>IF(A160&gt;='Goodness of fit'!$D$3,B160,0)</f>
        <v>0.17833888142108426</v>
      </c>
      <c r="D160" s="2">
        <f t="shared" si="4"/>
        <v>0.46739175115599962</v>
      </c>
      <c r="E160" s="18" t="str">
        <f>IF('Goodness of fit'!B160&gt;0,('Goodness of fit'!A160-'Goodness of fit'!B160)^2/'Goodness of fit'!B160,"")</f>
        <v/>
      </c>
      <c r="F160" s="2"/>
      <c r="G160" s="2"/>
    </row>
    <row r="161" spans="1:7" x14ac:dyDescent="0.35">
      <c r="A161">
        <f>'Goodness of fit'!D$6/1000+A160</f>
        <v>2.5600000000000018</v>
      </c>
      <c r="B161">
        <f t="shared" si="5"/>
        <v>0.17747333548712885</v>
      </c>
      <c r="C161">
        <f>IF(A161&gt;='Goodness of fit'!$D$3,B161,0)</f>
        <v>0.17747333548712885</v>
      </c>
      <c r="D161" s="2">
        <f t="shared" si="4"/>
        <v>0.46454525437337324</v>
      </c>
      <c r="E161" s="18" t="str">
        <f>IF('Goodness of fit'!B161&gt;0,('Goodness of fit'!A161-'Goodness of fit'!B161)^2/'Goodness of fit'!B161,"")</f>
        <v/>
      </c>
      <c r="F161" s="2"/>
      <c r="G161" s="2"/>
    </row>
    <row r="162" spans="1:7" x14ac:dyDescent="0.35">
      <c r="A162">
        <f>'Goodness of fit'!D$6/1000+A161</f>
        <v>2.5760000000000018</v>
      </c>
      <c r="B162">
        <f t="shared" si="5"/>
        <v>0.17660854088780542</v>
      </c>
      <c r="C162">
        <f>IF(A162&gt;='Goodness of fit'!$D$3,B162,0)</f>
        <v>0.17660854088780542</v>
      </c>
      <c r="D162" s="2">
        <f t="shared" si="4"/>
        <v>0.4617126004129648</v>
      </c>
      <c r="E162" s="18" t="str">
        <f>IF('Goodness of fit'!B162&gt;0,('Goodness of fit'!A162-'Goodness of fit'!B162)^2/'Goodness of fit'!B162,"")</f>
        <v/>
      </c>
      <c r="F162" s="2"/>
      <c r="G162" s="2"/>
    </row>
    <row r="163" spans="1:7" x14ac:dyDescent="0.35">
      <c r="A163">
        <f>'Goodness of fit'!D$6/1000+A162</f>
        <v>2.5920000000000019</v>
      </c>
      <c r="B163">
        <f t="shared" si="5"/>
        <v>0.17574457017017653</v>
      </c>
      <c r="C163">
        <f>IF(A163&gt;='Goodness of fit'!$D$3,B163,0)</f>
        <v>0.17574457017017653</v>
      </c>
      <c r="D163" s="2">
        <f t="shared" si="4"/>
        <v>0.45889377667060627</v>
      </c>
      <c r="E163" s="18" t="str">
        <f>IF('Goodness of fit'!B163&gt;0,('Goodness of fit'!A163-'Goodness of fit'!B163)^2/'Goodness of fit'!B163,"")</f>
        <v/>
      </c>
      <c r="F163" s="2"/>
      <c r="G163" s="2"/>
    </row>
    <row r="164" spans="1:7" x14ac:dyDescent="0.35">
      <c r="A164">
        <f>'Goodness of fit'!D$6/1000+A163</f>
        <v>2.6080000000000019</v>
      </c>
      <c r="B164">
        <f t="shared" si="5"/>
        <v>0.17488149407292825</v>
      </c>
      <c r="C164">
        <f>IF(A164&gt;='Goodness of fit'!$D$3,B164,0)</f>
        <v>0.17488149407292825</v>
      </c>
      <c r="D164" s="2">
        <f t="shared" si="4"/>
        <v>0.45608876939589604</v>
      </c>
      <c r="E164" s="18" t="str">
        <f>IF('Goodness of fit'!B164&gt;0,('Goodness of fit'!A164-'Goodness of fit'!B164)^2/'Goodness of fit'!B164,"")</f>
        <v/>
      </c>
      <c r="F164" s="2"/>
      <c r="G164" s="2"/>
    </row>
    <row r="165" spans="1:7" x14ac:dyDescent="0.35">
      <c r="A165">
        <f>'Goodness of fit'!D$6/1000+A164</f>
        <v>2.6240000000000019</v>
      </c>
      <c r="B165">
        <f t="shared" si="5"/>
        <v>0.17401938156543076</v>
      </c>
      <c r="C165">
        <f>IF(A165&gt;='Goodness of fit'!$D$3,B165,0)</f>
        <v>0.17401938156543076</v>
      </c>
      <c r="D165" s="2">
        <f t="shared" si="4"/>
        <v>0.45329756372081953</v>
      </c>
      <c r="E165" s="18" t="str">
        <f>IF('Goodness of fit'!B165&gt;0,('Goodness of fit'!A165-'Goodness of fit'!B165)^2/'Goodness of fit'!B165,"")</f>
        <v/>
      </c>
      <c r="F165" s="2"/>
      <c r="G165" s="2"/>
    </row>
    <row r="166" spans="1:7" x14ac:dyDescent="0.35">
      <c r="A166">
        <f>'Goodness of fit'!D$6/1000+A165</f>
        <v>2.6400000000000019</v>
      </c>
      <c r="B166">
        <f t="shared" si="5"/>
        <v>0.17315829988585513</v>
      </c>
      <c r="C166">
        <f>IF(A166&gt;='Goodness of fit'!$D$3,B166,0)</f>
        <v>0.17315829988585513</v>
      </c>
      <c r="D166" s="2">
        <f t="shared" si="4"/>
        <v>0.45052014368775217</v>
      </c>
      <c r="E166" s="18" t="str">
        <f>IF('Goodness of fit'!B166&gt;0,('Goodness of fit'!A166-'Goodness of fit'!B166)^2/'Goodness of fit'!B166,"")</f>
        <v/>
      </c>
      <c r="F166" s="2"/>
      <c r="G166" s="2"/>
    </row>
    <row r="167" spans="1:7" x14ac:dyDescent="0.35">
      <c r="A167">
        <f>'Goodness of fit'!D$6/1000+A166</f>
        <v>2.6560000000000019</v>
      </c>
      <c r="B167">
        <f t="shared" si="5"/>
        <v>0.17229831457837447</v>
      </c>
      <c r="C167">
        <f>IF(A167&gt;='Goodness of fit'!$D$3,B167,0)</f>
        <v>0.17229831457837447</v>
      </c>
      <c r="D167" s="2">
        <f t="shared" si="4"/>
        <v>0.44775649227685965</v>
      </c>
      <c r="E167" s="18" t="str">
        <f>IF('Goodness of fit'!B167&gt;0,('Goodness of fit'!A167-'Goodness of fit'!B167)^2/'Goodness of fit'!B167,"")</f>
        <v/>
      </c>
      <c r="F167" s="2"/>
      <c r="G167" s="2"/>
    </row>
    <row r="168" spans="1:7" x14ac:dyDescent="0.35">
      <c r="A168">
        <f>'Goodness of fit'!D$6/1000+A167</f>
        <v>2.6720000000000019</v>
      </c>
      <c r="B168">
        <f t="shared" si="5"/>
        <v>0.17143948952947516</v>
      </c>
      <c r="C168">
        <f>IF(A168&gt;='Goodness of fit'!$D$3,B168,0)</f>
        <v>0.17143948952947516</v>
      </c>
      <c r="D168" s="2">
        <f t="shared" si="4"/>
        <v>0.44500659143290988</v>
      </c>
      <c r="E168" s="18" t="str">
        <f>IF('Goodness of fit'!B168&gt;0,('Goodness of fit'!A168-'Goodness of fit'!B168)^2/'Goodness of fit'!B168,"")</f>
        <v/>
      </c>
      <c r="F168" s="2"/>
      <c r="G168" s="2"/>
    </row>
    <row r="169" spans="1:7" x14ac:dyDescent="0.35">
      <c r="A169">
        <f>'Goodness of fit'!D$6/1000+A168</f>
        <v>2.6880000000000019</v>
      </c>
      <c r="B169">
        <f t="shared" si="5"/>
        <v>0.1705818870034049</v>
      </c>
      <c r="C169">
        <f>IF(A169&gt;='Goodness of fit'!$D$3,B169,0)</f>
        <v>0.1705818870034049</v>
      </c>
      <c r="D169" s="2">
        <f t="shared" si="4"/>
        <v>0.44227042209151246</v>
      </c>
      <c r="E169" s="18" t="str">
        <f>IF('Goodness of fit'!B169&gt;0,('Goodness of fit'!A169-'Goodness of fit'!B169)^2/'Goodness of fit'!B169,"")</f>
        <v/>
      </c>
      <c r="F169" s="2"/>
      <c r="G169" s="2"/>
    </row>
    <row r="170" spans="1:7" x14ac:dyDescent="0.35">
      <c r="A170">
        <f>'Goodness of fit'!D$6/1000+A169</f>
        <v>2.704000000000002</v>
      </c>
      <c r="B170">
        <f t="shared" si="5"/>
        <v>0.16972556767678137</v>
      </c>
      <c r="C170">
        <f>IF(A170&gt;='Goodness of fit'!$D$3,B170,0)</f>
        <v>0.16972556767678137</v>
      </c>
      <c r="D170" s="2">
        <f t="shared" si="4"/>
        <v>0.43954796420479447</v>
      </c>
      <c r="E170" s="18" t="str">
        <f>IF('Goodness of fit'!B170&gt;0,('Goodness of fit'!A170-'Goodness of fit'!B170)^2/'Goodness of fit'!B170,"")</f>
        <v/>
      </c>
      <c r="F170" s="2"/>
      <c r="G170" s="2"/>
    </row>
    <row r="171" spans="1:7" x14ac:dyDescent="0.35">
      <c r="A171">
        <f>'Goodness of fit'!D$6/1000+A170</f>
        <v>2.720000000000002</v>
      </c>
      <c r="B171">
        <f t="shared" si="5"/>
        <v>0.16887059067238658</v>
      </c>
      <c r="C171">
        <f>IF(A171&gt;='Goodness of fit'!$D$3,B171,0)</f>
        <v>0.16887059067238658</v>
      </c>
      <c r="D171" s="2">
        <f t="shared" si="4"/>
        <v>0.43683919676653316</v>
      </c>
      <c r="E171" s="18" t="str">
        <f>IF('Goodness of fit'!B171&gt;0,('Goodness of fit'!A171-'Goodness of fit'!B171)^2/'Goodness of fit'!B171,"")</f>
        <v/>
      </c>
      <c r="F171" s="2"/>
      <c r="G171" s="2"/>
    </row>
    <row r="172" spans="1:7" x14ac:dyDescent="0.35">
      <c r="A172">
        <f>'Goodness of fit'!D$6/1000+A171</f>
        <v>2.736000000000002</v>
      </c>
      <c r="B172">
        <f t="shared" si="5"/>
        <v>0.16801701359216883</v>
      </c>
      <c r="C172">
        <f>IF(A172&gt;='Goodness of fit'!$D$3,B172,0)</f>
        <v>0.16801701359216883</v>
      </c>
      <c r="D172" s="2">
        <f t="shared" si="4"/>
        <v>0.43414409783675123</v>
      </c>
      <c r="E172" s="18" t="str">
        <f>IF('Goodness of fit'!B172&gt;0,('Goodness of fit'!A172-'Goodness of fit'!B172)^2/'Goodness of fit'!B172,"")</f>
        <v/>
      </c>
      <c r="F172" s="2"/>
      <c r="G172" s="2"/>
    </row>
    <row r="173" spans="1:7" x14ac:dyDescent="0.35">
      <c r="A173">
        <f>'Goodness of fit'!D$6/1000+A172</f>
        <v>2.752000000000002</v>
      </c>
      <c r="B173">
        <f t="shared" si="5"/>
        <v>0.16716489254947589</v>
      </c>
      <c r="C173">
        <f>IF(A173&gt;='Goodness of fit'!$D$3,B173,0)</f>
        <v>0.16716489254947589</v>
      </c>
      <c r="D173" s="2">
        <f t="shared" si="4"/>
        <v>0.43146264456579131</v>
      </c>
      <c r="E173" s="18" t="str">
        <f>IF('Goodness of fit'!B173&gt;0,('Goodness of fit'!A173-'Goodness of fit'!B173)^2/'Goodness of fit'!B173,"")</f>
        <v/>
      </c>
      <c r="F173" s="2"/>
      <c r="G173" s="2"/>
    </row>
    <row r="174" spans="1:7" x14ac:dyDescent="0.35">
      <c r="A174">
        <f>'Goodness of fit'!D$6/1000+A173</f>
        <v>2.768000000000002</v>
      </c>
      <c r="B174">
        <f t="shared" si="5"/>
        <v>0.16631428220053954</v>
      </c>
      <c r="C174">
        <f>IF(A174&gt;='Goodness of fit'!$D$3,B174,0)</f>
        <v>0.16631428220053954</v>
      </c>
      <c r="D174" s="2">
        <f t="shared" si="4"/>
        <v>0.42879481321788115</v>
      </c>
      <c r="E174" s="18" t="str">
        <f>IF('Goodness of fit'!B174&gt;0,('Goodness of fit'!A174-'Goodness of fit'!B174)^2/'Goodness of fit'!B174,"")</f>
        <v/>
      </c>
      <c r="F174" s="2"/>
      <c r="G174" s="2"/>
    </row>
    <row r="175" spans="1:7" x14ac:dyDescent="0.35">
      <c r="A175">
        <f>'Goodness of fit'!D$6/1000+A174</f>
        <v>2.784000000000002</v>
      </c>
      <c r="B175">
        <f t="shared" si="5"/>
        <v>0.1654652357752335</v>
      </c>
      <c r="C175">
        <f>IF(A175&gt;='Goodness of fit'!$D$3,B175,0)</f>
        <v>0.1654652357752335</v>
      </c>
      <c r="D175" s="2">
        <f t="shared" si="4"/>
        <v>0.42614057919419968</v>
      </c>
      <c r="E175" s="18" t="str">
        <f>IF('Goodness of fit'!B175&gt;0,('Goodness of fit'!A175-'Goodness of fit'!B175)^2/'Goodness of fit'!B175,"")</f>
        <v/>
      </c>
      <c r="F175" s="2"/>
      <c r="G175" s="2"/>
    </row>
    <row r="176" spans="1:7" x14ac:dyDescent="0.35">
      <c r="A176">
        <f>'Goodness of fit'!D$6/1000+A175</f>
        <v>2.800000000000002</v>
      </c>
      <c r="B176">
        <f t="shared" si="5"/>
        <v>0.16461780510712448</v>
      </c>
      <c r="C176">
        <f>IF(A176&gt;='Goodness of fit'!$D$3,B176,0)</f>
        <v>0.16461780510712448</v>
      </c>
      <c r="D176" s="2">
        <f t="shared" si="4"/>
        <v>0.42349991705545886</v>
      </c>
      <c r="E176" s="18" t="str">
        <f>IF('Goodness of fit'!B176&gt;0,('Goodness of fit'!A176-'Goodness of fit'!B176)^2/'Goodness of fit'!B176,"")</f>
        <v/>
      </c>
      <c r="F176" s="2"/>
      <c r="G176" s="2"/>
    </row>
    <row r="177" spans="1:7" x14ac:dyDescent="0.35">
      <c r="A177">
        <f>'Goodness of fit'!D$6/1000+A176</f>
        <v>2.8160000000000021</v>
      </c>
      <c r="B177">
        <f t="shared" si="5"/>
        <v>0.16377204066283524</v>
      </c>
      <c r="C177">
        <f>IF(A177&gt;='Goodness of fit'!$D$3,B177,0)</f>
        <v>0.16377204066283524</v>
      </c>
      <c r="D177" s="2">
        <f t="shared" si="4"/>
        <v>0.420872800544007</v>
      </c>
      <c r="E177" s="18" t="str">
        <f>IF('Goodness of fit'!B177&gt;0,('Goodness of fit'!A177-'Goodness of fit'!B177)^2/'Goodness of fit'!B177,"")</f>
        <v/>
      </c>
      <c r="F177" s="2"/>
      <c r="G177" s="2"/>
    </row>
    <row r="178" spans="1:7" x14ac:dyDescent="0.35">
      <c r="A178">
        <f>'Goodness of fit'!D$6/1000+A177</f>
        <v>2.8320000000000021</v>
      </c>
      <c r="B178">
        <f t="shared" si="5"/>
        <v>0.16292799157073945</v>
      </c>
      <c r="C178">
        <f>IF(A178&gt;='Goodness of fit'!$D$3,B178,0)</f>
        <v>0.16292799157073945</v>
      </c>
      <c r="D178" s="2">
        <f t="shared" si="4"/>
        <v>0.41825920260547012</v>
      </c>
      <c r="E178" s="18" t="str">
        <f>IF('Goodness of fit'!B178&gt;0,('Goodness of fit'!A178-'Goodness of fit'!B178)^2/'Goodness of fit'!B178,"")</f>
        <v/>
      </c>
      <c r="F178" s="2"/>
      <c r="G178" s="2"/>
    </row>
    <row r="179" spans="1:7" x14ac:dyDescent="0.35">
      <c r="A179">
        <f>'Goodness of fit'!D$6/1000+A178</f>
        <v>2.8480000000000021</v>
      </c>
      <c r="B179">
        <f t="shared" si="5"/>
        <v>0.1620857056490056</v>
      </c>
      <c r="C179">
        <f>IF(A179&gt;='Goodness of fit'!$D$3,B179,0)</f>
        <v>0.1620857056490056</v>
      </c>
      <c r="D179" s="2">
        <f t="shared" si="4"/>
        <v>0.41565909540994006</v>
      </c>
      <c r="E179" s="18" t="str">
        <f>IF('Goodness of fit'!B179&gt;0,('Goodness of fit'!A179-'Goodness of fit'!B179)^2/'Goodness of fit'!B179,"")</f>
        <v/>
      </c>
      <c r="F179" s="2"/>
      <c r="G179" s="2"/>
    </row>
    <row r="180" spans="1:7" x14ac:dyDescent="0.35">
      <c r="A180">
        <f>'Goodness of fit'!D$6/1000+A179</f>
        <v>2.8640000000000021</v>
      </c>
      <c r="B180">
        <f t="shared" si="5"/>
        <v>0.16124522943300837</v>
      </c>
      <c r="C180">
        <f>IF(A180&gt;='Goodness of fit'!$D$3,B180,0)</f>
        <v>0.16124522943300837</v>
      </c>
      <c r="D180" s="2">
        <f t="shared" si="4"/>
        <v>0.41307245037271478</v>
      </c>
      <c r="E180" s="18" t="str">
        <f>IF('Goodness of fit'!B180&gt;0,('Goodness of fit'!A180-'Goodness of fit'!B180)^2/'Goodness of fit'!B180,"")</f>
        <v/>
      </c>
      <c r="F180" s="2"/>
      <c r="G180" s="2"/>
    </row>
    <row r="181" spans="1:7" x14ac:dyDescent="0.35">
      <c r="A181">
        <f>'Goodness of fit'!D$6/1000+A180</f>
        <v>2.8800000000000021</v>
      </c>
      <c r="B181">
        <f t="shared" si="5"/>
        <v>0.16040660820212341</v>
      </c>
      <c r="C181">
        <f>IF(A181&gt;='Goodness of fit'!$D$3,B181,0)</f>
        <v>0.16040660820212341</v>
      </c>
      <c r="D181" s="2">
        <f t="shared" si="4"/>
        <v>0.41049923817461109</v>
      </c>
      <c r="E181" s="18" t="str">
        <f>IF('Goodness of fit'!B181&gt;0,('Goodness of fit'!A181-'Goodness of fit'!B181)^2/'Goodness of fit'!B181,"")</f>
        <v/>
      </c>
      <c r="F181" s="2"/>
      <c r="G181" s="2"/>
    </row>
    <row r="182" spans="1:7" x14ac:dyDescent="0.35">
      <c r="A182">
        <f>'Goodness of fit'!D$6/1000+A181</f>
        <v>2.8960000000000021</v>
      </c>
      <c r="B182">
        <f t="shared" si="5"/>
        <v>0.15956988600592353</v>
      </c>
      <c r="C182">
        <f>IF(A182&gt;='Goodness of fit'!$D$3,B182,0)</f>
        <v>0.15956988600592353</v>
      </c>
      <c r="D182" s="2">
        <f t="shared" si="4"/>
        <v>0.40793942878184775</v>
      </c>
      <c r="E182" s="18" t="str">
        <f>IF('Goodness of fit'!B182&gt;0,('Goodness of fit'!A182-'Goodness of fit'!B182)^2/'Goodness of fit'!B182,"")</f>
        <v/>
      </c>
      <c r="F182" s="2"/>
      <c r="G182" s="2"/>
    </row>
    <row r="183" spans="1:7" x14ac:dyDescent="0.35">
      <c r="A183">
        <f>'Goodness of fit'!D$6/1000+A182</f>
        <v>2.9120000000000021</v>
      </c>
      <c r="B183">
        <f t="shared" si="5"/>
        <v>0.15873510568979024</v>
      </c>
      <c r="C183">
        <f>IF(A183&gt;='Goodness of fit'!$D$3,B183,0)</f>
        <v>0.15873510568979024</v>
      </c>
      <c r="D183" s="2">
        <f t="shared" si="4"/>
        <v>0.40539299146551799</v>
      </c>
      <c r="E183" s="18" t="str">
        <f>IF('Goodness of fit'!B183&gt;0,('Goodness of fit'!A183-'Goodness of fit'!B183)^2/'Goodness of fit'!B183,"")</f>
        <v/>
      </c>
      <c r="F183" s="2"/>
      <c r="G183" s="2"/>
    </row>
    <row r="184" spans="1:7" x14ac:dyDescent="0.35">
      <c r="A184">
        <f>'Goodness of fit'!D$6/1000+A183</f>
        <v>2.9280000000000022</v>
      </c>
      <c r="B184">
        <f t="shared" si="5"/>
        <v>0.15790230891995782</v>
      </c>
      <c r="C184">
        <f>IF(A184&gt;='Goodness of fit'!$D$3,B184,0)</f>
        <v>0.15790230891995782</v>
      </c>
      <c r="D184" s="2">
        <f t="shared" si="4"/>
        <v>0.40285989482065554</v>
      </c>
      <c r="E184" s="18" t="str">
        <f>IF('Goodness of fit'!B184&gt;0,('Goodness of fit'!A184-'Goodness of fit'!B184)^2/'Goodness of fit'!B184,"")</f>
        <v/>
      </c>
      <c r="F184" s="2"/>
      <c r="G184" s="2"/>
    </row>
    <row r="185" spans="1:7" x14ac:dyDescent="0.35">
      <c r="A185">
        <f>'Goodness of fit'!D$6/1000+A184</f>
        <v>2.9440000000000022</v>
      </c>
      <c r="B185">
        <f t="shared" si="5"/>
        <v>0.15707153620800376</v>
      </c>
      <c r="C185">
        <f>IF(A185&gt;='Goodness of fit'!$D$3,B185,0)</f>
        <v>0.15707153620800376</v>
      </c>
      <c r="D185" s="2">
        <f t="shared" si="4"/>
        <v>0.40034010678490317</v>
      </c>
      <c r="E185" s="18" t="str">
        <f>IF('Goodness of fit'!B185&gt;0,('Goodness of fit'!A185-'Goodness of fit'!B185)^2/'Goodness of fit'!B185,"")</f>
        <v/>
      </c>
      <c r="F185" s="2"/>
      <c r="G185" s="2"/>
    </row>
    <row r="186" spans="1:7" x14ac:dyDescent="0.35">
      <c r="A186">
        <f>'Goodness of fit'!D$6/1000+A185</f>
        <v>2.9600000000000022</v>
      </c>
      <c r="B186">
        <f t="shared" si="5"/>
        <v>0.15624282693480068</v>
      </c>
      <c r="C186">
        <f>IF(A186&gt;='Goodness of fit'!$D$3,B186,0)</f>
        <v>0.15624282693480068</v>
      </c>
      <c r="D186" s="2">
        <f t="shared" si="4"/>
        <v>0.39783359465679591</v>
      </c>
      <c r="E186" s="18" t="str">
        <f>IF('Goodness of fit'!B186&gt;0,('Goodness of fit'!A186-'Goodness of fit'!B186)^2/'Goodness of fit'!B186,"")</f>
        <v/>
      </c>
      <c r="F186" s="2"/>
      <c r="G186" s="2"/>
    </row>
    <row r="187" spans="1:7" x14ac:dyDescent="0.35">
      <c r="A187">
        <f>'Goodness of fit'!D$6/1000+A186</f>
        <v>2.9760000000000022</v>
      </c>
      <c r="B187">
        <f t="shared" si="5"/>
        <v>0.15541621937394293</v>
      </c>
      <c r="C187">
        <f>IF(A187&gt;='Goodness of fit'!$D$3,B187,0)</f>
        <v>0.15541621937394293</v>
      </c>
      <c r="D187" s="2">
        <f t="shared" si="4"/>
        <v>0.39534032511366424</v>
      </c>
      <c r="E187" s="18" t="str">
        <f>IF('Goodness of fit'!B187&gt;0,('Goodness of fit'!A187-'Goodness of fit'!B187)^2/'Goodness of fit'!B187,"")</f>
        <v/>
      </c>
      <c r="F187" s="2"/>
      <c r="G187" s="2"/>
    </row>
    <row r="188" spans="1:7" x14ac:dyDescent="0.35">
      <c r="A188">
        <f>'Goodness of fit'!D$6/1000+A187</f>
        <v>2.9920000000000022</v>
      </c>
      <c r="B188">
        <f t="shared" si="5"/>
        <v>0.15459175071466208</v>
      </c>
      <c r="C188">
        <f>IF(A188&gt;='Goodness of fit'!$D$3,B188,0)</f>
        <v>0.15459175071466208</v>
      </c>
      <c r="D188" s="2">
        <f t="shared" si="4"/>
        <v>0.39286026422916587</v>
      </c>
      <c r="E188" s="18" t="str">
        <f>IF('Goodness of fit'!B188&gt;0,('Goodness of fit'!A188-'Goodness of fit'!B188)^2/'Goodness of fit'!B188,"")</f>
        <v/>
      </c>
      <c r="F188" s="2"/>
      <c r="G188" s="2"/>
    </row>
    <row r="189" spans="1:7" x14ac:dyDescent="0.35">
      <c r="A189">
        <f>'Goodness of fit'!D$6/1000+A188</f>
        <v>3.0080000000000022</v>
      </c>
      <c r="B189">
        <f t="shared" si="5"/>
        <v>0.15376945708424442</v>
      </c>
      <c r="C189">
        <f>IF(A189&gt;='Goodness of fit'!$D$3,B189,0)</f>
        <v>0.15376945708424442</v>
      </c>
      <c r="D189" s="2">
        <f t="shared" si="4"/>
        <v>0.39039337749045649</v>
      </c>
      <c r="E189" s="18" t="str">
        <f>IF('Goodness of fit'!B189&gt;0,('Goodness of fit'!A189-'Goodness of fit'!B189)^2/'Goodness of fit'!B189,"")</f>
        <v/>
      </c>
      <c r="F189" s="2"/>
      <c r="G189" s="2"/>
    </row>
    <row r="190" spans="1:7" x14ac:dyDescent="0.35">
      <c r="A190">
        <f>'Goodness of fit'!D$6/1000+A189</f>
        <v>3.0240000000000022</v>
      </c>
      <c r="B190">
        <f t="shared" si="5"/>
        <v>0.15294937356996266</v>
      </c>
      <c r="C190">
        <f>IF(A190&gt;='Goodness of fit'!$D$3,B190,0)</f>
        <v>0.15294937356996266</v>
      </c>
      <c r="D190" s="2">
        <f t="shared" si="4"/>
        <v>0.38793962981500318</v>
      </c>
      <c r="E190" s="18" t="str">
        <f>IF('Goodness of fit'!B190&gt;0,('Goodness of fit'!A190-'Goodness of fit'!B190)^2/'Goodness of fit'!B190,"")</f>
        <v/>
      </c>
      <c r="F190" s="2"/>
      <c r="G190" s="2"/>
    </row>
    <row r="191" spans="1:7" x14ac:dyDescent="0.35">
      <c r="A191">
        <f>'Goodness of fit'!D$6/1000+A190</f>
        <v>3.0400000000000023</v>
      </c>
      <c r="B191">
        <f t="shared" si="5"/>
        <v>0.15213153424053463</v>
      </c>
      <c r="C191">
        <f>IF(A191&gt;='Goodness of fit'!$D$3,B191,0)</f>
        <v>0.15213153424053463</v>
      </c>
      <c r="D191" s="2">
        <f t="shared" si="4"/>
        <v>0.38549898556705442</v>
      </c>
      <c r="E191" s="18" t="str">
        <f>IF('Goodness of fit'!B191&gt;0,('Goodness of fit'!A191-'Goodness of fit'!B191)^2/'Goodness of fit'!B191,"")</f>
        <v/>
      </c>
      <c r="F191" s="2"/>
      <c r="G191" s="2"/>
    </row>
    <row r="192" spans="1:7" x14ac:dyDescent="0.35">
      <c r="A192">
        <f>'Goodness of fit'!D$6/1000+A191</f>
        <v>3.0560000000000023</v>
      </c>
      <c r="B192">
        <f t="shared" si="5"/>
        <v>0.1513159721671207</v>
      </c>
      <c r="C192">
        <f>IF(A192&gt;='Goodness of fit'!$D$3,B192,0)</f>
        <v>0.1513159721671207</v>
      </c>
      <c r="D192" s="2">
        <f t="shared" si="4"/>
        <v>0.38307140857376704</v>
      </c>
      <c r="E192" s="18" t="str">
        <f>IF('Goodness of fit'!B192&gt;0,('Goodness of fit'!A192-'Goodness of fit'!B192)^2/'Goodness of fit'!B192,"")</f>
        <v/>
      </c>
      <c r="F192" s="2"/>
      <c r="G192" s="2"/>
    </row>
    <row r="193" spans="1:7" x14ac:dyDescent="0.35">
      <c r="A193">
        <f>'Goodness of fit'!D$6/1000+A192</f>
        <v>3.0720000000000023</v>
      </c>
      <c r="B193">
        <f t="shared" si="5"/>
        <v>0.15050271944387164</v>
      </c>
      <c r="C193">
        <f>IF(A193&gt;='Goodness of fit'!$D$3,B193,0)</f>
        <v>0.15050271944387164</v>
      </c>
      <c r="D193" s="2">
        <f t="shared" si="4"/>
        <v>0.38065686214100225</v>
      </c>
      <c r="E193" s="18" t="str">
        <f>IF('Goodness of fit'!B193&gt;0,('Goodness of fit'!A193-'Goodness of fit'!B193)^2/'Goodness of fit'!B193,"")</f>
        <v/>
      </c>
      <c r="F193" s="2"/>
      <c r="G193" s="2"/>
    </row>
    <row r="194" spans="1:7" x14ac:dyDescent="0.35">
      <c r="A194">
        <f>'Goodness of fit'!D$6/1000+A193</f>
        <v>3.0880000000000023</v>
      </c>
      <c r="B194">
        <f t="shared" si="5"/>
        <v>0.14969180720803799</v>
      </c>
      <c r="C194">
        <f>IF(A194&gt;='Goodness of fit'!$D$3,B194,0)</f>
        <v>0.14969180720803799</v>
      </c>
      <c r="D194" s="2">
        <f t="shared" ref="D194:D257" si="6">CHIDIST(A194,F$1)</f>
        <v>0.37825530906879701</v>
      </c>
      <c r="E194" s="18" t="str">
        <f>IF('Goodness of fit'!B194&gt;0,('Goodness of fit'!A194-'Goodness of fit'!B194)^2/'Goodness of fit'!B194,"")</f>
        <v/>
      </c>
      <c r="F194" s="2"/>
      <c r="G194" s="2"/>
    </row>
    <row r="195" spans="1:7" x14ac:dyDescent="0.35">
      <c r="A195">
        <f>'Goodness of fit'!D$6/1000+A194</f>
        <v>3.1040000000000023</v>
      </c>
      <c r="B195">
        <f t="shared" ref="B195:B258" si="7">_xlfn.CHISQ.DIST(A195,F$1,FALSE)</f>
        <v>0.14888326565965213</v>
      </c>
      <c r="C195">
        <f>IF(A195&gt;='Goodness of fit'!$D$3,B195,0)</f>
        <v>0.14888326565965213</v>
      </c>
      <c r="D195" s="2">
        <f t="shared" si="6"/>
        <v>0.37586671166651547</v>
      </c>
      <c r="E195" s="18" t="str">
        <f>IF('Goodness of fit'!B195&gt;0,('Goodness of fit'!A195-'Goodness of fit'!B195)^2/'Goodness of fit'!B195,"")</f>
        <v/>
      </c>
      <c r="F195" s="2"/>
      <c r="G195" s="2"/>
    </row>
    <row r="196" spans="1:7" x14ac:dyDescent="0.35">
      <c r="A196">
        <f>'Goodness of fit'!D$6/1000+A195</f>
        <v>3.1200000000000023</v>
      </c>
      <c r="B196">
        <f t="shared" si="7"/>
        <v>0.1480771240807931</v>
      </c>
      <c r="C196">
        <f>IF(A196&gt;='Goodness of fit'!$D$3,B196,0)</f>
        <v>0.1480771240807931</v>
      </c>
      <c r="D196" s="2">
        <f t="shared" si="6"/>
        <v>0.37349103176769077</v>
      </c>
      <c r="E196" s="18" t="str">
        <f>IF('Goodness of fit'!B196&gt;0,('Goodness of fit'!A196-'Goodness of fit'!B196)^2/'Goodness of fit'!B196,"")</f>
        <v/>
      </c>
      <c r="F196" s="2"/>
      <c r="G196" s="2"/>
    </row>
    <row r="197" spans="1:7" x14ac:dyDescent="0.35">
      <c r="A197">
        <f>'Goodness of fit'!D$6/1000+A196</f>
        <v>3.1360000000000023</v>
      </c>
      <c r="B197">
        <f t="shared" si="7"/>
        <v>0.14727341085444523</v>
      </c>
      <c r="C197">
        <f>IF(A197&gt;='Goodness of fit'!$D$3,B197,0)</f>
        <v>0.14727341085444523</v>
      </c>
      <c r="D197" s="2">
        <f t="shared" si="6"/>
        <v>0.37112823074456019</v>
      </c>
      <c r="E197" s="18" t="str">
        <f>IF('Goodness of fit'!B197&gt;0,('Goodness of fit'!A197-'Goodness of fit'!B197)^2/'Goodness of fit'!B197,"")</f>
        <v/>
      </c>
      <c r="F197" s="2"/>
      <c r="G197" s="2"/>
    </row>
    <row r="198" spans="1:7" x14ac:dyDescent="0.35">
      <c r="A198">
        <f>'Goodness of fit'!D$6/1000+A197</f>
        <v>3.1520000000000024</v>
      </c>
      <c r="B198">
        <f t="shared" si="7"/>
        <v>0.14647215348295928</v>
      </c>
      <c r="C198">
        <f>IF(A198&gt;='Goodness of fit'!$D$3,B198,0)</f>
        <v>0.14647215348295928</v>
      </c>
      <c r="D198" s="2">
        <f t="shared" si="6"/>
        <v>0.36877826952230258</v>
      </c>
      <c r="E198" s="18" t="str">
        <f>IF('Goodness of fit'!B198&gt;0,('Goodness of fit'!A198-'Goodness of fit'!B198)^2/'Goodness of fit'!B198,"")</f>
        <v/>
      </c>
      <c r="F198" s="2"/>
      <c r="G198" s="2"/>
    </row>
    <row r="199" spans="1:7" x14ac:dyDescent="0.35">
      <c r="A199">
        <f>'Goodness of fit'!D$6/1000+A198</f>
        <v>3.1680000000000024</v>
      </c>
      <c r="B199">
        <f t="shared" si="7"/>
        <v>0.14567337860612756</v>
      </c>
      <c r="C199">
        <f>IF(A199&gt;='Goodness of fit'!$D$3,B199,0)</f>
        <v>0.14567337860612756</v>
      </c>
      <c r="D199" s="2">
        <f t="shared" si="6"/>
        <v>0.36644110859298373</v>
      </c>
      <c r="E199" s="18" t="str">
        <f>IF('Goodness of fit'!B199&gt;0,('Goodness of fit'!A199-'Goodness of fit'!B199)^2/'Goodness of fit'!B199,"")</f>
        <v/>
      </c>
      <c r="F199" s="2"/>
      <c r="G199" s="2"/>
    </row>
    <row r="200" spans="1:7" x14ac:dyDescent="0.35">
      <c r="A200">
        <f>'Goodness of fit'!D$6/1000+A199</f>
        <v>3.1840000000000024</v>
      </c>
      <c r="B200">
        <f t="shared" si="7"/>
        <v>0.14487711201888037</v>
      </c>
      <c r="C200">
        <f>IF(A200&gt;='Goodness of fit'!$D$3,B200,0)</f>
        <v>0.14487711201888037</v>
      </c>
      <c r="D200" s="2">
        <f t="shared" si="6"/>
        <v>0.36411670802921492</v>
      </c>
      <c r="E200" s="18" t="str">
        <f>IF('Goodness of fit'!B200&gt;0,('Goodness of fit'!A200-'Goodness of fit'!B200)^2/'Goodness of fit'!B200,"")</f>
        <v/>
      </c>
      <c r="F200" s="2"/>
      <c r="G200" s="2"/>
    </row>
    <row r="201" spans="1:7" x14ac:dyDescent="0.35">
      <c r="A201">
        <f>'Goodness of fit'!D$6/1000+A200</f>
        <v>3.2000000000000024</v>
      </c>
      <c r="B201">
        <f t="shared" si="7"/>
        <v>0.14408337868861459</v>
      </c>
      <c r="C201">
        <f>IF(A201&gt;='Goodness of fit'!$D$3,B201,0)</f>
        <v>0.14408337868861459</v>
      </c>
      <c r="D201" s="2">
        <f t="shared" si="6"/>
        <v>0.36180502749753163</v>
      </c>
      <c r="E201" s="18" t="str">
        <f>IF('Goodness of fit'!B201&gt;0,('Goodness of fit'!A201-'Goodness of fit'!B201)^2/'Goodness of fit'!B201,"")</f>
        <v/>
      </c>
      <c r="F201" s="2"/>
      <c r="G201" s="2"/>
    </row>
    <row r="202" spans="1:7" x14ac:dyDescent="0.35">
      <c r="A202">
        <f>'Goodness of fit'!D$6/1000+A201</f>
        <v>3.2160000000000024</v>
      </c>
      <c r="B202">
        <f t="shared" si="7"/>
        <v>0.14329220277216204</v>
      </c>
      <c r="C202">
        <f>IF(A202&gt;='Goodness of fit'!$D$3,B202,0)</f>
        <v>0.14329220277216204</v>
      </c>
      <c r="D202" s="2">
        <f t="shared" si="6"/>
        <v>0.3595060262714978</v>
      </c>
      <c r="E202" s="18" t="str">
        <f>IF('Goodness of fit'!B202&gt;0,('Goodness of fit'!A202-'Goodness of fit'!B202)^2/'Goodness of fit'!B202,"")</f>
        <v/>
      </c>
      <c r="F202" s="2"/>
      <c r="G202" s="2"/>
    </row>
    <row r="203" spans="1:7" x14ac:dyDescent="0.35">
      <c r="A203">
        <f>'Goodness of fit'!D$6/1000+A202</f>
        <v>3.2320000000000024</v>
      </c>
      <c r="B203">
        <f t="shared" si="7"/>
        <v>0.14250360763240702</v>
      </c>
      <c r="C203">
        <f>IF(A203&gt;='Goodness of fit'!$D$3,B203,0)</f>
        <v>0.14250360763240702</v>
      </c>
      <c r="D203" s="2">
        <f t="shared" si="6"/>
        <v>0.35721966324454174</v>
      </c>
      <c r="E203" s="18" t="str">
        <f>IF('Goodness of fit'!B203&gt;0,('Goodness of fit'!A203-'Goodness of fit'!B203)^2/'Goodness of fit'!B203,"")</f>
        <v/>
      </c>
      <c r="F203" s="2"/>
      <c r="G203" s="2"/>
    </row>
    <row r="204" spans="1:7" x14ac:dyDescent="0.35">
      <c r="A204">
        <f>'Goodness of fit'!D$6/1000+A203</f>
        <v>3.2480000000000024</v>
      </c>
      <c r="B204">
        <f t="shared" si="7"/>
        <v>0.14171761585456097</v>
      </c>
      <c r="C204">
        <f>IF(A204&gt;='Goodness of fit'!$D$3,B204,0)</f>
        <v>0.14171761585456097</v>
      </c>
      <c r="D204" s="2">
        <f t="shared" si="6"/>
        <v>0.35494589694252854</v>
      </c>
      <c r="E204" s="18" t="str">
        <f>IF('Goodness of fit'!B204&gt;0,('Goodness of fit'!A204-'Goodness of fit'!B204)^2/'Goodness of fit'!B204,"")</f>
        <v/>
      </c>
      <c r="F204" s="2"/>
      <c r="G204" s="2"/>
    </row>
    <row r="205" spans="1:7" x14ac:dyDescent="0.35">
      <c r="A205">
        <f>'Goodness of fit'!D$6/1000+A204</f>
        <v>3.2640000000000025</v>
      </c>
      <c r="B205">
        <f t="shared" si="7"/>
        <v>0.14093424926210232</v>
      </c>
      <c r="C205">
        <f>IF(A205&gt;='Goodness of fit'!$D$3,B205,0)</f>
        <v>0.14093424926210232</v>
      </c>
      <c r="D205" s="2">
        <f t="shared" si="6"/>
        <v>0.35268468553607452</v>
      </c>
      <c r="E205" s="18" t="str">
        <f>IF('Goodness of fit'!B205&gt;0,('Goodness of fit'!A205-'Goodness of fit'!B205)^2/'Goodness of fit'!B205,"")</f>
        <v/>
      </c>
      <c r="F205" s="2"/>
      <c r="G205" s="2"/>
    </row>
    <row r="206" spans="1:7" x14ac:dyDescent="0.35">
      <c r="A206">
        <f>'Goodness of fit'!D$6/1000+A205</f>
        <v>3.2800000000000025</v>
      </c>
      <c r="B206">
        <f t="shared" si="7"/>
        <v>0.14015352893238964</v>
      </c>
      <c r="C206">
        <f>IF(A206&gt;='Goodness of fit'!$D$3,B206,0)</f>
        <v>0.14015352893238964</v>
      </c>
      <c r="D206" s="2">
        <f t="shared" si="6"/>
        <v>0.35043598685261002</v>
      </c>
      <c r="E206" s="18" t="str">
        <f>IF('Goodness of fit'!B206&gt;0,('Goodness of fit'!A206-'Goodness of fit'!B206)^2/'Goodness of fit'!B206,"")</f>
        <v/>
      </c>
      <c r="F206" s="2"/>
      <c r="G206" s="2"/>
    </row>
    <row r="207" spans="1:7" x14ac:dyDescent="0.35">
      <c r="A207">
        <f>'Goodness of fit'!D$6/1000+A206</f>
        <v>3.2960000000000025</v>
      </c>
      <c r="B207">
        <f t="shared" si="7"/>
        <v>0.13937547521195551</v>
      </c>
      <c r="C207">
        <f>IF(A207&gt;='Goodness of fit'!$D$3,B207,0)</f>
        <v>0.13937547521195551</v>
      </c>
      <c r="D207" s="2">
        <f t="shared" si="6"/>
        <v>0.34819975838819456</v>
      </c>
      <c r="E207" s="18" t="str">
        <f>IF('Goodness of fit'!B207&gt;0,('Goodness of fit'!A207-'Goodness of fit'!B207)^2/'Goodness of fit'!B207,"")</f>
        <v/>
      </c>
      <c r="F207" s="2"/>
      <c r="G207" s="2"/>
    </row>
    <row r="208" spans="1:7" x14ac:dyDescent="0.35">
      <c r="A208">
        <f>'Goodness of fit'!D$6/1000+A207</f>
        <v>3.3120000000000025</v>
      </c>
      <c r="B208">
        <f t="shared" si="7"/>
        <v>0.1386001077314889</v>
      </c>
      <c r="C208">
        <f>IF(A208&gt;='Goodness of fit'!$D$3,B208,0)</f>
        <v>0.1386001077314889</v>
      </c>
      <c r="D208" s="2">
        <f t="shared" si="6"/>
        <v>0.34597595731908964</v>
      </c>
      <c r="E208" s="18" t="str">
        <f>IF('Goodness of fit'!B208&gt;0,('Goodness of fit'!A208-'Goodness of fit'!B208)^2/'Goodness of fit'!B208,"")</f>
        <v/>
      </c>
      <c r="F208" s="2"/>
      <c r="G208" s="2"/>
    </row>
    <row r="209" spans="1:7" x14ac:dyDescent="0.35">
      <c r="A209">
        <f>'Goodness of fit'!D$6/1000+A208</f>
        <v>3.3280000000000025</v>
      </c>
      <c r="B209">
        <f t="shared" si="7"/>
        <v>0.13782744542051278</v>
      </c>
      <c r="C209">
        <f>IF(A209&gt;='Goodness of fit'!$D$3,B209,0)</f>
        <v>0.13782744542051278</v>
      </c>
      <c r="D209" s="2">
        <f t="shared" si="6"/>
        <v>0.34376454051309424</v>
      </c>
      <c r="E209" s="18" t="str">
        <f>IF('Goodness of fit'!B209&gt;0,('Goodness of fit'!A209-'Goodness of fit'!B209)^2/'Goodness of fit'!B209,"")</f>
        <v/>
      </c>
      <c r="F209" s="2"/>
      <c r="G209" s="2"/>
    </row>
    <row r="210" spans="1:7" x14ac:dyDescent="0.35">
      <c r="A210">
        <f>'Goodness of fit'!D$6/1000+A209</f>
        <v>3.3440000000000025</v>
      </c>
      <c r="B210">
        <f t="shared" si="7"/>
        <v>0.13705750652176443</v>
      </c>
      <c r="C210">
        <f>IF(A210&gt;='Goodness of fit'!$D$3,B210,0)</f>
        <v>0.13705750652176443</v>
      </c>
      <c r="D210" s="2">
        <f t="shared" si="6"/>
        <v>0.3415654645406484</v>
      </c>
      <c r="E210" s="18" t="str">
        <f>IF('Goodness of fit'!B210&gt;0,('Goodness of fit'!A210-'Goodness of fit'!B210)^2/'Goodness of fit'!B210,"")</f>
        <v/>
      </c>
      <c r="F210" s="2"/>
      <c r="G210" s="2"/>
    </row>
    <row r="211" spans="1:7" x14ac:dyDescent="0.35">
      <c r="A211">
        <f>'Goodness of fit'!D$6/1000+A210</f>
        <v>3.3600000000000025</v>
      </c>
      <c r="B211">
        <f t="shared" si="7"/>
        <v>0.13629030860528521</v>
      </c>
      <c r="C211">
        <f>IF(A211&gt;='Goodness of fit'!$D$3,B211,0)</f>
        <v>0.13629030860528521</v>
      </c>
      <c r="D211" s="2">
        <f t="shared" si="6"/>
        <v>0.3393786856857085</v>
      </c>
      <c r="E211" s="18" t="str">
        <f>IF('Goodness of fit'!B211&gt;0,('Goodness of fit'!A211-'Goodness of fit'!B211)^2/'Goodness of fit'!B211,"")</f>
        <v/>
      </c>
      <c r="F211" s="2"/>
      <c r="G211" s="2"/>
    </row>
    <row r="212" spans="1:7" x14ac:dyDescent="0.35">
      <c r="A212">
        <f>'Goodness of fit'!D$6/1000+A211</f>
        <v>3.3760000000000026</v>
      </c>
      <c r="B212">
        <f t="shared" si="7"/>
        <v>0.13552586858222612</v>
      </c>
      <c r="C212">
        <f>IF(A212&gt;='Goodness of fit'!$D$3,B212,0)</f>
        <v>0.13552586858222612</v>
      </c>
      <c r="D212" s="2">
        <f t="shared" si="6"/>
        <v>0.33720415995639968</v>
      </c>
      <c r="E212" s="18" t="str">
        <f>IF('Goodness of fit'!B212&gt;0,('Goodness of fit'!A212-'Goodness of fit'!B212)^2/'Goodness of fit'!B212,"")</f>
        <v/>
      </c>
      <c r="F212" s="2"/>
      <c r="G212" s="2"/>
    </row>
    <row r="213" spans="1:7" x14ac:dyDescent="0.35">
      <c r="A213">
        <f>'Goodness of fit'!D$6/1000+A212</f>
        <v>3.3920000000000026</v>
      </c>
      <c r="B213">
        <f t="shared" si="7"/>
        <v>0.13476420271837602</v>
      </c>
      <c r="C213">
        <f>IF(A213&gt;='Goodness of fit'!$D$3,B213,0)</f>
        <v>0.13476420271837602</v>
      </c>
      <c r="D213" s="2">
        <f t="shared" si="6"/>
        <v>0.33504184309544915</v>
      </c>
      <c r="E213" s="18" t="str">
        <f>IF('Goodness of fit'!B213&gt;0,('Goodness of fit'!A213-'Goodness of fit'!B213)^2/'Goodness of fit'!B213,"")</f>
        <v/>
      </c>
      <c r="F213" s="2"/>
      <c r="G213" s="2"/>
    </row>
    <row r="214" spans="1:7" x14ac:dyDescent="0.35">
      <c r="A214">
        <f>'Goodness of fit'!D$6/1000+A213</f>
        <v>3.4080000000000026</v>
      </c>
      <c r="B214">
        <f t="shared" si="7"/>
        <v>0.13400532664741893</v>
      </c>
      <c r="C214">
        <f>IF(A214&gt;='Goodness of fit'!$D$3,B214,0)</f>
        <v>0.13400532664741893</v>
      </c>
      <c r="D214" s="2">
        <f t="shared" si="6"/>
        <v>0.33289169059040613</v>
      </c>
      <c r="E214" s="18" t="str">
        <f>IF('Goodness of fit'!B214&gt;0,('Goodness of fit'!A214-'Goodness of fit'!B214)^2/'Goodness of fit'!B214,"")</f>
        <v/>
      </c>
      <c r="F214" s="2"/>
      <c r="G214" s="2"/>
    </row>
    <row r="215" spans="1:7" x14ac:dyDescent="0.35">
      <c r="A215">
        <f>'Goodness of fit'!D$6/1000+A214</f>
        <v>3.4240000000000026</v>
      </c>
      <c r="B215">
        <f t="shared" si="7"/>
        <v>0.1332492553839256</v>
      </c>
      <c r="C215">
        <f>IF(A215&gt;='Goodness of fit'!$D$3,B215,0)</f>
        <v>0.1332492553839256</v>
      </c>
      <c r="D215" s="2">
        <f t="shared" si="6"/>
        <v>0.33075365768365084</v>
      </c>
      <c r="E215" s="18" t="str">
        <f>IF('Goodness of fit'!B215&gt;0,('Goodness of fit'!A215-'Goodness of fit'!B215)^2/'Goodness of fit'!B215,"")</f>
        <v/>
      </c>
      <c r="F215" s="2"/>
      <c r="G215" s="2"/>
    </row>
    <row r="216" spans="1:7" x14ac:dyDescent="0.35">
      <c r="A216">
        <f>'Goodness of fit'!D$6/1000+A215</f>
        <v>3.4400000000000026</v>
      </c>
      <c r="B216">
        <f t="shared" si="7"/>
        <v>0.13249600333608674</v>
      </c>
      <c r="C216">
        <f>IF(A216&gt;='Goodness of fit'!$D$3,B216,0)</f>
        <v>0.13249600333608674</v>
      </c>
      <c r="D216" s="2">
        <f t="shared" si="6"/>
        <v>0.3286276993821981</v>
      </c>
      <c r="E216" s="18" t="str">
        <f>IF('Goodness of fit'!B216&gt;0,('Goodness of fit'!A216-'Goodness of fit'!B216)^2/'Goodness of fit'!B216,"")</f>
        <v/>
      </c>
      <c r="F216" s="2"/>
      <c r="G216" s="2"/>
    </row>
    <row r="217" spans="1:7" x14ac:dyDescent="0.35">
      <c r="A217">
        <f>'Goodness of fit'!D$6/1000+A216</f>
        <v>3.4560000000000026</v>
      </c>
      <c r="B217">
        <f t="shared" si="7"/>
        <v>0.13174558431819242</v>
      </c>
      <c r="C217">
        <f>IF(A217&gt;='Goodness of fit'!$D$3,B217,0)</f>
        <v>0.13174558431819242</v>
      </c>
      <c r="D217" s="2">
        <f t="shared" si="6"/>
        <v>0.32651377046729951</v>
      </c>
      <c r="E217" s="18" t="str">
        <f>IF('Goodness of fit'!B217&gt;0,('Goodness of fit'!A217-'Goodness of fit'!B217)^2/'Goodness of fit'!B217,"")</f>
        <v/>
      </c>
      <c r="F217" s="2"/>
      <c r="G217" s="2"/>
    </row>
    <row r="218" spans="1:7" x14ac:dyDescent="0.35">
      <c r="A218">
        <f>'Goodness of fit'!D$6/1000+A217</f>
        <v>3.4720000000000026</v>
      </c>
      <c r="B218">
        <f t="shared" si="7"/>
        <v>0.130998011562864</v>
      </c>
      <c r="C218">
        <f>IF(A218&gt;='Goodness of fit'!$D$3,B218,0)</f>
        <v>0.130998011562864</v>
      </c>
      <c r="D218" s="2">
        <f t="shared" si="6"/>
        <v>0.32441182550384767</v>
      </c>
      <c r="E218" s="18" t="str">
        <f>IF('Goodness of fit'!B218&gt;0,('Goodness of fit'!A218-'Goodness of fit'!B218)^2/'Goodness of fit'!B218,"")</f>
        <v/>
      </c>
      <c r="F218" s="2"/>
      <c r="G218" s="2"/>
    </row>
    <row r="219" spans="1:7" x14ac:dyDescent="0.35">
      <c r="A219">
        <f>'Goodness of fit'!D$6/1000+A218</f>
        <v>3.4880000000000027</v>
      </c>
      <c r="B219">
        <f t="shared" si="7"/>
        <v>0.13025329773304398</v>
      </c>
      <c r="C219">
        <f>IF(A219&gt;='Goodness of fit'!$D$3,B219,0)</f>
        <v>0.13025329773304398</v>
      </c>
      <c r="D219" s="2">
        <f t="shared" si="6"/>
        <v>0.32232181884958599</v>
      </c>
      <c r="E219" s="18" t="str">
        <f>IF('Goodness of fit'!B219&gt;0,('Goodness of fit'!A219-'Goodness of fit'!B219)^2/'Goodness of fit'!B219,"")</f>
        <v/>
      </c>
      <c r="F219" s="2"/>
      <c r="G219" s="2"/>
    </row>
    <row r="220" spans="1:7" x14ac:dyDescent="0.35">
      <c r="A220">
        <f>'Goodness of fit'!D$6/1000+A219</f>
        <v>3.5040000000000027</v>
      </c>
      <c r="B220">
        <f t="shared" si="7"/>
        <v>0.12951145493374894</v>
      </c>
      <c r="C220">
        <f>IF(A220&gt;='Goodness of fit'!$D$3,B220,0)</f>
        <v>0.12951145493374894</v>
      </c>
      <c r="D220" s="2">
        <f t="shared" si="6"/>
        <v>0.32024370466413032</v>
      </c>
      <c r="E220" s="18" t="str">
        <f>IF('Goodness of fit'!B220&gt;0,('Goodness of fit'!A220-'Goodness of fit'!B220)^2/'Goodness of fit'!B220,"")</f>
        <v/>
      </c>
      <c r="F220" s="2"/>
      <c r="G220" s="2"/>
    </row>
    <row r="221" spans="1:7" x14ac:dyDescent="0.35">
      <c r="A221">
        <f>'Goodness of fit'!D$6/1000+A220</f>
        <v>3.5200000000000027</v>
      </c>
      <c r="B221">
        <f t="shared" si="7"/>
        <v>0.12877249472359104</v>
      </c>
      <c r="C221">
        <f>IF(A221&gt;='Goodness of fit'!$D$3,B221,0)</f>
        <v>0.12877249472359104</v>
      </c>
      <c r="D221" s="2">
        <f t="shared" si="6"/>
        <v>0.3181774369178022</v>
      </c>
      <c r="E221" s="18" t="str">
        <f>IF('Goodness of fit'!B221&gt;0,('Goodness of fit'!A221-'Goodness of fit'!B221)^2/'Goodness of fit'!B221,"")</f>
        <v/>
      </c>
      <c r="F221" s="2"/>
      <c r="G221" s="2"/>
    </row>
    <row r="222" spans="1:7" x14ac:dyDescent="0.35">
      <c r="A222">
        <f>'Goodness of fit'!D$6/1000+A221</f>
        <v>3.5360000000000027</v>
      </c>
      <c r="B222">
        <f t="shared" si="7"/>
        <v>0.12803642812607294</v>
      </c>
      <c r="C222">
        <f>IF(A222&gt;='Goodness of fit'!$D$3,B222,0)</f>
        <v>0.12803642812607294</v>
      </c>
      <c r="D222" s="2">
        <f t="shared" si="6"/>
        <v>0.31612296940028156</v>
      </c>
      <c r="E222" s="18" t="str">
        <f>IF('Goodness of fit'!B222&gt;0,('Goodness of fit'!A222-'Goodness of fit'!B222)^2/'Goodness of fit'!B222,"")</f>
        <v/>
      </c>
      <c r="F222" s="2"/>
      <c r="G222" s="2"/>
    </row>
    <row r="223" spans="1:7" x14ac:dyDescent="0.35">
      <c r="A223">
        <f>'Goodness of fit'!D$6/1000+A222</f>
        <v>3.5520000000000027</v>
      </c>
      <c r="B223">
        <f t="shared" si="7"/>
        <v>0.12730326564066113</v>
      </c>
      <c r="C223">
        <f>IF(A223&gt;='Goodness of fit'!$D$3,B223,0)</f>
        <v>0.12730326564066113</v>
      </c>
      <c r="D223" s="2">
        <f t="shared" si="6"/>
        <v>0.31408025572907877</v>
      </c>
      <c r="E223" s="18" t="str">
        <f>IF('Goodness of fit'!B223&gt;0,('Goodness of fit'!A223-'Goodness of fit'!B223)^2/'Goodness of fit'!B223,"")</f>
        <v/>
      </c>
      <c r="F223" s="2"/>
      <c r="G223" s="2"/>
    </row>
    <row r="224" spans="1:7" x14ac:dyDescent="0.35">
      <c r="A224">
        <f>'Goodness of fit'!D$6/1000+A223</f>
        <v>3.5680000000000027</v>
      </c>
      <c r="B224">
        <f t="shared" si="7"/>
        <v>0.12657301725364276</v>
      </c>
      <c r="C224">
        <f>IF(A224&gt;='Goodness of fit'!$D$3,B224,0)</f>
        <v>0.12657301725364276</v>
      </c>
      <c r="D224" s="2">
        <f t="shared" si="6"/>
        <v>0.31204924935783285</v>
      </c>
      <c r="E224" s="18" t="str">
        <f>IF('Goodness of fit'!B224&gt;0,('Goodness of fit'!A224-'Goodness of fit'!B224)^2/'Goodness of fit'!B224,"")</f>
        <v/>
      </c>
      <c r="F224" s="2"/>
      <c r="G224" s="2"/>
    </row>
    <row r="225" spans="1:7" x14ac:dyDescent="0.35">
      <c r="A225">
        <f>'Goodness of fit'!D$6/1000+A224</f>
        <v>3.5840000000000027</v>
      </c>
      <c r="B225">
        <f t="shared" si="7"/>
        <v>0.12584569244877009</v>
      </c>
      <c r="C225">
        <f>IF(A225&gt;='Goodness of fit'!$D$3,B225,0)</f>
        <v>0.12584569244877009</v>
      </c>
      <c r="D225" s="2">
        <f t="shared" si="6"/>
        <v>0.31002990358443661</v>
      </c>
      <c r="E225" s="18" t="str">
        <f>IF('Goodness of fit'!B225&gt;0,('Goodness of fit'!A225-'Goodness of fit'!B225)^2/'Goodness of fit'!B225,"")</f>
        <v/>
      </c>
      <c r="F225" s="2"/>
      <c r="G225" s="2"/>
    </row>
    <row r="226" spans="1:7" x14ac:dyDescent="0.35">
      <c r="A226">
        <f>'Goodness of fit'!D$6/1000+A225</f>
        <v>3.6000000000000028</v>
      </c>
      <c r="B226">
        <f t="shared" si="7"/>
        <v>0.12512130021769796</v>
      </c>
      <c r="C226">
        <f>IF(A226&gt;='Goodness of fit'!$D$3,B226,0)</f>
        <v>0.12512130021769796</v>
      </c>
      <c r="D226" s="2">
        <f t="shared" si="6"/>
        <v>0.30802217155899303</v>
      </c>
      <c r="E226" s="18" t="str">
        <f>IF('Goodness of fit'!B226&gt;0,('Goodness of fit'!A226-'Goodness of fit'!B226)^2/'Goodness of fit'!B226,"")</f>
        <v/>
      </c>
      <c r="F226" s="2"/>
      <c r="G226" s="2"/>
    </row>
    <row r="227" spans="1:7" x14ac:dyDescent="0.35">
      <c r="A227">
        <f>'Goodness of fit'!D$6/1000+A226</f>
        <v>3.6160000000000028</v>
      </c>
      <c r="B227">
        <f t="shared" si="7"/>
        <v>0.12439984907021787</v>
      </c>
      <c r="C227">
        <f>IF(A227&gt;='Goodness of fit'!$D$3,B227,0)</f>
        <v>0.12439984907021787</v>
      </c>
      <c r="D227" s="2">
        <f t="shared" si="6"/>
        <v>0.30602600629160731</v>
      </c>
      <c r="E227" s="18" t="str">
        <f>IF('Goodness of fit'!B227&gt;0,('Goodness of fit'!A227-'Goodness of fit'!B227)^2/'Goodness of fit'!B227,"")</f>
        <v/>
      </c>
      <c r="F227" s="2"/>
      <c r="G227" s="2"/>
    </row>
    <row r="228" spans="1:7" x14ac:dyDescent="0.35">
      <c r="A228">
        <f>'Goodness of fit'!D$6/1000+A227</f>
        <v>3.6320000000000028</v>
      </c>
      <c r="B228">
        <f t="shared" si="7"/>
        <v>0.12368134704429352</v>
      </c>
      <c r="C228">
        <f>IF(A228&gt;='Goodness of fit'!$D$3,B228,0)</f>
        <v>0.12368134704429352</v>
      </c>
      <c r="D228" s="2">
        <f t="shared" si="6"/>
        <v>0.30404136066001569</v>
      </c>
      <c r="E228" s="18" t="str">
        <f>IF('Goodness of fit'!B228&gt;0,('Goodness of fit'!A228-'Goodness of fit'!B228)^2/'Goodness of fit'!B228,"")</f>
        <v/>
      </c>
      <c r="F228" s="2"/>
      <c r="G228" s="2"/>
    </row>
    <row r="229" spans="1:7" x14ac:dyDescent="0.35">
      <c r="A229">
        <f>'Goodness of fit'!D$6/1000+A228</f>
        <v>3.6480000000000028</v>
      </c>
      <c r="B229">
        <f t="shared" si="7"/>
        <v>0.12296580171590235</v>
      </c>
      <c r="C229">
        <f>IF(A229&gt;='Goodness of fit'!$D$3,B229,0)</f>
        <v>0.12296580171590235</v>
      </c>
      <c r="D229" s="2">
        <f t="shared" si="6"/>
        <v>0.30206818741705599</v>
      </c>
      <c r="E229" s="18" t="str">
        <f>IF('Goodness of fit'!B229&gt;0,('Goodness of fit'!A229-'Goodness of fit'!B229)^2/'Goodness of fit'!B229,"")</f>
        <v/>
      </c>
      <c r="F229" s="2"/>
      <c r="G229" s="2"/>
    </row>
    <row r="230" spans="1:7" x14ac:dyDescent="0.35">
      <c r="A230">
        <f>'Goodness of fit'!D$6/1000+A229</f>
        <v>3.6640000000000028</v>
      </c>
      <c r="B230">
        <f t="shared" si="7"/>
        <v>0.12225322020868616</v>
      </c>
      <c r="C230">
        <f>IF(A230&gt;='Goodness of fit'!$D$3,B230,0)</f>
        <v>0.12225322020868616</v>
      </c>
      <c r="D230" s="2">
        <f t="shared" si="6"/>
        <v>0.30010643919798174</v>
      </c>
      <c r="E230" s="18" t="str">
        <f>IF('Goodness of fit'!B230&gt;0,('Goodness of fit'!A230-'Goodness of fit'!B230)^2/'Goodness of fit'!B230,"")</f>
        <v/>
      </c>
      <c r="F230" s="2"/>
      <c r="G230" s="2"/>
    </row>
    <row r="231" spans="1:7" x14ac:dyDescent="0.35">
      <c r="A231">
        <f>'Goodness of fit'!D$6/1000+A230</f>
        <v>3.6800000000000028</v>
      </c>
      <c r="B231">
        <f t="shared" si="7"/>
        <v>0.12154360920341604</v>
      </c>
      <c r="C231">
        <f>IF(A231&gt;='Goodness of fit'!$D$3,B231,0)</f>
        <v>0.12154360920341604</v>
      </c>
      <c r="D231" s="2">
        <f t="shared" si="6"/>
        <v>0.29815606852762377</v>
      </c>
      <c r="E231" s="18" t="str">
        <f>IF('Goodness of fit'!B231&gt;0,('Goodness of fit'!A231-'Goodness of fit'!B231)^2/'Goodness of fit'!B231,"")</f>
        <v/>
      </c>
      <c r="F231" s="2"/>
      <c r="G231" s="2"/>
    </row>
    <row r="232" spans="1:7" x14ac:dyDescent="0.35">
      <c r="A232">
        <f>'Goodness of fit'!D$6/1000+A231</f>
        <v>3.6960000000000028</v>
      </c>
      <c r="B232">
        <f t="shared" si="7"/>
        <v>0.12083697494727477</v>
      </c>
      <c r="C232">
        <f>IF(A232&gt;='Goodness of fit'!$D$3,B232,0)</f>
        <v>0.12083697494727477</v>
      </c>
      <c r="D232" s="2">
        <f t="shared" si="6"/>
        <v>0.29621702782740161</v>
      </c>
      <c r="E232" s="18" t="str">
        <f>IF('Goodness of fit'!B232&gt;0,('Goodness of fit'!A232-'Goodness of fit'!B232)^2/'Goodness of fit'!B232,"")</f>
        <v/>
      </c>
      <c r="F232" s="2"/>
      <c r="G232" s="2"/>
    </row>
    <row r="233" spans="1:7" x14ac:dyDescent="0.35">
      <c r="A233">
        <f>'Goodness of fit'!D$6/1000+A232</f>
        <v>3.7120000000000029</v>
      </c>
      <c r="B233">
        <f t="shared" si="7"/>
        <v>0.12013332326296099</v>
      </c>
      <c r="C233">
        <f>IF(A233&gt;='Goodness of fit'!$D$3,B233,0)</f>
        <v>0.12013332326296099</v>
      </c>
      <c r="D233" s="2">
        <f t="shared" si="6"/>
        <v>0.29428926942218736</v>
      </c>
      <c r="E233" s="18" t="str">
        <f>IF('Goodness of fit'!B233&gt;0,('Goodness of fit'!A233-'Goodness of fit'!B233)^2/'Goodness of fit'!B233,"")</f>
        <v/>
      </c>
      <c r="F233" s="2"/>
      <c r="G233" s="2"/>
    </row>
    <row r="234" spans="1:7" x14ac:dyDescent="0.35">
      <c r="A234">
        <f>'Goodness of fit'!D$6/1000+A233</f>
        <v>3.7280000000000029</v>
      </c>
      <c r="B234">
        <f t="shared" si="7"/>
        <v>0.11943265955761811</v>
      </c>
      <c r="C234">
        <f>IF(A234&gt;='Goodness of fit'!$D$3,B234,0)</f>
        <v>0.11943265955761811</v>
      </c>
      <c r="D234" s="2">
        <f t="shared" si="6"/>
        <v>0.29237274554702669</v>
      </c>
      <c r="E234" s="18" t="str">
        <f>IF('Goodness of fit'!B234&gt;0,('Goodness of fit'!A234-'Goodness of fit'!B234)^2/'Goodness of fit'!B234,"")</f>
        <v/>
      </c>
      <c r="F234" s="2"/>
      <c r="G234" s="2"/>
    </row>
    <row r="235" spans="1:7" x14ac:dyDescent="0.35">
      <c r="A235">
        <f>'Goodness of fit'!D$6/1000+A234</f>
        <v>3.7440000000000029</v>
      </c>
      <c r="B235">
        <f t="shared" si="7"/>
        <v>0.11873498883159299</v>
      </c>
      <c r="C235">
        <f>IF(A235&gt;='Goodness of fit'!$D$3,B235,0)</f>
        <v>0.11873498883159299</v>
      </c>
      <c r="D235" s="2">
        <f t="shared" si="6"/>
        <v>0.29046740835371648</v>
      </c>
      <c r="E235" s="18" t="str">
        <f>IF('Goodness of fit'!B235&gt;0,('Goodness of fit'!A235-'Goodness of fit'!B235)^2/'Goodness of fit'!B235,"")</f>
        <v/>
      </c>
      <c r="F235" s="2"/>
      <c r="G235" s="2"/>
    </row>
    <row r="236" spans="1:7" x14ac:dyDescent="0.35">
      <c r="A236">
        <f>'Goodness of fit'!D$6/1000+A235</f>
        <v>3.7600000000000029</v>
      </c>
      <c r="B236">
        <f t="shared" si="7"/>
        <v>0.11804031568702623</v>
      </c>
      <c r="C236">
        <f>IF(A236&gt;='Goodness of fit'!$D$3,B236,0)</f>
        <v>0.11804031568702623</v>
      </c>
      <c r="D236" s="2">
        <f t="shared" si="6"/>
        <v>0.28857320991724533</v>
      </c>
      <c r="E236" s="18" t="str">
        <f>IF('Goodness of fit'!B236&gt;0,('Goodness of fit'!A236-'Goodness of fit'!B236)^2/'Goodness of fit'!B236,"")</f>
        <v/>
      </c>
      <c r="F236" s="2"/>
      <c r="G236" s="2"/>
    </row>
    <row r="237" spans="1:7" x14ac:dyDescent="0.35">
      <c r="A237">
        <f>'Goodness of fit'!D$6/1000+A236</f>
        <v>3.7760000000000029</v>
      </c>
      <c r="B237">
        <f t="shared" si="7"/>
        <v>0.11734864433627913</v>
      </c>
      <c r="C237">
        <f>IF(A237&gt;='Goodness of fit'!$D$3,B237,0)</f>
        <v>0.11734864433627913</v>
      </c>
      <c r="D237" s="2">
        <f t="shared" si="6"/>
        <v>0.28669010224209679</v>
      </c>
      <c r="E237" s="18" t="str">
        <f>IF('Goodness of fit'!B237&gt;0,('Goodness of fit'!A237-'Goodness of fit'!B237)^2/'Goodness of fit'!B237,"")</f>
        <v/>
      </c>
      <c r="F237" s="2"/>
      <c r="G237" s="2"/>
    </row>
    <row r="238" spans="1:7" x14ac:dyDescent="0.35">
      <c r="A238">
        <f>'Goodness of fit'!D$6/1000+A237</f>
        <v>3.7920000000000029</v>
      </c>
      <c r="B238">
        <f t="shared" si="7"/>
        <v>0.11665997861019962</v>
      </c>
      <c r="C238">
        <f>IF(A238&gt;='Goodness of fit'!$D$3,B238,0)</f>
        <v>0.11665997861019962</v>
      </c>
      <c r="D238" s="2">
        <f t="shared" si="6"/>
        <v>0.2848180372684197</v>
      </c>
      <c r="E238" s="18" t="str">
        <f>IF('Goodness of fit'!B238&gt;0,('Goodness of fit'!A238-'Goodness of fit'!B238)^2/'Goodness of fit'!B238,"")</f>
        <v/>
      </c>
      <c r="F238" s="2"/>
      <c r="G238" s="2"/>
    </row>
    <row r="239" spans="1:7" x14ac:dyDescent="0.35">
      <c r="A239">
        <f>'Goodness of fit'!D$6/1000+A238</f>
        <v>3.8080000000000029</v>
      </c>
      <c r="B239">
        <f t="shared" si="7"/>
        <v>0.11597432196623093</v>
      </c>
      <c r="C239">
        <f>IF(A239&gt;='Goodness of fit'!$D$3,B239,0)</f>
        <v>0.11597432196623093</v>
      </c>
      <c r="D239" s="2">
        <f t="shared" si="6"/>
        <v>0.28295696687806754</v>
      </c>
      <c r="E239" s="18" t="str">
        <f>IF('Goodness of fit'!B239&gt;0,('Goodness of fit'!A239-'Goodness of fit'!B239)^2/'Goodness of fit'!B239,"")</f>
        <v/>
      </c>
      <c r="F239" s="2"/>
      <c r="G239" s="2"/>
    </row>
    <row r="240" spans="1:7" x14ac:dyDescent="0.35">
      <c r="A240">
        <f>'Goodness of fit'!D$6/1000+A239</f>
        <v>3.824000000000003</v>
      </c>
      <c r="B240">
        <f t="shared" si="7"/>
        <v>0.11529167749636632</v>
      </c>
      <c r="C240">
        <f>IF(A240&gt;='Goodness of fit'!$D$3,B240,0)</f>
        <v>0.11529167749636632</v>
      </c>
      <c r="D240" s="2">
        <f t="shared" si="6"/>
        <v>0.28110684290050825</v>
      </c>
      <c r="E240" s="18" t="str">
        <f>IF('Goodness of fit'!B240&gt;0,('Goodness of fit'!A240-'Goodness of fit'!B240)^2/'Goodness of fit'!B240,"")</f>
        <v/>
      </c>
      <c r="F240" s="2"/>
      <c r="G240" s="2"/>
    </row>
    <row r="241" spans="1:7" x14ac:dyDescent="0.35">
      <c r="A241">
        <f>'Goodness of fit'!D$6/1000+A240</f>
        <v>3.840000000000003</v>
      </c>
      <c r="B241">
        <f t="shared" si="7"/>
        <v>0.11461204793495246</v>
      </c>
      <c r="C241">
        <f>IF(A241&gt;='Goodness of fit'!$D$3,B241,0)</f>
        <v>0.11461204793495246</v>
      </c>
      <c r="D241" s="2">
        <f t="shared" si="6"/>
        <v>0.27926761711860987</v>
      </c>
      <c r="E241" s="18" t="str">
        <f>IF('Goodness of fit'!B241&gt;0,('Goodness of fit'!A241-'Goodness of fit'!B241)^2/'Goodness of fit'!B241,"")</f>
        <v/>
      </c>
      <c r="F241" s="2"/>
      <c r="G241" s="2"/>
    </row>
    <row r="242" spans="1:7" x14ac:dyDescent="0.35">
      <c r="A242">
        <f>'Goodness of fit'!D$6/1000+A241</f>
        <v>3.856000000000003</v>
      </c>
      <c r="B242">
        <f t="shared" si="7"/>
        <v>0.11393543566634549</v>
      </c>
      <c r="C242">
        <f>IF(A242&gt;='Goodness of fit'!$D$3,B242,0)</f>
        <v>0.11393543566634549</v>
      </c>
      <c r="D242" s="2">
        <f t="shared" si="6"/>
        <v>0.27743924127430059</v>
      </c>
      <c r="E242" s="18" t="str">
        <f>IF('Goodness of fit'!B242&gt;0,('Goodness of fit'!A242-'Goodness of fit'!B242)^2/'Goodness of fit'!B242,"")</f>
        <v/>
      </c>
      <c r="F242" s="2"/>
      <c r="G242" s="2"/>
    </row>
    <row r="243" spans="1:7" x14ac:dyDescent="0.35">
      <c r="A243">
        <f>'Goodness of fit'!D$6/1000+A242</f>
        <v>3.872000000000003</v>
      </c>
      <c r="B243">
        <f t="shared" si="7"/>
        <v>0.11326184273242172</v>
      </c>
      <c r="C243">
        <f>IF(A243&gt;='Goodness of fit'!$D$3,B243,0)</f>
        <v>0.11326184273242172</v>
      </c>
      <c r="D243" s="2">
        <f t="shared" si="6"/>
        <v>0.2756216670741089</v>
      </c>
      <c r="E243" s="18" t="str">
        <f>IF('Goodness of fit'!B243&gt;0,('Goodness of fit'!A243-'Goodness of fit'!B243)^2/'Goodness of fit'!B243,"")</f>
        <v/>
      </c>
      <c r="F243" s="2"/>
      <c r="G243" s="2"/>
    </row>
    <row r="244" spans="1:7" x14ac:dyDescent="0.35">
      <c r="A244">
        <f>'Goodness of fit'!D$6/1000+A243</f>
        <v>3.888000000000003</v>
      </c>
      <c r="B244">
        <f t="shared" si="7"/>
        <v>0.11259127083994677</v>
      </c>
      <c r="C244">
        <f>IF(A244&gt;='Goodness of fit'!$D$3,B244,0)</f>
        <v>0.11259127083994677</v>
      </c>
      <c r="D244" s="2">
        <f t="shared" si="6"/>
        <v>0.27381484619458374</v>
      </c>
      <c r="E244" s="18" t="str">
        <f>IF('Goodness of fit'!B244&gt;0,('Goodness of fit'!A244-'Goodness of fit'!B244)^2/'Goodness of fit'!B244,"")</f>
        <v/>
      </c>
      <c r="F244" s="2"/>
      <c r="G244" s="2"/>
    </row>
    <row r="245" spans="1:7" x14ac:dyDescent="0.35">
      <c r="A245">
        <f>'Goodness of fit'!D$6/1000+A244</f>
        <v>3.904000000000003</v>
      </c>
      <c r="B245">
        <f t="shared" si="7"/>
        <v>0.11192372136780519</v>
      </c>
      <c r="C245">
        <f>IF(A245&gt;='Goodness of fit'!$D$3,B245,0)</f>
        <v>0.11192372136780519</v>
      </c>
      <c r="D245" s="2">
        <f t="shared" si="6"/>
        <v>0.27201873028759849</v>
      </c>
      <c r="E245" s="18" t="str">
        <f>IF('Goodness of fit'!B245&gt;0,('Goodness of fit'!A245-'Goodness of fit'!B245)^2/'Goodness of fit'!B245,"")</f>
        <v/>
      </c>
      <c r="F245" s="2"/>
      <c r="G245" s="2"/>
    </row>
    <row r="246" spans="1:7" x14ac:dyDescent="0.35">
      <c r="A246">
        <f>'Goodness of fit'!D$6/1000+A245</f>
        <v>3.920000000000003</v>
      </c>
      <c r="B246">
        <f t="shared" si="7"/>
        <v>0.11125919537409444</v>
      </c>
      <c r="C246">
        <f>IF(A246&gt;='Goodness of fit'!$D$3,B246,0)</f>
        <v>0.11125919537409444</v>
      </c>
      <c r="D246" s="2">
        <f t="shared" si="6"/>
        <v>0.2702332709855399</v>
      </c>
      <c r="E246" s="18" t="str">
        <f>IF('Goodness of fit'!B246&gt;0,('Goodness of fit'!A246-'Goodness of fit'!B246)^2/'Goodness of fit'!B246,"")</f>
        <v/>
      </c>
      <c r="F246" s="2"/>
      <c r="G246" s="2"/>
    </row>
    <row r="247" spans="1:7" x14ac:dyDescent="0.35">
      <c r="A247">
        <f>'Goodness of fit'!D$6/1000+A246</f>
        <v>3.9360000000000031</v>
      </c>
      <c r="B247">
        <f t="shared" si="7"/>
        <v>0.11059769360308468</v>
      </c>
      <c r="C247">
        <f>IF(A247&gt;='Goodness of fit'!$D$3,B247,0)</f>
        <v>0.11059769360308468</v>
      </c>
      <c r="D247" s="2">
        <f t="shared" si="6"/>
        <v>0.26845841990638508</v>
      </c>
      <c r="E247" s="18" t="str">
        <f>IF('Goodness of fit'!B247&gt;0,('Goodness of fit'!A247-'Goodness of fit'!B247)^2/'Goodness of fit'!B247,"")</f>
        <v/>
      </c>
      <c r="F247" s="2"/>
      <c r="G247" s="2"/>
    </row>
    <row r="248" spans="1:7" x14ac:dyDescent="0.35">
      <c r="A248">
        <f>'Goodness of fit'!D$6/1000+A247</f>
        <v>3.9520000000000031</v>
      </c>
      <c r="B248">
        <f t="shared" si="7"/>
        <v>0.10993921649204826</v>
      </c>
      <c r="C248">
        <f>IF(A248&gt;='Goodness of fit'!$D$3,B248,0)</f>
        <v>0.10993921649204826</v>
      </c>
      <c r="D248" s="2">
        <f t="shared" si="6"/>
        <v>0.26669412865866793</v>
      </c>
      <c r="E248" s="18" t="str">
        <f>IF('Goodness of fit'!B248&gt;0,('Goodness of fit'!A248-'Goodness of fit'!B248)^2/'Goodness of fit'!B248,"")</f>
        <v/>
      </c>
      <c r="F248" s="2"/>
      <c r="G248" s="2"/>
    </row>
    <row r="249" spans="1:7" x14ac:dyDescent="0.35">
      <c r="A249">
        <f>'Goodness of fit'!D$6/1000+A248</f>
        <v>3.9680000000000031</v>
      </c>
      <c r="B249">
        <f t="shared" si="7"/>
        <v>0.10928376417796046</v>
      </c>
      <c r="C249">
        <f>IF(A249&gt;='Goodness of fit'!$D$3,B249,0)</f>
        <v>0.10928376417796046</v>
      </c>
      <c r="D249" s="2">
        <f t="shared" si="6"/>
        <v>0.26494034884633699</v>
      </c>
      <c r="E249" s="18" t="str">
        <f>IF('Goodness of fit'!B249&gt;0,('Goodness of fit'!A249-'Goodness of fit'!B249)^2/'Goodness of fit'!B249,"")</f>
        <v/>
      </c>
      <c r="F249" s="2"/>
      <c r="G249" s="2"/>
    </row>
    <row r="250" spans="1:7" x14ac:dyDescent="0.35">
      <c r="A250">
        <f>'Goodness of fit'!D$6/1000+A249</f>
        <v>3.9840000000000031</v>
      </c>
      <c r="B250">
        <f t="shared" si="7"/>
        <v>0.10863133650407503</v>
      </c>
      <c r="C250">
        <f>IF(A250&gt;='Goodness of fit'!$D$3,B250,0)</f>
        <v>0.10863133650407503</v>
      </c>
      <c r="D250" s="2">
        <f t="shared" si="6"/>
        <v>0.26319703207350775</v>
      </c>
      <c r="E250" s="18" t="str">
        <f>IF('Goodness of fit'!B250&gt;0,('Goodness of fit'!A250-'Goodness of fit'!B250)^2/'Goodness of fit'!B250,"")</f>
        <v/>
      </c>
      <c r="F250" s="2"/>
      <c r="G250" s="2"/>
    </row>
    <row r="251" spans="1:7" x14ac:dyDescent="0.35">
      <c r="A251">
        <f>'Goodness of fit'!D$6/1000+A250</f>
        <v>4.0000000000000027</v>
      </c>
      <c r="B251">
        <f t="shared" si="7"/>
        <v>0.10798193302637606</v>
      </c>
      <c r="C251">
        <f>IF(A251&gt;='Goodness of fit'!$D$3,B251,0)</f>
        <v>0.10798193302637606</v>
      </c>
      <c r="D251" s="2">
        <f t="shared" si="6"/>
        <v>0.26146412994911028</v>
      </c>
      <c r="E251" s="18" t="str">
        <f>IF('Goodness of fit'!B251&gt;0,('Goodness of fit'!A251-'Goodness of fit'!B251)^2/'Goodness of fit'!B251,"")</f>
        <v/>
      </c>
      <c r="F251" s="2"/>
      <c r="G251" s="2"/>
    </row>
    <row r="252" spans="1:7" x14ac:dyDescent="0.35">
      <c r="A252">
        <f>'Goodness of fit'!D$6/1000+A251</f>
        <v>4.0160000000000027</v>
      </c>
      <c r="B252">
        <f t="shared" si="7"/>
        <v>0.10733555301990926</v>
      </c>
      <c r="C252">
        <f>IF(A252&gt;='Goodness of fit'!$D$3,B252,0)</f>
        <v>0.10733555301990926</v>
      </c>
      <c r="D252" s="2">
        <f t="shared" si="6"/>
        <v>0.25974159409143494</v>
      </c>
      <c r="E252" s="18" t="str">
        <f>IF('Goodness of fit'!B252&gt;0,('Goodness of fit'!A252-'Goodness of fit'!B252)^2/'Goodness of fit'!B252,"")</f>
        <v/>
      </c>
      <c r="F252" s="2"/>
      <c r="G252" s="2"/>
    </row>
    <row r="253" spans="1:7" x14ac:dyDescent="0.35">
      <c r="A253">
        <f>'Goodness of fit'!D$6/1000+A252</f>
        <v>4.0320000000000027</v>
      </c>
      <c r="B253">
        <f t="shared" si="7"/>
        <v>0.1066921954849952</v>
      </c>
      <c r="C253">
        <f>IF(A253&gt;='Goodness of fit'!$D$3,B253,0)</f>
        <v>0.1066921954849952</v>
      </c>
      <c r="D253" s="2">
        <f t="shared" si="6"/>
        <v>0.25802937613257726</v>
      </c>
      <c r="E253" s="18" t="str">
        <f>IF('Goodness of fit'!B253&gt;0,('Goodness of fit'!A253-'Goodness of fit'!B253)^2/'Goodness of fit'!B253,"")</f>
        <v/>
      </c>
      <c r="F253" s="2"/>
      <c r="G253" s="2"/>
    </row>
    <row r="254" spans="1:7" x14ac:dyDescent="0.35">
      <c r="A254">
        <f>'Goodness of fit'!D$6/1000+A253</f>
        <v>4.0480000000000027</v>
      </c>
      <c r="B254">
        <f t="shared" si="7"/>
        <v>0.10605185915332568</v>
      </c>
      <c r="C254">
        <f>IF(A254&gt;='Goodness of fit'!$D$3,B254,0)</f>
        <v>0.10605185915332568</v>
      </c>
      <c r="D254" s="2">
        <f t="shared" si="6"/>
        <v>0.2563274277227845</v>
      </c>
      <c r="E254" s="18" t="str">
        <f>IF('Goodness of fit'!B254&gt;0,('Goodness of fit'!A254-'Goodness of fit'!B254)^2/'Goodness of fit'!B254,"")</f>
        <v/>
      </c>
      <c r="F254" s="2"/>
      <c r="G254" s="2"/>
    </row>
    <row r="255" spans="1:7" x14ac:dyDescent="0.35">
      <c r="A255">
        <f>'Goodness of fit'!D$6/1000+A254</f>
        <v>4.0640000000000027</v>
      </c>
      <c r="B255">
        <f t="shared" si="7"/>
        <v>0.10541454249394712</v>
      </c>
      <c r="C255">
        <f>IF(A255&gt;='Goodness of fit'!$D$3,B255,0)</f>
        <v>0.10541454249394712</v>
      </c>
      <c r="D255" s="2">
        <f t="shared" si="6"/>
        <v>0.25463570053470624</v>
      </c>
      <c r="E255" s="18" t="str">
        <f>IF('Goodness of fit'!B255&gt;0,('Goodness of fit'!A255-'Goodness of fit'!B255)^2/'Goodness of fit'!B255,"")</f>
        <v/>
      </c>
      <c r="F255" s="2"/>
      <c r="G255" s="2"/>
    </row>
    <row r="256" spans="1:7" x14ac:dyDescent="0.35">
      <c r="A256">
        <f>'Goodness of fit'!D$6/1000+A255</f>
        <v>4.0800000000000027</v>
      </c>
      <c r="B256">
        <f t="shared" si="7"/>
        <v>0.1047802437191319</v>
      </c>
      <c r="C256">
        <f>IF(A256&gt;='Goodness of fit'!$D$3,B256,0)</f>
        <v>0.1047802437191319</v>
      </c>
      <c r="D256" s="2">
        <f t="shared" si="6"/>
        <v>0.2529541462675492</v>
      </c>
      <c r="E256" s="18" t="str">
        <f>IF('Goodness of fit'!B256&gt;0,('Goodness of fit'!A256-'Goodness of fit'!B256)^2/'Goodness of fit'!B256,"")</f>
        <v/>
      </c>
      <c r="F256" s="2"/>
      <c r="G256" s="2"/>
    </row>
    <row r="257" spans="1:7" x14ac:dyDescent="0.35">
      <c r="A257">
        <f>'Goodness of fit'!D$6/1000+A256</f>
        <v>4.0960000000000027</v>
      </c>
      <c r="B257">
        <f t="shared" si="7"/>
        <v>0.10414896079014047</v>
      </c>
      <c r="C257">
        <f>IF(A257&gt;='Goodness of fit'!$D$3,B257,0)</f>
        <v>0.10414896079014047</v>
      </c>
      <c r="D257" s="2">
        <f t="shared" si="6"/>
        <v>0.25128271665113938</v>
      </c>
      <c r="E257" s="18" t="str">
        <f>IF('Goodness of fit'!B257&gt;0,('Goodness of fit'!A257-'Goodness of fit'!B257)^2/'Goodness of fit'!B257,"")</f>
        <v/>
      </c>
      <c r="F257" s="2"/>
      <c r="G257" s="2"/>
    </row>
    <row r="258" spans="1:7" x14ac:dyDescent="0.35">
      <c r="A258">
        <f>'Goodness of fit'!D$6/1000+A257</f>
        <v>4.1120000000000028</v>
      </c>
      <c r="B258">
        <f t="shared" si="7"/>
        <v>0.10352069142287616</v>
      </c>
      <c r="C258">
        <f>IF(A258&gt;='Goodness of fit'!$D$3,B258,0)</f>
        <v>0.10352069142287616</v>
      </c>
      <c r="D258" s="2">
        <f t="shared" ref="D258:D321" si="8">CHIDIST(A258,F$1)</f>
        <v>0.24962136344989289</v>
      </c>
      <c r="E258" s="18" t="str">
        <f>IF('Goodness of fit'!B258&gt;0,('Goodness of fit'!A258-'Goodness of fit'!B258)^2/'Goodness of fit'!B258,"")</f>
        <v/>
      </c>
      <c r="F258" s="2"/>
      <c r="G258" s="2"/>
    </row>
    <row r="259" spans="1:7" x14ac:dyDescent="0.35">
      <c r="A259">
        <f>'Goodness of fit'!D$6/1000+A258</f>
        <v>4.1280000000000028</v>
      </c>
      <c r="B259">
        <f t="shared" ref="B259:B322" si="9">_xlfn.CHISQ.DIST(A259,F$1,FALSE)</f>
        <v>0.10289543309343481</v>
      </c>
      <c r="C259">
        <f>IF(A259&gt;='Goodness of fit'!$D$3,B259,0)</f>
        <v>0.10289543309343481</v>
      </c>
      <c r="D259" s="2">
        <f t="shared" si="8"/>
        <v>0.2479700384666973</v>
      </c>
      <c r="E259" s="18" t="str">
        <f>IF('Goodness of fit'!B259&gt;0,('Goodness of fit'!A259-'Goodness of fit'!B259)^2/'Goodness of fit'!B259,"")</f>
        <v/>
      </c>
      <c r="F259" s="2"/>
      <c r="G259" s="2"/>
    </row>
    <row r="260" spans="1:7" x14ac:dyDescent="0.35">
      <c r="A260">
        <f>'Goodness of fit'!D$6/1000+A259</f>
        <v>4.1440000000000028</v>
      </c>
      <c r="B260">
        <f t="shared" si="9"/>
        <v>0.10227318304355126</v>
      </c>
      <c r="C260">
        <f>IF(A260&gt;='Goodness of fit'!$D$3,B260,0)</f>
        <v>0.10227318304355126</v>
      </c>
      <c r="D260" s="2">
        <f t="shared" si="8"/>
        <v>0.24632869354670456</v>
      </c>
      <c r="E260" s="18" t="str">
        <f>IF('Goodness of fit'!B260&gt;0,('Goodness of fit'!A260-'Goodness of fit'!B260)^2/'Goodness of fit'!B260,"")</f>
        <v/>
      </c>
      <c r="F260" s="2"/>
      <c r="G260" s="2"/>
    </row>
    <row r="261" spans="1:7" x14ac:dyDescent="0.35">
      <c r="A261">
        <f>'Goodness of fit'!D$6/1000+A260</f>
        <v>4.1600000000000028</v>
      </c>
      <c r="B261">
        <f t="shared" si="9"/>
        <v>0.1016539382859446</v>
      </c>
      <c r="C261">
        <f>IF(A261&gt;='Goodness of fit'!$D$3,B261,0)</f>
        <v>0.1016539382859446</v>
      </c>
      <c r="D261" s="2">
        <f t="shared" si="8"/>
        <v>0.24469728058103837</v>
      </c>
      <c r="E261" s="18" t="str">
        <f>IF('Goodness of fit'!B261&gt;0,('Goodness of fit'!A261-'Goodness of fit'!B261)^2/'Goodness of fit'!B261,"")</f>
        <v/>
      </c>
      <c r="F261" s="2"/>
      <c r="G261" s="2"/>
    </row>
    <row r="262" spans="1:7" x14ac:dyDescent="0.35">
      <c r="A262">
        <f>'Goodness of fit'!D$6/1000+A261</f>
        <v>4.1760000000000028</v>
      </c>
      <c r="B262">
        <f t="shared" si="9"/>
        <v>0.10103769560956427</v>
      </c>
      <c r="C262">
        <f>IF(A262&gt;='Goodness of fit'!$D$3,B262,0)</f>
        <v>0.10103769560956427</v>
      </c>
      <c r="D262" s="2">
        <f t="shared" si="8"/>
        <v>0.24307575151041561</v>
      </c>
      <c r="E262" s="18" t="str">
        <f>IF('Goodness of fit'!B262&gt;0,('Goodness of fit'!A262-'Goodness of fit'!B262)^2/'Goodness of fit'!B262,"")</f>
        <v/>
      </c>
      <c r="F262" s="2"/>
      <c r="G262" s="2"/>
    </row>
    <row r="263" spans="1:7" x14ac:dyDescent="0.35">
      <c r="A263">
        <f>'Goodness of fit'!D$6/1000+A262</f>
        <v>4.1920000000000028</v>
      </c>
      <c r="B263">
        <f t="shared" si="9"/>
        <v>0.10042445158473888</v>
      </c>
      <c r="C263">
        <f>IF(A263&gt;='Goodness of fit'!$D$3,B263,0)</f>
        <v>0.10042445158473888</v>
      </c>
      <c r="D263" s="2">
        <f t="shared" si="8"/>
        <v>0.24146405832868598</v>
      </c>
      <c r="E263" s="18" t="str">
        <f>IF('Goodness of fit'!B263&gt;0,('Goodness of fit'!A263-'Goodness of fit'!B263)^2/'Goodness of fit'!B263,"")</f>
        <v/>
      </c>
      <c r="F263" s="2"/>
      <c r="G263" s="2"/>
    </row>
    <row r="264" spans="1:7" x14ac:dyDescent="0.35">
      <c r="A264">
        <f>'Goodness of fit'!D$6/1000+A263</f>
        <v>4.2080000000000028</v>
      </c>
      <c r="B264">
        <f t="shared" si="9"/>
        <v>9.9814202568229454E-2</v>
      </c>
      <c r="C264">
        <f>IF(A264&gt;='Goodness of fit'!$D$3,B264,0)</f>
        <v>9.9814202568229454E-2</v>
      </c>
      <c r="D264" s="2">
        <f t="shared" si="8"/>
        <v>0.23986215308628919</v>
      </c>
      <c r="E264" s="18" t="str">
        <f>IF('Goodness of fit'!B264&gt;0,('Goodness of fit'!A264-'Goodness of fit'!B264)^2/'Goodness of fit'!B264,"")</f>
        <v/>
      </c>
      <c r="F264" s="2"/>
      <c r="G264" s="2"/>
    </row>
    <row r="265" spans="1:7" x14ac:dyDescent="0.35">
      <c r="A265">
        <f>'Goodness of fit'!D$6/1000+A264</f>
        <v>4.2240000000000029</v>
      </c>
      <c r="B265">
        <f t="shared" si="9"/>
        <v>9.9206944708188999E-2</v>
      </c>
      <c r="C265">
        <f>IF(A265&gt;='Goodness of fit'!$D$3,B265,0)</f>
        <v>9.9206944708188999E-2</v>
      </c>
      <c r="D265" s="2">
        <f t="shared" si="8"/>
        <v>0.23826998789363199</v>
      </c>
      <c r="E265" s="18" t="str">
        <f>IF('Goodness of fit'!B265&gt;0,('Goodness of fit'!A265-'Goodness of fit'!B265)^2/'Goodness of fit'!B265,"")</f>
        <v/>
      </c>
      <c r="F265" s="2"/>
      <c r="G265" s="2"/>
    </row>
    <row r="266" spans="1:7" x14ac:dyDescent="0.35">
      <c r="A266">
        <f>'Goodness of fit'!D$6/1000+A265</f>
        <v>4.2400000000000029</v>
      </c>
      <c r="B266">
        <f t="shared" si="9"/>
        <v>9.8602673949030537E-2</v>
      </c>
      <c r="C266">
        <f>IF(A266&gt;='Goodness of fit'!$D$3,B266,0)</f>
        <v>9.8602673949030537E-2</v>
      </c>
      <c r="D266" s="2">
        <f t="shared" si="8"/>
        <v>0.23668751492438711</v>
      </c>
      <c r="E266" s="18" t="str">
        <f>IF('Goodness of fit'!B266&gt;0,('Goodness of fit'!A266-'Goodness of fit'!B266)^2/'Goodness of fit'!B266,"")</f>
        <v/>
      </c>
      <c r="F266" s="2"/>
      <c r="G266" s="2"/>
    </row>
    <row r="267" spans="1:7" x14ac:dyDescent="0.35">
      <c r="A267">
        <f>'Goodness of fit'!D$6/1000+A266</f>
        <v>4.2560000000000029</v>
      </c>
      <c r="B267">
        <f t="shared" si="9"/>
        <v>9.8001386036204632E-2</v>
      </c>
      <c r="C267">
        <f>IF(A267&gt;='Goodness of fit'!$D$3,B267,0)</f>
        <v>9.8001386036204632E-2</v>
      </c>
      <c r="D267" s="2">
        <f t="shared" si="8"/>
        <v>0.23511468641871472</v>
      </c>
      <c r="E267" s="18" t="str">
        <f>IF('Goodness of fit'!B267&gt;0,('Goodness of fit'!A267-'Goodness of fit'!B267)^2/'Goodness of fit'!B267,"")</f>
        <v/>
      </c>
      <c r="F267" s="2"/>
      <c r="G267" s="2"/>
    </row>
    <row r="268" spans="1:7" x14ac:dyDescent="0.35">
      <c r="A268">
        <f>'Goodness of fit'!D$6/1000+A267</f>
        <v>4.2720000000000029</v>
      </c>
      <c r="B268">
        <f t="shared" si="9"/>
        <v>9.7403076520888671E-2</v>
      </c>
      <c r="C268">
        <f>IF(A268&gt;='Goodness of fit'!$D$3,B268,0)</f>
        <v>9.7403076520888671E-2</v>
      </c>
      <c r="D268" s="2">
        <f t="shared" si="8"/>
        <v>0.23355145468640809</v>
      </c>
      <c r="E268" s="18" t="str">
        <f>IF('Goodness of fit'!B268&gt;0,('Goodness of fit'!A268-'Goodness of fit'!B268)^2/'Goodness of fit'!B268,"")</f>
        <v/>
      </c>
      <c r="F268" s="2"/>
      <c r="G268" s="2"/>
    </row>
    <row r="269" spans="1:7" x14ac:dyDescent="0.35">
      <c r="A269">
        <f>'Goodness of fit'!D$6/1000+A268</f>
        <v>4.2880000000000029</v>
      </c>
      <c r="B269">
        <f t="shared" si="9"/>
        <v>9.6807740764589617E-2</v>
      </c>
      <c r="C269">
        <f>IF(A269&gt;='Goodness of fit'!$D$3,B269,0)</f>
        <v>9.6807740764589617E-2</v>
      </c>
      <c r="D269" s="2">
        <f t="shared" si="8"/>
        <v>0.23199777210996528</v>
      </c>
      <c r="E269" s="18" t="str">
        <f>IF('Goodness of fit'!B269&gt;0,('Goodness of fit'!A269-'Goodness of fit'!B269)^2/'Goodness of fit'!B269,"")</f>
        <v/>
      </c>
      <c r="F269" s="2"/>
      <c r="G269" s="2"/>
    </row>
    <row r="270" spans="1:7" x14ac:dyDescent="0.35">
      <c r="A270">
        <f>'Goodness of fit'!D$6/1000+A269</f>
        <v>4.3040000000000029</v>
      </c>
      <c r="B270">
        <f t="shared" si="9"/>
        <v>9.621537394366117E-2</v>
      </c>
      <c r="C270">
        <f>IF(A270&gt;='Goodness of fit'!$D$3,B270,0)</f>
        <v>9.621537394366117E-2</v>
      </c>
      <c r="D270" s="2">
        <f t="shared" si="8"/>
        <v>0.23045359114758715</v>
      </c>
      <c r="E270" s="18" t="str">
        <f>IF('Goodness of fit'!B270&gt;0,('Goodness of fit'!A270-'Goodness of fit'!B270)^2/'Goodness of fit'!B270,"")</f>
        <v/>
      </c>
      <c r="F270" s="2"/>
      <c r="G270" s="2"/>
    </row>
    <row r="271" spans="1:7" x14ac:dyDescent="0.35">
      <c r="A271">
        <f>'Goodness of fit'!D$6/1000+A270</f>
        <v>4.3200000000000029</v>
      </c>
      <c r="B271">
        <f t="shared" si="9"/>
        <v>9.5625971053738074E-2</v>
      </c>
      <c r="C271">
        <f>IF(A271&gt;='Goodness of fit'!$D$3,B271,0)</f>
        <v>9.5625971053738074E-2</v>
      </c>
      <c r="D271" s="2">
        <f t="shared" si="8"/>
        <v>0.2289188643361047</v>
      </c>
      <c r="E271" s="18" t="str">
        <f>IF('Goodness of fit'!B271&gt;0,('Goodness of fit'!A271-'Goodness of fit'!B271)^2/'Goodness of fit'!B271,"")</f>
        <v/>
      </c>
      <c r="F271" s="2"/>
      <c r="G271" s="2"/>
    </row>
    <row r="272" spans="1:7" x14ac:dyDescent="0.35">
      <c r="A272">
        <f>'Goodness of fit'!D$6/1000+A271</f>
        <v>4.336000000000003</v>
      </c>
      <c r="B272">
        <f t="shared" si="9"/>
        <v>9.5039526914087846E-2</v>
      </c>
      <c r="C272">
        <f>IF(A272&gt;='Goodness of fit'!$D$3,B272,0)</f>
        <v>9.5039526914087846E-2</v>
      </c>
      <c r="D272" s="2">
        <f t="shared" si="8"/>
        <v>0.22739354429383546</v>
      </c>
      <c r="E272" s="18" t="str">
        <f>IF('Goodness of fit'!B272&gt;0,('Goodness of fit'!A272-'Goodness of fit'!B272)^2/'Goodness of fit'!B272,"")</f>
        <v/>
      </c>
      <c r="F272" s="2"/>
      <c r="G272" s="2"/>
    </row>
    <row r="273" spans="1:7" x14ac:dyDescent="0.35">
      <c r="A273">
        <f>'Goodness of fit'!D$6/1000+A272</f>
        <v>4.352000000000003</v>
      </c>
      <c r="B273">
        <f t="shared" si="9"/>
        <v>9.4456036171882599E-2</v>
      </c>
      <c r="C273">
        <f>IF(A273&gt;='Goodness of fit'!$D$3,B273,0)</f>
        <v>9.4456036171882599E-2</v>
      </c>
      <c r="D273" s="2">
        <f t="shared" si="8"/>
        <v>0.22587758372337099</v>
      </c>
      <c r="E273" s="18" t="str">
        <f>IF('Goodness of fit'!B273&gt;0,('Goodness of fit'!A273-'Goodness of fit'!B273)^2/'Goodness of fit'!B273,"")</f>
        <v/>
      </c>
      <c r="F273" s="2"/>
      <c r="G273" s="2"/>
    </row>
    <row r="274" spans="1:7" x14ac:dyDescent="0.35">
      <c r="A274">
        <f>'Goodness of fit'!D$6/1000+A273</f>
        <v>4.368000000000003</v>
      </c>
      <c r="B274">
        <f t="shared" si="9"/>
        <v>9.3875493306391708E-2</v>
      </c>
      <c r="C274">
        <f>IF(A274&gt;='Goodness of fit'!$D$3,B274,0)</f>
        <v>9.3875493306391708E-2</v>
      </c>
      <c r="D274" s="2">
        <f t="shared" si="8"/>
        <v>0.22437093541429698</v>
      </c>
      <c r="E274" s="18" t="str">
        <f>IF('Goodness of fit'!B274&gt;0,('Goodness of fit'!A274-'Goodness of fit'!B274)^2/'Goodness of fit'!B274,"")</f>
        <v/>
      </c>
      <c r="F274" s="2"/>
      <c r="G274" s="2"/>
    </row>
    <row r="275" spans="1:7" x14ac:dyDescent="0.35">
      <c r="A275">
        <f>'Goodness of fit'!D$6/1000+A274</f>
        <v>4.384000000000003</v>
      </c>
      <c r="B275">
        <f t="shared" si="9"/>
        <v>9.329789263309711E-2</v>
      </c>
      <c r="C275">
        <f>IF(A275&gt;='Goodness of fit'!$D$3,B275,0)</f>
        <v>9.329789263309711E-2</v>
      </c>
      <c r="D275" s="2">
        <f t="shared" si="8"/>
        <v>0.22287355224584637</v>
      </c>
      <c r="E275" s="18" t="str">
        <f>IF('Goodness of fit'!B275&gt;0,('Goodness of fit'!A275-'Goodness of fit'!B275)^2/'Goodness of fit'!B275,"")</f>
        <v/>
      </c>
      <c r="F275" s="2"/>
      <c r="G275" s="2"/>
    </row>
    <row r="276" spans="1:7" x14ac:dyDescent="0.35">
      <c r="A276">
        <f>'Goodness of fit'!D$6/1000+A275</f>
        <v>4.400000000000003</v>
      </c>
      <c r="B276">
        <f t="shared" si="9"/>
        <v>9.2723228307732719E-2</v>
      </c>
      <c r="C276">
        <f>IF(A276&gt;='Goodness of fit'!$D$3,B276,0)</f>
        <v>9.2723228307732719E-2</v>
      </c>
      <c r="D276" s="2">
        <f t="shared" si="8"/>
        <v>0.22138538718948783</v>
      </c>
      <c r="E276" s="18" t="str">
        <f>IF('Goodness of fit'!B276&gt;0,('Goodness of fit'!A276-'Goodness of fit'!B276)^2/'Goodness of fit'!B276,"")</f>
        <v/>
      </c>
      <c r="F276" s="2"/>
      <c r="G276" s="2"/>
    </row>
    <row r="277" spans="1:7" x14ac:dyDescent="0.35">
      <c r="A277">
        <f>'Goodness of fit'!D$6/1000+A276</f>
        <v>4.416000000000003</v>
      </c>
      <c r="B277">
        <f t="shared" si="9"/>
        <v>9.2151494330249065E-2</v>
      </c>
      <c r="C277">
        <f>IF(A277&gt;='Goodness of fit'!$D$3,B277,0)</f>
        <v>9.2151494330249065E-2</v>
      </c>
      <c r="D277" s="2">
        <f t="shared" si="8"/>
        <v>0.21990639331144984</v>
      </c>
      <c r="E277" s="18" t="str">
        <f>IF('Goodness of fit'!B277&gt;0,('Goodness of fit'!A277-'Goodness of fit'!B277)^2/'Goodness of fit'!B277,"")</f>
        <v/>
      </c>
      <c r="F277" s="2"/>
      <c r="G277" s="2"/>
    </row>
    <row r="278" spans="1:7" x14ac:dyDescent="0.35">
      <c r="A278">
        <f>'Goodness of fit'!D$6/1000+A277</f>
        <v>4.432000000000003</v>
      </c>
      <c r="B278">
        <f t="shared" si="9"/>
        <v>9.1582684548704926E-2</v>
      </c>
      <c r="C278">
        <f>IF(A278&gt;='Goodness of fit'!$D$3,B278,0)</f>
        <v>9.1582684548704926E-2</v>
      </c>
      <c r="D278" s="2">
        <f t="shared" si="8"/>
        <v>0.21843652377518188</v>
      </c>
      <c r="E278" s="18" t="str">
        <f>IF('Goodness of fit'!B278&gt;0,('Goodness of fit'!A278-'Goodness of fit'!B278)^2/'Goodness of fit'!B278,"")</f>
        <v/>
      </c>
      <c r="F278" s="2"/>
      <c r="G278" s="2"/>
    </row>
    <row r="279" spans="1:7" x14ac:dyDescent="0.35">
      <c r="A279">
        <f>'Goodness of fit'!D$6/1000+A278</f>
        <v>4.4480000000000031</v>
      </c>
      <c r="B279">
        <f t="shared" si="9"/>
        <v>9.1016792663087071E-2</v>
      </c>
      <c r="C279">
        <f>IF(A279&gt;='Goodness of fit'!$D$3,B279,0)</f>
        <v>9.1016792663087071E-2</v>
      </c>
      <c r="D279" s="2">
        <f t="shared" si="8"/>
        <v>0.21697573184375407</v>
      </c>
      <c r="E279" s="18" t="str">
        <f>IF('Goodness of fit'!B279&gt;0,('Goodness of fit'!A279-'Goodness of fit'!B279)^2/'Goodness of fit'!B279,"")</f>
        <v/>
      </c>
      <c r="F279" s="2"/>
      <c r="G279" s="2"/>
    </row>
    <row r="280" spans="1:7" x14ac:dyDescent="0.35">
      <c r="A280">
        <f>'Goodness of fit'!D$6/1000+A279</f>
        <v>4.4640000000000031</v>
      </c>
      <c r="B280">
        <f t="shared" si="9"/>
        <v>9.0453812229059266E-2</v>
      </c>
      <c r="C280">
        <f>IF(A280&gt;='Goodness of fit'!$D$3,B280,0)</f>
        <v>9.0453812229059266E-2</v>
      </c>
      <c r="D280" s="2">
        <f t="shared" si="8"/>
        <v>0.21552397088219627</v>
      </c>
      <c r="E280" s="18" t="str">
        <f>IF('Goodness of fit'!B280&gt;0,('Goodness of fit'!A280-'Goodness of fit'!B280)^2/'Goodness of fit'!B280,"")</f>
        <v/>
      </c>
      <c r="F280" s="2"/>
      <c r="G280" s="2"/>
    </row>
    <row r="281" spans="1:7" x14ac:dyDescent="0.35">
      <c r="A281">
        <f>'Goodness of fit'!D$6/1000+A280</f>
        <v>4.4800000000000031</v>
      </c>
      <c r="B281">
        <f t="shared" si="9"/>
        <v>8.9893736661642618E-2</v>
      </c>
      <c r="C281">
        <f>IF(A281&gt;='Goodness of fit'!$D$3,B281,0)</f>
        <v>8.9893736661642618E-2</v>
      </c>
      <c r="D281" s="2">
        <f t="shared" si="8"/>
        <v>0.21408119435977782</v>
      </c>
      <c r="E281" s="18" t="str">
        <f>IF('Goodness of fit'!B281&gt;0,('Goodness of fit'!A281-'Goodness of fit'!B281)^2/'Goodness of fit'!B281,"")</f>
        <v/>
      </c>
      <c r="F281" s="2"/>
      <c r="G281" s="2"/>
    </row>
    <row r="282" spans="1:7" x14ac:dyDescent="0.35">
      <c r="A282">
        <f>'Goodness of fit'!D$6/1000+A281</f>
        <v>4.4960000000000031</v>
      </c>
      <c r="B282">
        <f t="shared" si="9"/>
        <v>8.9336559238827162E-2</v>
      </c>
      <c r="C282">
        <f>IF(A282&gt;='Goodness of fit'!$D$3,B282,0)</f>
        <v>8.9336559238827162E-2</v>
      </c>
      <c r="D282" s="2">
        <f t="shared" si="8"/>
        <v>0.21264735585222874</v>
      </c>
      <c r="E282" s="18" t="str">
        <f>IF('Goodness of fit'!B282&gt;0,('Goodness of fit'!A282-'Goodness of fit'!B282)^2/'Goodness of fit'!B282,"")</f>
        <v/>
      </c>
      <c r="F282" s="2"/>
      <c r="G282" s="2"/>
    </row>
    <row r="283" spans="1:7" x14ac:dyDescent="0.35">
      <c r="A283">
        <f>'Goodness of fit'!D$6/1000+A282</f>
        <v>4.5120000000000031</v>
      </c>
      <c r="B283">
        <f t="shared" si="9"/>
        <v>8.8782273105117618E-2</v>
      </c>
      <c r="C283">
        <f>IF(A283&gt;='Goodness of fit'!$D$3,B283,0)</f>
        <v>8.8782273105117618E-2</v>
      </c>
      <c r="D283" s="2">
        <f t="shared" si="8"/>
        <v>0.21122240904390374</v>
      </c>
      <c r="E283" s="18" t="str">
        <f>IF('Goodness of fit'!B283&gt;0,('Goodness of fit'!A283-'Goodness of fit'!B283)^2/'Goodness of fit'!B283,"")</f>
        <v/>
      </c>
      <c r="F283" s="2"/>
      <c r="G283" s="2"/>
    </row>
    <row r="284" spans="1:7" x14ac:dyDescent="0.35">
      <c r="A284">
        <f>'Goodness of fit'!D$6/1000+A283</f>
        <v>4.5280000000000031</v>
      </c>
      <c r="B284">
        <f t="shared" si="9"/>
        <v>8.8230871275012931E-2</v>
      </c>
      <c r="C284">
        <f>IF(A284&gt;='Goodness of fit'!$D$3,B284,0)</f>
        <v>8.8230871275012931E-2</v>
      </c>
      <c r="D284" s="2">
        <f t="shared" si="8"/>
        <v>0.20980630772989001</v>
      </c>
      <c r="E284" s="18" t="str">
        <f>IF('Goodness of fit'!B284&gt;0,('Goodness of fit'!A284-'Goodness of fit'!B284)^2/'Goodness of fit'!B284,"")</f>
        <v/>
      </c>
      <c r="F284" s="2"/>
      <c r="G284" s="2"/>
    </row>
    <row r="285" spans="1:7" x14ac:dyDescent="0.35">
      <c r="A285">
        <f>'Goodness of fit'!D$6/1000+A284</f>
        <v>4.5440000000000031</v>
      </c>
      <c r="B285">
        <f t="shared" si="9"/>
        <v>8.7682346636421951E-2</v>
      </c>
      <c r="C285">
        <f>IF(A285&gt;='Goodness of fit'!$D$3,B285,0)</f>
        <v>8.7682346636421951E-2</v>
      </c>
      <c r="D285" s="2">
        <f t="shared" si="8"/>
        <v>0.20839900581805998</v>
      </c>
      <c r="E285" s="18" t="str">
        <f>IF('Goodness of fit'!B285&gt;0,('Goodness of fit'!A285-'Goodness of fit'!B285)^2/'Goodness of fit'!B285,"")</f>
        <v/>
      </c>
      <c r="F285" s="2"/>
      <c r="G285" s="2"/>
    </row>
    <row r="286" spans="1:7" x14ac:dyDescent="0.35">
      <c r="A286">
        <f>'Goodness of fit'!D$6/1000+A285</f>
        <v>4.5600000000000032</v>
      </c>
      <c r="B286">
        <f t="shared" si="9"/>
        <v>8.713669195401591E-2</v>
      </c>
      <c r="C286">
        <f>IF(A286&gt;='Goodness of fit'!$D$3,B286,0)</f>
        <v>8.713669195401591E-2</v>
      </c>
      <c r="D286" s="2">
        <f t="shared" si="8"/>
        <v>0.20700045733107011</v>
      </c>
      <c r="E286" s="18" t="str">
        <f>IF('Goodness of fit'!B286&gt;0,('Goodness of fit'!A286-'Goodness of fit'!B286)^2/'Goodness of fit'!B286,"")</f>
        <v/>
      </c>
      <c r="F286" s="2"/>
      <c r="G286" s="2"/>
    </row>
    <row r="287" spans="1:7" x14ac:dyDescent="0.35">
      <c r="A287">
        <f>'Goodness of fit'!D$6/1000+A286</f>
        <v>4.5760000000000032</v>
      </c>
      <c r="B287">
        <f t="shared" si="9"/>
        <v>8.6593899872518823E-2</v>
      </c>
      <c r="C287">
        <f>IF(A287&gt;='Goodness of fit'!$D$3,B287,0)</f>
        <v>8.6593899872518823E-2</v>
      </c>
      <c r="D287" s="2">
        <f t="shared" si="8"/>
        <v>0.20561061640830586</v>
      </c>
      <c r="E287" s="18" t="str">
        <f>IF('Goodness of fit'!B287&gt;0,('Goodness of fit'!A287-'Goodness of fit'!B287)^2/'Goodness of fit'!B287,"")</f>
        <v/>
      </c>
      <c r="F287" s="2"/>
      <c r="G287" s="2"/>
    </row>
    <row r="288" spans="1:7" x14ac:dyDescent="0.35">
      <c r="A288">
        <f>'Goodness of fit'!D$6/1000+A287</f>
        <v>4.5920000000000032</v>
      </c>
      <c r="B288">
        <f t="shared" si="9"/>
        <v>8.6053962919937277E-2</v>
      </c>
      <c r="C288">
        <f>IF(A288&gt;='Goodness of fit'!$D$3,B288,0)</f>
        <v>8.6053962919937277E-2</v>
      </c>
      <c r="D288" s="2">
        <f t="shared" si="8"/>
        <v>0.20422943730777512</v>
      </c>
      <c r="E288" s="18" t="str">
        <f>IF('Goodness of fit'!B288&gt;0,('Goodness of fit'!A288-'Goodness of fit'!B288)^2/'Goodness of fit'!B288,"")</f>
        <v/>
      </c>
      <c r="F288" s="2"/>
      <c r="G288" s="2"/>
    </row>
    <row r="289" spans="1:7" x14ac:dyDescent="0.35">
      <c r="A289">
        <f>'Goodness of fit'!D$6/1000+A288</f>
        <v>4.6080000000000032</v>
      </c>
      <c r="B289">
        <f t="shared" si="9"/>
        <v>8.5516873510730118E-2</v>
      </c>
      <c r="C289">
        <f>IF(A289&gt;='Goodness of fit'!$D$3,B289,0)</f>
        <v>8.5516873510730118E-2</v>
      </c>
      <c r="D289" s="2">
        <f t="shared" si="8"/>
        <v>0.20285687440795031</v>
      </c>
      <c r="E289" s="18" t="str">
        <f>IF('Goodness of fit'!B289&gt;0,('Goodness of fit'!A289-'Goodness of fit'!B289)^2/'Goodness of fit'!B289,"")</f>
        <v/>
      </c>
      <c r="F289" s="2"/>
      <c r="G289" s="2"/>
    </row>
    <row r="290" spans="1:7" x14ac:dyDescent="0.35">
      <c r="A290">
        <f>'Goodness of fit'!D$6/1000+A289</f>
        <v>4.6240000000000032</v>
      </c>
      <c r="B290">
        <f t="shared" si="9"/>
        <v>8.498262394891988E-2</v>
      </c>
      <c r="C290">
        <f>IF(A290&gt;='Goodness of fit'!$D$3,B290,0)</f>
        <v>8.498262394891988E-2</v>
      </c>
      <c r="D290" s="2">
        <f t="shared" si="8"/>
        <v>0.20149288220955991</v>
      </c>
      <c r="E290" s="18" t="str">
        <f>IF('Goodness of fit'!B290&gt;0,('Goodness of fit'!A290-'Goodness of fit'!B290)^2/'Goodness of fit'!B290,"")</f>
        <v/>
      </c>
      <c r="F290" s="2"/>
      <c r="G290" s="2"/>
    </row>
    <row r="291" spans="1:7" x14ac:dyDescent="0.35">
      <c r="A291">
        <f>'Goodness of fit'!D$6/1000+A290</f>
        <v>4.6400000000000032</v>
      </c>
      <c r="B291">
        <f t="shared" si="9"/>
        <v>8.4451206431146383E-2</v>
      </c>
      <c r="C291">
        <f>IF(A291&gt;='Goodness of fit'!$D$3,B291,0)</f>
        <v>8.4451206431146383E-2</v>
      </c>
      <c r="D291" s="2">
        <f t="shared" si="8"/>
        <v>0.20013741533733145</v>
      </c>
      <c r="E291" s="18" t="str">
        <f>IF('Goodness of fit'!B291&gt;0,('Goodness of fit'!A291-'Goodness of fit'!B291)^2/'Goodness of fit'!B291,"")</f>
        <v/>
      </c>
      <c r="F291" s="2"/>
      <c r="G291" s="2"/>
    </row>
    <row r="292" spans="1:7" x14ac:dyDescent="0.35">
      <c r="A292">
        <f>'Goodness of fit'!D$6/1000+A291</f>
        <v>4.6560000000000032</v>
      </c>
      <c r="B292">
        <f t="shared" si="9"/>
        <v>8.3922613049663766E-2</v>
      </c>
      <c r="C292">
        <f>IF(A292&gt;='Goodness of fit'!$D$3,B292,0)</f>
        <v>8.3922613049663766E-2</v>
      </c>
      <c r="D292" s="2">
        <f t="shared" si="8"/>
        <v>0.19879042854168497</v>
      </c>
      <c r="E292" s="18" t="str">
        <f>IF('Goodness of fit'!B292&gt;0,('Goodness of fit'!A292-'Goodness of fit'!B292)^2/'Goodness of fit'!B292,"")</f>
        <v/>
      </c>
      <c r="F292" s="2"/>
      <c r="G292" s="2"/>
    </row>
    <row r="293" spans="1:7" x14ac:dyDescent="0.35">
      <c r="A293">
        <f>'Goodness of fit'!D$6/1000+A292</f>
        <v>4.6720000000000033</v>
      </c>
      <c r="B293">
        <f t="shared" si="9"/>
        <v>8.3396835795282134E-2</v>
      </c>
      <c r="C293">
        <f>IF(A293&gt;='Goodness of fit'!$D$3,B293,0)</f>
        <v>8.3396835795282134E-2</v>
      </c>
      <c r="D293" s="2">
        <f t="shared" si="8"/>
        <v>0.19745187670038011</v>
      </c>
      <c r="E293" s="18" t="str">
        <f>IF('Goodness of fit'!B293&gt;0,('Goodness of fit'!A293-'Goodness of fit'!B293)^2/'Goodness of fit'!B293,"")</f>
        <v/>
      </c>
      <c r="F293" s="2"/>
      <c r="G293" s="2"/>
    </row>
    <row r="294" spans="1:7" x14ac:dyDescent="0.35">
      <c r="A294">
        <f>'Goodness of fit'!D$6/1000+A293</f>
        <v>4.6880000000000033</v>
      </c>
      <c r="B294">
        <f t="shared" si="9"/>
        <v>8.2873866560254514E-2</v>
      </c>
      <c r="C294">
        <f>IF(A294&gt;='Goodness of fit'!$D$3,B294,0)</f>
        <v>8.2873866560254514E-2</v>
      </c>
      <c r="D294" s="2">
        <f t="shared" si="8"/>
        <v>0.1961217148201157</v>
      </c>
      <c r="E294" s="18" t="str">
        <f>IF('Goodness of fit'!B294&gt;0,('Goodness of fit'!A294-'Goodness of fit'!B294)^2/'Goodness of fit'!B294,"")</f>
        <v/>
      </c>
      <c r="F294" s="2"/>
      <c r="G294" s="2"/>
    </row>
    <row r="295" spans="1:7" x14ac:dyDescent="0.35">
      <c r="A295">
        <f>'Goodness of fit'!D$6/1000+A294</f>
        <v>4.7040000000000033</v>
      </c>
      <c r="B295">
        <f t="shared" si="9"/>
        <v>8.2353697141110252E-2</v>
      </c>
      <c r="C295">
        <f>IF(A295&gt;='Goodness of fit'!$D$3,B295,0)</f>
        <v>8.2353697141110252E-2</v>
      </c>
      <c r="D295" s="2">
        <f t="shared" si="8"/>
        <v>0.19479989803808404</v>
      </c>
      <c r="E295" s="18" t="str">
        <f>IF('Goodness of fit'!B295&gt;0,('Goodness of fit'!A295-'Goodness of fit'!B295)^2/'Goodness of fit'!B295,"")</f>
        <v/>
      </c>
      <c r="F295" s="2"/>
      <c r="G295" s="2"/>
    </row>
    <row r="296" spans="1:7" x14ac:dyDescent="0.35">
      <c r="A296">
        <f>'Goodness of fit'!D$6/1000+A295</f>
        <v>4.7200000000000033</v>
      </c>
      <c r="B296">
        <f t="shared" si="9"/>
        <v>8.1836319241435987E-2</v>
      </c>
      <c r="C296">
        <f>IF(A296&gt;='Goodness of fit'!$D$3,B296,0)</f>
        <v>8.1836319241435987E-2</v>
      </c>
      <c r="D296" s="2">
        <f t="shared" si="8"/>
        <v>0.19348638162348028</v>
      </c>
      <c r="E296" s="18" t="str">
        <f>IF('Goodness of fit'!B296&gt;0,('Goodness of fit'!A296-'Goodness of fit'!B296)^2/'Goodness of fit'!B296,"")</f>
        <v/>
      </c>
      <c r="F296" s="2"/>
      <c r="G296" s="2"/>
    </row>
    <row r="297" spans="1:7" x14ac:dyDescent="0.35">
      <c r="A297">
        <f>'Goodness of fit'!D$6/1000+A296</f>
        <v>4.7360000000000033</v>
      </c>
      <c r="B297">
        <f t="shared" si="9"/>
        <v>8.1321724474604742E-2</v>
      </c>
      <c r="C297">
        <f>IF(A297&gt;='Goodness of fit'!$D$3,B297,0)</f>
        <v>8.1321724474604742E-2</v>
      </c>
      <c r="D297" s="2">
        <f t="shared" si="8"/>
        <v>0.19218112097896736</v>
      </c>
      <c r="E297" s="18" t="str">
        <f>IF('Goodness of fit'!B297&gt;0,('Goodness of fit'!A297-'Goodness of fit'!B297)^2/'Goodness of fit'!B297,"")</f>
        <v/>
      </c>
      <c r="F297" s="2"/>
      <c r="G297" s="2"/>
    </row>
    <row r="298" spans="1:7" x14ac:dyDescent="0.35">
      <c r="A298">
        <f>'Goodness of fit'!D$6/1000+A297</f>
        <v>4.7520000000000033</v>
      </c>
      <c r="B298">
        <f t="shared" si="9"/>
        <v>8.0809904366454355E-2</v>
      </c>
      <c r="C298">
        <f>IF(A298&gt;='Goodness of fit'!$D$3,B298,0)</f>
        <v>8.0809904366454355E-2</v>
      </c>
      <c r="D298" s="2">
        <f t="shared" si="8"/>
        <v>0.19088407164209822</v>
      </c>
      <c r="E298" s="18" t="str">
        <f>IF('Goodness of fit'!B298&gt;0,('Goodness of fit'!A298-'Goodness of fit'!B298)^2/'Goodness of fit'!B298,"")</f>
        <v/>
      </c>
      <c r="F298" s="2"/>
      <c r="G298" s="2"/>
    </row>
    <row r="299" spans="1:7" x14ac:dyDescent="0.35">
      <c r="A299">
        <f>'Goodness of fit'!D$6/1000+A298</f>
        <v>4.7680000000000033</v>
      </c>
      <c r="B299">
        <f t="shared" si="9"/>
        <v>8.030085035791612E-2</v>
      </c>
      <c r="C299">
        <f>IF(A299&gt;='Goodness of fit'!$D$3,B299,0)</f>
        <v>8.030085035791612E-2</v>
      </c>
      <c r="D299" s="2">
        <f t="shared" si="8"/>
        <v>0.18959518928669497</v>
      </c>
      <c r="E299" s="18" t="str">
        <f>IF('Goodness of fit'!B299&gt;0,('Goodness of fit'!A299-'Goodness of fit'!B299)^2/'Goodness of fit'!B299,"")</f>
        <v/>
      </c>
      <c r="F299" s="2"/>
      <c r="G299" s="2"/>
    </row>
    <row r="300" spans="1:7" x14ac:dyDescent="0.35">
      <c r="A300">
        <f>'Goodness of fit'!D$6/1000+A299</f>
        <v>4.7840000000000034</v>
      </c>
      <c r="B300">
        <f t="shared" si="9"/>
        <v>7.9794553807594454E-2</v>
      </c>
      <c r="C300">
        <f>IF(A300&gt;='Goodness of fit'!$D$3,B300,0)</f>
        <v>7.9794553807594454E-2</v>
      </c>
      <c r="D300" s="2">
        <f t="shared" si="8"/>
        <v>0.18831442972418691</v>
      </c>
      <c r="E300" s="18" t="str">
        <f>IF('Goodness of fit'!B300&gt;0,('Goodness of fit'!A300-'Goodness of fit'!B300)^2/'Goodness of fit'!B300,"")</f>
        <v/>
      </c>
      <c r="F300" s="2"/>
      <c r="G300" s="2"/>
    </row>
    <row r="301" spans="1:7" x14ac:dyDescent="0.35">
      <c r="A301">
        <f>'Goodness of fit'!D$6/1000+A300</f>
        <v>4.8000000000000034</v>
      </c>
      <c r="B301">
        <f t="shared" si="9"/>
        <v>7.9291005994298447E-2</v>
      </c>
      <c r="C301">
        <f>IF(A301&gt;='Goodness of fit'!$D$3,B301,0)</f>
        <v>7.9291005994298447E-2</v>
      </c>
      <c r="D301" s="2">
        <f t="shared" si="8"/>
        <v>0.18704174890490738</v>
      </c>
      <c r="E301" s="18" t="str">
        <f>IF('Goodness of fit'!B301&gt;0,('Goodness of fit'!A301-'Goodness of fit'!B301)^2/'Goodness of fit'!B301,"")</f>
        <v/>
      </c>
      <c r="F301" s="2"/>
      <c r="G301" s="2"/>
    </row>
    <row r="302" spans="1:7" x14ac:dyDescent="0.35">
      <c r="A302">
        <f>'Goodness of fit'!D$6/1000+A301</f>
        <v>4.8160000000000034</v>
      </c>
      <c r="B302">
        <f t="shared" si="9"/>
        <v>7.8790198119526228E-2</v>
      </c>
      <c r="C302">
        <f>IF(A302&gt;='Goodness of fit'!$D$3,B302,0)</f>
        <v>7.8790198119526228E-2</v>
      </c>
      <c r="D302" s="2">
        <f t="shared" si="8"/>
        <v>0.18577710291935048</v>
      </c>
      <c r="E302" s="18" t="str">
        <f>IF('Goodness of fit'!B302&gt;0,('Goodness of fit'!A302-'Goodness of fit'!B302)^2/'Goodness of fit'!B302,"")</f>
        <v/>
      </c>
      <c r="F302" s="2"/>
      <c r="G302" s="2"/>
    </row>
    <row r="303" spans="1:7" x14ac:dyDescent="0.35">
      <c r="A303">
        <f>'Goodness of fit'!D$6/1000+A302</f>
        <v>4.8320000000000034</v>
      </c>
      <c r="B303">
        <f t="shared" si="9"/>
        <v>7.8292121309902929E-2</v>
      </c>
      <c r="C303">
        <f>IF(A303&gt;='Goodness of fit'!$D$3,B303,0)</f>
        <v>7.8292121309902929E-2</v>
      </c>
      <c r="D303" s="2">
        <f t="shared" si="8"/>
        <v>0.18452044799938885</v>
      </c>
      <c r="E303" s="18" t="str">
        <f>IF('Goodness of fit'!B303&gt;0,('Goodness of fit'!A303-'Goodness of fit'!B303)^2/'Goodness of fit'!B303,"")</f>
        <v/>
      </c>
      <c r="F303" s="2"/>
      <c r="G303" s="2"/>
    </row>
    <row r="304" spans="1:7" x14ac:dyDescent="0.35">
      <c r="A304">
        <f>'Goodness of fit'!D$6/1000+A303</f>
        <v>4.8480000000000034</v>
      </c>
      <c r="B304">
        <f t="shared" si="9"/>
        <v>7.7796766619573104E-2</v>
      </c>
      <c r="C304">
        <f>IF(A304&gt;='Goodness of fit'!$D$3,B304,0)</f>
        <v>7.7796766619573104E-2</v>
      </c>
      <c r="D304" s="2">
        <f t="shared" si="8"/>
        <v>0.18327174051945161</v>
      </c>
      <c r="E304" s="18" t="str">
        <f>IF('Goodness of fit'!B304&gt;0,('Goodness of fit'!A304-'Goodness of fit'!B304)^2/'Goodness of fit'!B304,"")</f>
        <v/>
      </c>
      <c r="F304" s="2"/>
      <c r="G304" s="2"/>
    </row>
    <row r="305" spans="1:7" x14ac:dyDescent="0.35">
      <c r="A305">
        <f>'Goodness of fit'!D$6/1000+A304</f>
        <v>4.8640000000000034</v>
      </c>
      <c r="B305">
        <f t="shared" si="9"/>
        <v>7.7304125032548424E-2</v>
      </c>
      <c r="C305">
        <f>IF(A305&gt;='Goodness of fit'!$D$3,B305,0)</f>
        <v>7.7304125032548424E-2</v>
      </c>
      <c r="D305" s="2">
        <f t="shared" si="8"/>
        <v>0.18203093699766615</v>
      </c>
      <c r="E305" s="18" t="str">
        <f>IF('Goodness of fit'!B305&gt;0,('Goodness of fit'!A305-'Goodness of fit'!B305)^2/'Goodness of fit'!B305,"")</f>
        <v/>
      </c>
      <c r="F305" s="2"/>
      <c r="G305" s="2"/>
    </row>
    <row r="306" spans="1:7" x14ac:dyDescent="0.35">
      <c r="A306">
        <f>'Goodness of fit'!D$6/1000+A305</f>
        <v>4.8800000000000034</v>
      </c>
      <c r="B306">
        <f t="shared" si="9"/>
        <v>7.6814187465011216E-2</v>
      </c>
      <c r="C306">
        <f>IF(A306&gt;='Goodness of fit'!$D$3,B306,0)</f>
        <v>7.6814187465011216E-2</v>
      </c>
      <c r="D306" s="2">
        <f t="shared" si="8"/>
        <v>0.18079799409696115</v>
      </c>
      <c r="E306" s="18" t="str">
        <f>IF('Goodness of fit'!B306&gt;0,('Goodness of fit'!A306-'Goodness of fit'!B306)^2/'Goodness of fit'!B306,"")</f>
        <v/>
      </c>
      <c r="F306" s="2"/>
      <c r="G306" s="2"/>
    </row>
    <row r="307" spans="1:7" x14ac:dyDescent="0.35">
      <c r="A307">
        <f>'Goodness of fit'!D$6/1000+A306</f>
        <v>4.8960000000000035</v>
      </c>
      <c r="B307">
        <f t="shared" si="9"/>
        <v>7.6326944767575108E-2</v>
      </c>
      <c r="C307">
        <f>IF(A307&gt;='Goodness of fit'!$D$3,B307,0)</f>
        <v>7.6326944767575108E-2</v>
      </c>
      <c r="D307" s="2">
        <f t="shared" si="8"/>
        <v>0.179572868626134</v>
      </c>
      <c r="E307" s="18" t="str">
        <f>IF('Goodness of fit'!B307&gt;0,('Goodness of fit'!A307-'Goodness of fit'!B307)^2/'Goodness of fit'!B307,"")</f>
        <v/>
      </c>
      <c r="F307" s="2"/>
      <c r="G307" s="2"/>
    </row>
    <row r="308" spans="1:7" x14ac:dyDescent="0.35">
      <c r="A308">
        <f>'Goodness of fit'!D$6/1000+A307</f>
        <v>4.9120000000000035</v>
      </c>
      <c r="B308">
        <f t="shared" si="9"/>
        <v>7.5842387727502958E-2</v>
      </c>
      <c r="C308">
        <f>IF(A308&gt;='Goodness of fit'!$D$3,B308,0)</f>
        <v>7.5842387727502958E-2</v>
      </c>
      <c r="D308" s="2">
        <f t="shared" si="8"/>
        <v>0.17835551754088194</v>
      </c>
      <c r="E308" s="18" t="str">
        <f>IF('Goodness of fit'!B308&gt;0,('Goodness of fit'!A308-'Goodness of fit'!B308)^2/'Goodness of fit'!B308,"")</f>
        <v/>
      </c>
      <c r="F308" s="2"/>
      <c r="G308" s="2"/>
    </row>
    <row r="309" spans="1:7" x14ac:dyDescent="0.35">
      <c r="A309">
        <f>'Goodness of fit'!D$6/1000+A308</f>
        <v>4.9280000000000035</v>
      </c>
      <c r="B309">
        <f t="shared" si="9"/>
        <v>7.5360507070883306E-2</v>
      </c>
      <c r="C309">
        <f>IF(A309&gt;='Goodness of fit'!$D$3,B309,0)</f>
        <v>7.5360507070883306E-2</v>
      </c>
      <c r="D309" s="2">
        <f t="shared" si="8"/>
        <v>0.17714589794479829</v>
      </c>
      <c r="E309" s="18" t="str">
        <f>IF('Goodness of fit'!B309&gt;0,('Goodness of fit'!A309-'Goodness of fit'!B309)^2/'Goodness of fit'!B309,"")</f>
        <v/>
      </c>
      <c r="F309" s="2"/>
      <c r="G309" s="2"/>
    </row>
    <row r="310" spans="1:7" x14ac:dyDescent="0.35">
      <c r="A310">
        <f>'Goodness of fit'!D$6/1000+A309</f>
        <v>4.9440000000000035</v>
      </c>
      <c r="B310">
        <f t="shared" si="9"/>
        <v>7.4881293464765727E-2</v>
      </c>
      <c r="C310">
        <f>IF(A310&gt;='Goodness of fit'!$D$3,B310,0)</f>
        <v>7.4881293464765727E-2</v>
      </c>
      <c r="D310" s="2">
        <f t="shared" si="8"/>
        <v>0.17594396709033419</v>
      </c>
      <c r="E310" s="18" t="str">
        <f>IF('Goodness of fit'!B310&gt;0,('Goodness of fit'!A310-'Goodness of fit'!B310)^2/'Goodness of fit'!B310,"")</f>
        <v/>
      </c>
      <c r="F310" s="2"/>
      <c r="G310" s="2"/>
    </row>
    <row r="311" spans="1:7" x14ac:dyDescent="0.35">
      <c r="A311">
        <f>'Goodness of fit'!D$6/1000+A310</f>
        <v>4.9600000000000035</v>
      </c>
      <c r="B311">
        <f t="shared" si="9"/>
        <v>7.4404737519256067E-2</v>
      </c>
      <c r="C311">
        <f>IF(A311&gt;='Goodness of fit'!$D$3,B311,0)</f>
        <v>7.4404737519256067E-2</v>
      </c>
      <c r="D311" s="2">
        <f t="shared" si="8"/>
        <v>0.17474968237972616</v>
      </c>
      <c r="E311" s="18" t="str">
        <f>IF('Goodness of fit'!B311&gt;0,('Goodness of fit'!A311-'Goodness of fit'!B311)^2/'Goodness of fit'!B311,"")</f>
        <v/>
      </c>
      <c r="F311" s="2"/>
      <c r="G311" s="2"/>
    </row>
    <row r="312" spans="1:7" x14ac:dyDescent="0.35">
      <c r="A312">
        <f>'Goodness of fit'!D$6/1000+A311</f>
        <v>4.9760000000000035</v>
      </c>
      <c r="B312">
        <f t="shared" si="9"/>
        <v>7.3930829789571995E-2</v>
      </c>
      <c r="C312">
        <f>IF(A312&gt;='Goodness of fit'!$D$3,B312,0)</f>
        <v>7.3930829789571995E-2</v>
      </c>
      <c r="D312" s="2">
        <f t="shared" si="8"/>
        <v>0.17356300136589095</v>
      </c>
      <c r="E312" s="18" t="str">
        <f>IF('Goodness of fit'!B312&gt;0,('Goodness of fit'!A312-'Goodness of fit'!B312)^2/'Goodness of fit'!B312,"")</f>
        <v/>
      </c>
      <c r="F312" s="2"/>
      <c r="G312" s="2"/>
    </row>
    <row r="313" spans="1:7" x14ac:dyDescent="0.35">
      <c r="A313">
        <f>'Goodness of fit'!D$6/1000+A312</f>
        <v>4.9920000000000035</v>
      </c>
      <c r="B313">
        <f t="shared" si="9"/>
        <v>7.3459560778059929E-2</v>
      </c>
      <c r="C313">
        <f>IF(A313&gt;='Goodness of fit'!$D$3,B313,0)</f>
        <v>7.3459560778059929E-2</v>
      </c>
      <c r="D313" s="2">
        <f t="shared" si="8"/>
        <v>0.17238388175328723</v>
      </c>
      <c r="E313" s="18" t="str">
        <f>IF('Goodness of fit'!B313&gt;0,('Goodness of fit'!A313-'Goodness of fit'!B313)^2/'Goodness of fit'!B313,"")</f>
        <v/>
      </c>
      <c r="F313" s="2"/>
      <c r="G313" s="2"/>
    </row>
    <row r="314" spans="1:7" x14ac:dyDescent="0.35">
      <c r="A314">
        <f>'Goodness of fit'!D$6/1000+A313</f>
        <v>5.0080000000000036</v>
      </c>
      <c r="B314">
        <f t="shared" si="9"/>
        <v>7.2990920936173626E-2</v>
      </c>
      <c r="C314">
        <f>IF(A314&gt;='Goodness of fit'!$D$3,B314,0)</f>
        <v>7.2990920936173626E-2</v>
      </c>
      <c r="D314" s="2">
        <f t="shared" si="8"/>
        <v>0.17121228139874631</v>
      </c>
      <c r="E314" s="18" t="str">
        <f>IF('Goodness of fit'!B314&gt;0,('Goodness of fit'!A314-'Goodness of fit'!B314)^2/'Goodness of fit'!B314,"")</f>
        <v/>
      </c>
      <c r="F314" s="2"/>
      <c r="G314" s="2"/>
    </row>
    <row r="315" spans="1:7" x14ac:dyDescent="0.35">
      <c r="A315">
        <f>'Goodness of fit'!D$6/1000+A314</f>
        <v>5.0240000000000036</v>
      </c>
      <c r="B315">
        <f t="shared" si="9"/>
        <v>7.2524900666415301E-2</v>
      </c>
      <c r="C315">
        <f>IF(A315&gt;='Goodness of fit'!$D$3,B315,0)</f>
        <v>7.2524900666415301E-2</v>
      </c>
      <c r="D315" s="2">
        <f t="shared" si="8"/>
        <v>0.17004815831226994</v>
      </c>
      <c r="E315" s="18" t="str">
        <f>IF('Goodness of fit'!B315&gt;0,('Goodness of fit'!A315-'Goodness of fit'!B315)^2/'Goodness of fit'!B315,"")</f>
        <v/>
      </c>
      <c r="F315" s="2"/>
      <c r="G315" s="2"/>
    </row>
    <row r="316" spans="1:7" x14ac:dyDescent="0.35">
      <c r="A316">
        <f>'Goodness of fit'!D$6/1000+A315</f>
        <v>5.0400000000000036</v>
      </c>
      <c r="B316">
        <f t="shared" si="9"/>
        <v>7.2061490324240113E-2</v>
      </c>
      <c r="C316">
        <f>IF(A316&gt;='Goodness of fit'!$D$3,B316,0)</f>
        <v>7.2061490324240113E-2</v>
      </c>
      <c r="D316" s="2">
        <f t="shared" si="8"/>
        <v>0.16889147065779919</v>
      </c>
      <c r="E316" s="18" t="str">
        <f>IF('Goodness of fit'!B316&gt;0,('Goodness of fit'!A316-'Goodness of fit'!B316)^2/'Goodness of fit'!B316,"")</f>
        <v/>
      </c>
      <c r="F316" s="2"/>
      <c r="G316" s="2"/>
    </row>
    <row r="317" spans="1:7" x14ac:dyDescent="0.35">
      <c r="A317">
        <f>'Goodness of fit'!D$6/1000+A316</f>
        <v>5.0560000000000036</v>
      </c>
      <c r="B317">
        <f t="shared" si="9"/>
        <v>7.1600680219924051E-2</v>
      </c>
      <c r="C317">
        <f>IF(A317&gt;='Goodness of fit'!$D$3,B317,0)</f>
        <v>7.1600680219924051E-2</v>
      </c>
      <c r="D317" s="2">
        <f t="shared" si="8"/>
        <v>0.16774217675395131</v>
      </c>
      <c r="E317" s="18" t="str">
        <f>IF('Goodness of fit'!B317&gt;0,('Goodness of fit'!A317-'Goodness of fit'!B317)^2/'Goodness of fit'!B317,"")</f>
        <v/>
      </c>
      <c r="F317" s="2"/>
      <c r="G317" s="2"/>
    </row>
    <row r="318" spans="1:7" x14ac:dyDescent="0.35">
      <c r="A318">
        <f>'Goodness of fit'!D$6/1000+A317</f>
        <v>5.0720000000000036</v>
      </c>
      <c r="B318">
        <f t="shared" si="9"/>
        <v>7.1142460620396725E-2</v>
      </c>
      <c r="C318">
        <f>IF(A318&gt;='Goodness of fit'!$D$3,B318,0)</f>
        <v>7.1142460620396725E-2</v>
      </c>
      <c r="D318" s="2">
        <f t="shared" si="8"/>
        <v>0.16660023507472863</v>
      </c>
      <c r="E318" s="18" t="str">
        <f>IF('Goodness of fit'!B318&gt;0,('Goodness of fit'!A318-'Goodness of fit'!B318)^2/'Goodness of fit'!B318,"")</f>
        <v/>
      </c>
      <c r="F318" s="2"/>
      <c r="G318" s="2"/>
    </row>
    <row r="319" spans="1:7" x14ac:dyDescent="0.35">
      <c r="A319">
        <f>'Goodness of fit'!D$6/1000+A318</f>
        <v>5.0880000000000036</v>
      </c>
      <c r="B319">
        <f t="shared" si="9"/>
        <v>7.0686821751038867E-2</v>
      </c>
      <c r="C319">
        <f>IF(A319&gt;='Goodness of fit'!$D$3,B319,0)</f>
        <v>7.0686821751038867E-2</v>
      </c>
      <c r="D319" s="2">
        <f t="shared" si="8"/>
        <v>0.1654656042501973</v>
      </c>
      <c r="E319" s="18" t="str">
        <f>IF('Goodness of fit'!B319&gt;0,('Goodness of fit'!A319-'Goodness of fit'!B319)^2/'Goodness of fit'!B319,"")</f>
        <v/>
      </c>
      <c r="F319" s="2"/>
      <c r="G319" s="2"/>
    </row>
    <row r="320" spans="1:7" x14ac:dyDescent="0.35">
      <c r="A320">
        <f>'Goodness of fit'!D$6/1000+A319</f>
        <v>5.1040000000000036</v>
      </c>
      <c r="B320">
        <f t="shared" si="9"/>
        <v>7.0233753797445661E-2</v>
      </c>
      <c r="C320">
        <f>IF(A320&gt;='Goodness of fit'!$D$3,B320,0)</f>
        <v>7.0233753797445661E-2</v>
      </c>
      <c r="D320" s="2">
        <f t="shared" si="8"/>
        <v>0.16433824306713793</v>
      </c>
      <c r="E320" s="18" t="str">
        <f>IF('Goodness of fit'!B320&gt;0,('Goodness of fit'!A320-'Goodness of fit'!B320)^2/'Goodness of fit'!B320,"")</f>
        <v/>
      </c>
      <c r="F320" s="2"/>
      <c r="G320" s="2"/>
    </row>
    <row r="321" spans="1:7" x14ac:dyDescent="0.35">
      <c r="A321">
        <f>'Goodness of fit'!D$6/1000+A320</f>
        <v>5.1200000000000037</v>
      </c>
      <c r="B321">
        <f t="shared" si="9"/>
        <v>6.9783246907156204E-2</v>
      </c>
      <c r="C321">
        <f>IF(A321&gt;='Goodness of fit'!$D$3,B321,0)</f>
        <v>6.9783246907156204E-2</v>
      </c>
      <c r="D321" s="2">
        <f t="shared" si="8"/>
        <v>0.16321811046966828</v>
      </c>
      <c r="E321" s="18" t="str">
        <f>IF('Goodness of fit'!B321&gt;0,('Goodness of fit'!A321-'Goodness of fit'!B321)^2/'Goodness of fit'!B321,"")</f>
        <v/>
      </c>
      <c r="F321" s="2"/>
      <c r="G321" s="2"/>
    </row>
    <row r="322" spans="1:7" x14ac:dyDescent="0.35">
      <c r="A322">
        <f>'Goodness of fit'!D$6/1000+A321</f>
        <v>5.1360000000000037</v>
      </c>
      <c r="B322">
        <f t="shared" si="9"/>
        <v>6.933529119135004E-2</v>
      </c>
      <c r="C322">
        <f>IF(A322&gt;='Goodness of fit'!$D$3,B322,0)</f>
        <v>6.933529119135004E-2</v>
      </c>
      <c r="D322" s="2">
        <f t="shared" ref="D322:D385" si="10">CHIDIST(A322,F$1)</f>
        <v>0.16210516555983884</v>
      </c>
      <c r="E322" s="18" t="str">
        <f>IF('Goodness of fit'!B322&gt;0,('Goodness of fit'!A322-'Goodness of fit'!B322)^2/'Goodness of fit'!B322,"")</f>
        <v/>
      </c>
      <c r="F322" s="2"/>
      <c r="G322" s="2"/>
    </row>
    <row r="323" spans="1:7" x14ac:dyDescent="0.35">
      <c r="A323">
        <f>'Goodness of fit'!D$6/1000+A322</f>
        <v>5.1520000000000037</v>
      </c>
      <c r="B323">
        <f t="shared" ref="B323:B386" si="11">_xlfn.CHISQ.DIST(A323,F$1,FALSE)</f>
        <v>6.8889876726510785E-2</v>
      </c>
      <c r="C323">
        <f>IF(A323&gt;='Goodness of fit'!$D$3,B323,0)</f>
        <v>6.8889876726510785E-2</v>
      </c>
      <c r="D323" s="2">
        <f t="shared" si="10"/>
        <v>0.16099936759820072</v>
      </c>
      <c r="E323" s="18" t="str">
        <f>IF('Goodness of fit'!B323&gt;0,('Goodness of fit'!A323-'Goodness of fit'!B323)^2/'Goodness of fit'!B323,"")</f>
        <v/>
      </c>
      <c r="F323" s="2"/>
      <c r="G323" s="2"/>
    </row>
    <row r="324" spans="1:7" x14ac:dyDescent="0.35">
      <c r="A324">
        <f>'Goodness of fit'!D$6/1000+A323</f>
        <v>5.1680000000000037</v>
      </c>
      <c r="B324">
        <f t="shared" si="11"/>
        <v>6.8446993556058086E-2</v>
      </c>
      <c r="C324">
        <f>IF(A324&gt;='Goodness of fit'!$D$3,B324,0)</f>
        <v>6.8446993556058086E-2</v>
      </c>
      <c r="D324" s="2">
        <f t="shared" si="10"/>
        <v>0.15990067600434818</v>
      </c>
      <c r="E324" s="18" t="str">
        <f>IF('Goodness of fit'!B324&gt;0,('Goodness of fit'!A324-'Goodness of fit'!B324)^2/'Goodness of fit'!B324,"")</f>
        <v/>
      </c>
      <c r="F324" s="2"/>
      <c r="G324" s="2"/>
    </row>
    <row r="325" spans="1:7" x14ac:dyDescent="0.35">
      <c r="A325">
        <f>'Goodness of fit'!D$6/1000+A324</f>
        <v>5.1840000000000037</v>
      </c>
      <c r="B325">
        <f t="shared" si="11"/>
        <v>6.8006631691947803E-2</v>
      </c>
      <c r="C325">
        <f>IF(A325&gt;='Goodness of fit'!$D$3,B325,0)</f>
        <v>6.8006631691947803E-2</v>
      </c>
      <c r="D325" s="2">
        <f t="shared" si="10"/>
        <v>0.15880905035743437</v>
      </c>
      <c r="E325" s="18" t="str">
        <f>IF('Goodness of fit'!B325&gt;0,('Goodness of fit'!A325-'Goodness of fit'!B325)^2/'Goodness of fit'!B325,"")</f>
        <v/>
      </c>
      <c r="F325" s="2"/>
      <c r="G325" s="2"/>
    </row>
    <row r="326" spans="1:7" x14ac:dyDescent="0.35">
      <c r="A326">
        <f>'Goodness of fit'!D$6/1000+A325</f>
        <v>5.2000000000000037</v>
      </c>
      <c r="B326">
        <f t="shared" si="11"/>
        <v>6.7568781116241525E-2</v>
      </c>
      <c r="C326">
        <f>IF(A326&gt;='Goodness of fit'!$D$3,B326,0)</f>
        <v>6.7568781116241525E-2</v>
      </c>
      <c r="D326" s="2">
        <f t="shared" si="10"/>
        <v>0.15772445039666261</v>
      </c>
      <c r="E326" s="18" t="str">
        <f>IF('Goodness of fit'!B326&gt;0,('Goodness of fit'!A326-'Goodness of fit'!B326)^2/'Goodness of fit'!B326,"")</f>
        <v/>
      </c>
      <c r="F326" s="2"/>
      <c r="G326" s="2"/>
    </row>
    <row r="327" spans="1:7" x14ac:dyDescent="0.35">
      <c r="A327">
        <f>'Goodness of fit'!D$6/1000+A326</f>
        <v>5.2160000000000037</v>
      </c>
      <c r="B327">
        <f t="shared" si="11"/>
        <v>6.7133431782645511E-2</v>
      </c>
      <c r="C327">
        <f>IF(A327&gt;='Goodness of fit'!$D$3,B327,0)</f>
        <v>6.7133431782645511E-2</v>
      </c>
      <c r="D327" s="2">
        <f t="shared" si="10"/>
        <v>0.156646836021752</v>
      </c>
      <c r="E327" s="18" t="str">
        <f>IF('Goodness of fit'!B327&gt;0,('Goodness of fit'!A327-'Goodness of fit'!B327)^2/'Goodness of fit'!B327,"")</f>
        <v/>
      </c>
      <c r="F327" s="2"/>
      <c r="G327" s="2"/>
    </row>
    <row r="328" spans="1:7" x14ac:dyDescent="0.35">
      <c r="A328">
        <f>'Goodness of fit'!D$6/1000+A327</f>
        <v>5.2320000000000038</v>
      </c>
      <c r="B328">
        <f t="shared" si="11"/>
        <v>6.6700573618019898E-2</v>
      </c>
      <c r="C328">
        <f>IF(A328&gt;='Goodness of fit'!$D$3,B328,0)</f>
        <v>6.6700573618019898E-2</v>
      </c>
      <c r="D328" s="2">
        <f t="shared" si="10"/>
        <v>0.15557616729337898</v>
      </c>
      <c r="E328" s="18" t="str">
        <f>IF('Goodness of fit'!B328&gt;0,('Goodness of fit'!A328-'Goodness of fit'!B328)^2/'Goodness of fit'!B328,"")</f>
        <v/>
      </c>
      <c r="F328" s="2"/>
      <c r="G328" s="2"/>
    </row>
    <row r="329" spans="1:7" x14ac:dyDescent="0.35">
      <c r="A329">
        <f>'Goodness of fit'!D$6/1000+A328</f>
        <v>5.2480000000000038</v>
      </c>
      <c r="B329">
        <f t="shared" si="11"/>
        <v>6.6270196523858543E-2</v>
      </c>
      <c r="C329">
        <f>IF(A329&gt;='Goodness of fit'!$D$3,B329,0)</f>
        <v>6.6270196523858543E-2</v>
      </c>
      <c r="D329" s="2">
        <f t="shared" si="10"/>
        <v>0.15451240443359526</v>
      </c>
      <c r="E329" s="18" t="str">
        <f>IF('Goodness of fit'!B329&gt;0,('Goodness of fit'!A329-'Goodness of fit'!B329)^2/'Goodness of fit'!B329,"")</f>
        <v/>
      </c>
      <c r="F329" s="2"/>
      <c r="G329" s="2"/>
    </row>
    <row r="330" spans="1:7" x14ac:dyDescent="0.35">
      <c r="A330">
        <f>'Goodness of fit'!D$6/1000+A329</f>
        <v>5.2640000000000038</v>
      </c>
      <c r="B330">
        <f t="shared" si="11"/>
        <v>6.584229037773992E-2</v>
      </c>
      <c r="C330">
        <f>IF(A330&gt;='Goodness of fit'!$D$3,B330,0)</f>
        <v>6.584229037773992E-2</v>
      </c>
      <c r="D330" s="2">
        <f t="shared" si="10"/>
        <v>0.15345550782622194</v>
      </c>
      <c r="E330" s="18" t="str">
        <f>IF('Goodness of fit'!B330&gt;0,('Goodness of fit'!A330-'Goodness of fit'!B330)^2/'Goodness of fit'!B330,"")</f>
        <v/>
      </c>
      <c r="F330" s="2"/>
      <c r="G330" s="2"/>
    </row>
    <row r="331" spans="1:7" x14ac:dyDescent="0.35">
      <c r="A331">
        <f>'Goodness of fit'!D$6/1000+A330</f>
        <v>5.2800000000000038</v>
      </c>
      <c r="B331">
        <f t="shared" si="11"/>
        <v>6.5416845034749843E-2</v>
      </c>
      <c r="C331">
        <f>IF(A331&gt;='Goodness of fit'!$D$3,B331,0)</f>
        <v>6.5416845034749843E-2</v>
      </c>
      <c r="D331" s="2">
        <f t="shared" si="10"/>
        <v>0.15240543801722051</v>
      </c>
      <c r="E331" s="18" t="str">
        <f>IF('Goodness of fit'!B331&gt;0,('Goodness of fit'!A331-'Goodness of fit'!B331)^2/'Goodness of fit'!B331,"")</f>
        <v/>
      </c>
      <c r="F331" s="2"/>
      <c r="G331" s="2"/>
    </row>
    <row r="332" spans="1:7" x14ac:dyDescent="0.35">
      <c r="A332">
        <f>'Goodness of fit'!D$6/1000+A331</f>
        <v>5.2960000000000038</v>
      </c>
      <c r="B332">
        <f t="shared" si="11"/>
        <v>6.4993850328876224E-2</v>
      </c>
      <c r="C332">
        <f>IF(A332&gt;='Goodness of fit'!$D$3,B332,0)</f>
        <v>6.4993850328876224E-2</v>
      </c>
      <c r="D332" s="2">
        <f t="shared" si="10"/>
        <v>0.15136215571504183</v>
      </c>
      <c r="E332" s="18" t="str">
        <f>IF('Goodness of fit'!B332&gt;0,('Goodness of fit'!A332-'Goodness of fit'!B332)^2/'Goodness of fit'!B332,"")</f>
        <v/>
      </c>
      <c r="F332" s="2"/>
      <c r="G332" s="2"/>
    </row>
    <row r="333" spans="1:7" x14ac:dyDescent="0.35">
      <c r="A333">
        <f>'Goodness of fit'!D$6/1000+A332</f>
        <v>5.3120000000000038</v>
      </c>
      <c r="B333">
        <f t="shared" si="11"/>
        <v>6.4573296074376479E-2</v>
      </c>
      <c r="C333">
        <f>IF(A333&gt;='Goodness of fit'!$D$3,B333,0)</f>
        <v>6.4573296074376479E-2</v>
      </c>
      <c r="D333" s="2">
        <f t="shared" si="10"/>
        <v>0.15032562179095252</v>
      </c>
      <c r="E333" s="18" t="str">
        <f>IF('Goodness of fit'!B333&gt;0,('Goodness of fit'!A333-'Goodness of fit'!B333)^2/'Goodness of fit'!B333,"")</f>
        <v/>
      </c>
      <c r="F333" s="2"/>
      <c r="G333" s="2"/>
    </row>
    <row r="334" spans="1:7" x14ac:dyDescent="0.35">
      <c r="A334">
        <f>'Goodness of fit'!D$6/1000+A333</f>
        <v>5.3280000000000038</v>
      </c>
      <c r="B334">
        <f t="shared" si="11"/>
        <v>6.4155172067118058E-2</v>
      </c>
      <c r="C334">
        <f>IF(A334&gt;='Goodness of fit'!$D$3,B334,0)</f>
        <v>6.4155172067118058E-2</v>
      </c>
      <c r="D334" s="2">
        <f t="shared" si="10"/>
        <v>0.14929579727934011</v>
      </c>
      <c r="E334" s="18" t="str">
        <f>IF('Goodness of fit'!B334&gt;0,('Goodness of fit'!A334-'Goodness of fit'!B334)^2/'Goodness of fit'!B334,"")</f>
        <v/>
      </c>
      <c r="F334" s="2"/>
      <c r="G334" s="2"/>
    </row>
    <row r="335" spans="1:7" x14ac:dyDescent="0.35">
      <c r="A335">
        <f>'Goodness of fit'!D$6/1000+A334</f>
        <v>5.3440000000000039</v>
      </c>
      <c r="B335">
        <f t="shared" si="11"/>
        <v>6.3739468085892509E-2</v>
      </c>
      <c r="C335">
        <f>IF(A335&gt;='Goodness of fit'!$D$3,B335,0)</f>
        <v>6.3739468085892509E-2</v>
      </c>
      <c r="D335" s="2">
        <f t="shared" si="10"/>
        <v>0.14827264337799642</v>
      </c>
      <c r="E335" s="18" t="str">
        <f>IF('Goodness of fit'!B335&gt;0,('Goodness of fit'!A335-'Goodness of fit'!B335)^2/'Goodness of fit'!B335,"")</f>
        <v/>
      </c>
      <c r="F335" s="2"/>
      <c r="G335" s="2"/>
    </row>
    <row r="336" spans="1:7" x14ac:dyDescent="0.35">
      <c r="A336">
        <f>'Goodness of fit'!D$6/1000+A335</f>
        <v>5.3600000000000039</v>
      </c>
      <c r="B336">
        <f t="shared" si="11"/>
        <v>6.3326173893703569E-2</v>
      </c>
      <c r="C336">
        <f>IF(A336&gt;='Goodness of fit'!$D$3,B336,0)</f>
        <v>6.3326173893703569E-2</v>
      </c>
      <c r="D336" s="2">
        <f t="shared" si="10"/>
        <v>0.14725612144838071</v>
      </c>
      <c r="E336" s="18" t="str">
        <f>IF('Goodness of fit'!B336&gt;0,('Goodness of fit'!A336-'Goodness of fit'!B336)^2/'Goodness of fit'!B336,"")</f>
        <v/>
      </c>
      <c r="F336" s="2"/>
      <c r="G336" s="2"/>
    </row>
    <row r="337" spans="1:7" x14ac:dyDescent="0.35">
      <c r="A337">
        <f>'Goodness of fit'!D$6/1000+A336</f>
        <v>5.3760000000000039</v>
      </c>
      <c r="B337">
        <f t="shared" si="11"/>
        <v>6.2915279239029676E-2</v>
      </c>
      <c r="C337">
        <f>IF(A337&gt;='Goodness of fit'!$D$3,B337,0)</f>
        <v>6.2915279239029676E-2</v>
      </c>
      <c r="D337" s="2">
        <f t="shared" si="10"/>
        <v>0.14624619301586217</v>
      </c>
      <c r="E337" s="18" t="str">
        <f>IF('Goodness of fit'!B337&gt;0,('Goodness of fit'!A337-'Goodness of fit'!B337)^2/'Goodness of fit'!B337,"")</f>
        <v/>
      </c>
      <c r="F337" s="2"/>
      <c r="G337" s="2"/>
    </row>
    <row r="338" spans="1:7" x14ac:dyDescent="0.35">
      <c r="A338">
        <f>'Goodness of fit'!D$6/1000+A337</f>
        <v>5.3920000000000039</v>
      </c>
      <c r="B338">
        <f t="shared" si="11"/>
        <v>6.2506773857061493E-2</v>
      </c>
      <c r="C338">
        <f>IF(A338&gt;='Goodness of fit'!$D$3,B338,0)</f>
        <v>6.2506773857061493E-2</v>
      </c>
      <c r="D338" s="2">
        <f t="shared" si="10"/>
        <v>0.14524281976994194</v>
      </c>
      <c r="E338" s="18" t="str">
        <f>IF('Goodness of fit'!B338&gt;0,('Goodness of fit'!A338-'Goodness of fit'!B338)^2/'Goodness of fit'!B338,"")</f>
        <v/>
      </c>
      <c r="F338" s="2"/>
      <c r="G338" s="2"/>
    </row>
    <row r="339" spans="1:7" x14ac:dyDescent="0.35">
      <c r="A339">
        <f>'Goodness of fit'!D$6/1000+A338</f>
        <v>5.4080000000000039</v>
      </c>
      <c r="B339">
        <f t="shared" si="11"/>
        <v>6.2100647470914587E-2</v>
      </c>
      <c r="C339">
        <f>IF(A339&gt;='Goodness of fit'!$D$3,B339,0)</f>
        <v>6.2100647470914587E-2</v>
      </c>
      <c r="D339" s="2">
        <f t="shared" si="10"/>
        <v>0.14424596356445654</v>
      </c>
      <c r="E339" s="18" t="str">
        <f>IF('Goodness of fit'!B339&gt;0,('Goodness of fit'!A339-'Goodness of fit'!B339)^2/'Goodness of fit'!B339,"")</f>
        <v/>
      </c>
      <c r="F339" s="2"/>
      <c r="G339" s="2"/>
    </row>
    <row r="340" spans="1:7" x14ac:dyDescent="0.35">
      <c r="A340">
        <f>'Goodness of fit'!D$6/1000+A339</f>
        <v>5.4240000000000039</v>
      </c>
      <c r="B340">
        <f t="shared" si="11"/>
        <v>6.1696889792818017E-2</v>
      </c>
      <c r="C340">
        <f>IF(A340&gt;='Goodness of fit'!$D$3,B340,0)</f>
        <v>6.1696889792818017E-2</v>
      </c>
      <c r="D340" s="2">
        <f t="shared" si="10"/>
        <v>0.14325558641776129</v>
      </c>
      <c r="E340" s="18" t="str">
        <f>IF('Goodness of fit'!B340&gt;0,('Goodness of fit'!A340-'Goodness of fit'!B340)^2/'Goodness of fit'!B340,"")</f>
        <v/>
      </c>
      <c r="F340" s="2"/>
      <c r="G340" s="2"/>
    </row>
    <row r="341" spans="1:7" x14ac:dyDescent="0.35">
      <c r="A341">
        <f>'Goodness of fit'!D$6/1000+A340</f>
        <v>5.4400000000000039</v>
      </c>
      <c r="B341">
        <f t="shared" si="11"/>
        <v>6.1295490525279071E-2</v>
      </c>
      <c r="C341">
        <f>IF(A341&gt;='Goodness of fit'!$D$3,B341,0)</f>
        <v>6.1295490525279071E-2</v>
      </c>
      <c r="D341" s="2">
        <f t="shared" si="10"/>
        <v>0.14227165051289517</v>
      </c>
      <c r="E341" s="18" t="str">
        <f>IF('Goodness of fit'!B341&gt;0,('Goodness of fit'!A341-'Goodness of fit'!B341)^2/'Goodness of fit'!B341,"")</f>
        <v/>
      </c>
      <c r="F341" s="2"/>
      <c r="G341" s="2"/>
    </row>
    <row r="342" spans="1:7" x14ac:dyDescent="0.35">
      <c r="A342">
        <f>'Goodness of fit'!D$6/1000+A341</f>
        <v>5.456000000000004</v>
      </c>
      <c r="B342">
        <f t="shared" si="11"/>
        <v>6.0896439362224386E-2</v>
      </c>
      <c r="C342">
        <f>IF(A342&gt;='Goodness of fit'!$D$3,B342,0)</f>
        <v>6.0896439362224386E-2</v>
      </c>
      <c r="D342" s="2">
        <f t="shared" si="10"/>
        <v>0.14129411819772714</v>
      </c>
      <c r="E342" s="18" t="str">
        <f>IF('Goodness of fit'!B342&gt;0,('Goodness of fit'!A342-'Goodness of fit'!B342)^2/'Goodness of fit'!B342,"")</f>
        <v/>
      </c>
      <c r="F342" s="2"/>
      <c r="G342" s="2"/>
    </row>
    <row r="343" spans="1:7" x14ac:dyDescent="0.35">
      <c r="A343">
        <f>'Goodness of fit'!D$6/1000+A342</f>
        <v>5.472000000000004</v>
      </c>
      <c r="B343">
        <f t="shared" si="11"/>
        <v>6.0499725990118436E-2</v>
      </c>
      <c r="C343">
        <f>IF(A343&gt;='Goodness of fit'!$D$3,B343,0)</f>
        <v>6.0499725990118436E-2</v>
      </c>
      <c r="D343" s="2">
        <f t="shared" si="10"/>
        <v>0.14032295198508449</v>
      </c>
      <c r="E343" s="18" t="str">
        <f>IF('Goodness of fit'!B343&gt;0,('Goodness of fit'!A343-'Goodness of fit'!B343)^2/'Goodness of fit'!B343,"")</f>
        <v/>
      </c>
      <c r="F343" s="2"/>
      <c r="G343" s="2"/>
    </row>
    <row r="344" spans="1:7" x14ac:dyDescent="0.35">
      <c r="A344">
        <f>'Goodness of fit'!D$6/1000+A343</f>
        <v>5.488000000000004</v>
      </c>
      <c r="B344">
        <f t="shared" si="11"/>
        <v>6.0105340089058872E-2</v>
      </c>
      <c r="C344">
        <f>IF(A344&gt;='Goodness of fit'!$D$3,B344,0)</f>
        <v>6.0105340089058872E-2</v>
      </c>
      <c r="D344" s="2">
        <f t="shared" si="10"/>
        <v>0.13935811455286345</v>
      </c>
      <c r="E344" s="18" t="str">
        <f>IF('Goodness of fit'!B344&gt;0,('Goodness of fit'!A344-'Goodness of fit'!B344)^2/'Goodness of fit'!B344,"")</f>
        <v/>
      </c>
      <c r="F344" s="2"/>
      <c r="G344" s="2"/>
    </row>
    <row r="345" spans="1:7" x14ac:dyDescent="0.35">
      <c r="A345">
        <f>'Goodness of fit'!D$6/1000+A344</f>
        <v>5.504000000000004</v>
      </c>
      <c r="B345">
        <f t="shared" si="11"/>
        <v>5.9713271333850182E-2</v>
      </c>
      <c r="C345">
        <f>IF(A345&gt;='Goodness of fit'!$D$3,B345,0)</f>
        <v>5.9713271333850182E-2</v>
      </c>
      <c r="D345" s="2">
        <f t="shared" si="10"/>
        <v>0.13839956874412263</v>
      </c>
      <c r="E345" s="18" t="str">
        <f>IF('Goodness of fit'!B345&gt;0,('Goodness of fit'!A345-'Goodness of fit'!B345)^2/'Goodness of fit'!B345,"")</f>
        <v/>
      </c>
      <c r="F345" s="2"/>
      <c r="G345" s="2"/>
    </row>
    <row r="346" spans="1:7" x14ac:dyDescent="0.35">
      <c r="A346">
        <f>'Goodness of fit'!D$6/1000+A345</f>
        <v>5.520000000000004</v>
      </c>
      <c r="B346">
        <f t="shared" si="11"/>
        <v>5.9323509395055013E-2</v>
      </c>
      <c r="C346">
        <f>IF(A346&gt;='Goodness of fit'!$D$3,B346,0)</f>
        <v>5.9323509395055013E-2</v>
      </c>
      <c r="D346" s="2">
        <f t="shared" si="10"/>
        <v>0.13744727756715883</v>
      </c>
      <c r="E346" s="18" t="str">
        <f>IF('Goodness of fit'!B346&gt;0,('Goodness of fit'!A346-'Goodness of fit'!B346)^2/'Goodness of fit'!B346,"")</f>
        <v/>
      </c>
      <c r="F346" s="2"/>
      <c r="G346" s="2"/>
    </row>
    <row r="347" spans="1:7" x14ac:dyDescent="0.35">
      <c r="A347">
        <f>'Goodness of fit'!D$6/1000+A346</f>
        <v>5.536000000000004</v>
      </c>
      <c r="B347">
        <f t="shared" si="11"/>
        <v>5.8936043940024323E-2</v>
      </c>
      <c r="C347">
        <f>IF(A347&gt;='Goodness of fit'!$D$3,B347,0)</f>
        <v>5.8936043940024323E-2</v>
      </c>
      <c r="D347" s="2">
        <f t="shared" si="10"/>
        <v>0.13650120419556705</v>
      </c>
      <c r="E347" s="18" t="str">
        <f>IF('Goodness of fit'!B347&gt;0,('Goodness of fit'!A347-'Goodness of fit'!B347)^2/'Goodness of fit'!B347,"")</f>
        <v/>
      </c>
      <c r="F347" s="2"/>
      <c r="G347" s="2"/>
    </row>
    <row r="348" spans="1:7" x14ac:dyDescent="0.35">
      <c r="A348">
        <f>'Goodness of fit'!D$6/1000+A347</f>
        <v>5.552000000000004</v>
      </c>
      <c r="B348">
        <f t="shared" si="11"/>
        <v>5.8550864633906269E-2</v>
      </c>
      <c r="C348">
        <f>IF(A348&gt;='Goodness of fit'!$D$3,B348,0)</f>
        <v>5.8550864633906269E-2</v>
      </c>
      <c r="D348" s="2">
        <f t="shared" si="10"/>
        <v>0.13556131196828367</v>
      </c>
      <c r="E348" s="18" t="str">
        <f>IF('Goodness of fit'!B348&gt;0,('Goodness of fit'!A348-'Goodness of fit'!B348)^2/'Goodness of fit'!B348,"")</f>
        <v/>
      </c>
      <c r="F348" s="2"/>
      <c r="G348" s="2"/>
    </row>
    <row r="349" spans="1:7" x14ac:dyDescent="0.35">
      <c r="A349">
        <f>'Goodness of fit'!D$6/1000+A348</f>
        <v>5.5680000000000041</v>
      </c>
      <c r="B349">
        <f t="shared" si="11"/>
        <v>5.8167961140634328E-2</v>
      </c>
      <c r="C349">
        <f>IF(A349&gt;='Goodness of fit'!$D$3,B349,0)</f>
        <v>5.8167961140634328E-2</v>
      </c>
      <c r="D349" s="2">
        <f t="shared" si="10"/>
        <v>0.13462756438961351</v>
      </c>
      <c r="E349" s="18" t="str">
        <f>IF('Goodness of fit'!B349&gt;0,('Goodness of fit'!A349-'Goodness of fit'!B349)^2/'Goodness of fit'!B349,"")</f>
        <v/>
      </c>
      <c r="F349" s="2"/>
      <c r="G349" s="2"/>
    </row>
    <row r="350" spans="1:7" x14ac:dyDescent="0.35">
      <c r="A350">
        <f>'Goodness of fit'!D$6/1000+A349</f>
        <v>5.5840000000000041</v>
      </c>
      <c r="B350">
        <f t="shared" si="11"/>
        <v>5.7787323123895132E-2</v>
      </c>
      <c r="C350">
        <f>IF(A350&gt;='Goodness of fit'!$D$3,B350,0)</f>
        <v>5.7787323123895132E-2</v>
      </c>
      <c r="D350" s="2">
        <f t="shared" si="10"/>
        <v>0.13369992512924192</v>
      </c>
      <c r="E350" s="18" t="str">
        <f>IF('Goodness of fit'!B350&gt;0,('Goodness of fit'!A350-'Goodness of fit'!B350)^2/'Goodness of fit'!B350,"")</f>
        <v/>
      </c>
      <c r="F350" s="2"/>
      <c r="G350" s="2"/>
    </row>
    <row r="351" spans="1:7" x14ac:dyDescent="0.35">
      <c r="A351">
        <f>'Goodness of fit'!D$6/1000+A350</f>
        <v>5.6000000000000041</v>
      </c>
      <c r="B351">
        <f t="shared" si="11"/>
        <v>5.7408940248076114E-2</v>
      </c>
      <c r="C351">
        <f>IF(A351&gt;='Goodness of fit'!$D$3,B351,0)</f>
        <v>5.7408940248076114E-2</v>
      </c>
      <c r="D351" s="2">
        <f t="shared" si="10"/>
        <v>0.1327783580222309</v>
      </c>
      <c r="E351" s="18" t="str">
        <f>IF('Goodness of fit'!B351&gt;0,('Goodness of fit'!A351-'Goodness of fit'!B351)^2/'Goodness of fit'!B351,"")</f>
        <v/>
      </c>
      <c r="F351" s="2"/>
      <c r="G351" s="2"/>
    </row>
    <row r="352" spans="1:7" x14ac:dyDescent="0.35">
      <c r="A352">
        <f>'Goodness of fit'!D$6/1000+A351</f>
        <v>5.6160000000000041</v>
      </c>
      <c r="B352">
        <f t="shared" si="11"/>
        <v>5.703280217919357E-2</v>
      </c>
      <c r="C352">
        <f>IF(A352&gt;='Goodness of fit'!$D$3,B352,0)</f>
        <v>5.703280217919357E-2</v>
      </c>
      <c r="D352" s="2">
        <f t="shared" si="10"/>
        <v>0.13186282706900029</v>
      </c>
      <c r="E352" s="18" t="str">
        <f>IF('Goodness of fit'!B352&gt;0,('Goodness of fit'!A352-'Goodness of fit'!B352)^2/'Goodness of fit'!B352,"")</f>
        <v/>
      </c>
      <c r="F352" s="2"/>
      <c r="G352" s="2"/>
    </row>
    <row r="353" spans="1:7" x14ac:dyDescent="0.35">
      <c r="A353">
        <f>'Goodness of fit'!D$6/1000+A352</f>
        <v>5.6320000000000041</v>
      </c>
      <c r="B353">
        <f t="shared" si="11"/>
        <v>5.6658898585801226E-2</v>
      </c>
      <c r="C353">
        <f>IF(A353&gt;='Goodness of fit'!$D$3,B353,0)</f>
        <v>5.6658898585801226E-2</v>
      </c>
      <c r="D353" s="2">
        <f t="shared" si="10"/>
        <v>0.13095329643529474</v>
      </c>
      <c r="E353" s="18" t="str">
        <f>IF('Goodness of fit'!B353&gt;0,('Goodness of fit'!A353-'Goodness of fit'!B353)^2/'Goodness of fit'!B353,"")</f>
        <v/>
      </c>
      <c r="F353" s="2"/>
      <c r="G353" s="2"/>
    </row>
    <row r="354" spans="1:7" x14ac:dyDescent="0.35">
      <c r="A354">
        <f>'Goodness of fit'!D$6/1000+A353</f>
        <v>5.6480000000000041</v>
      </c>
      <c r="B354">
        <f t="shared" si="11"/>
        <v>5.628721913987985E-2</v>
      </c>
      <c r="C354">
        <f>IF(A354&gt;='Goodness of fit'!$D$3,B354,0)</f>
        <v>5.628721913987985E-2</v>
      </c>
      <c r="D354" s="2">
        <f t="shared" si="10"/>
        <v>0.13004973045213555</v>
      </c>
      <c r="E354" s="18" t="str">
        <f>IF('Goodness of fit'!B354&gt;0,('Goodness of fit'!A354-'Goodness of fit'!B354)^2/'Goodness of fit'!B354,"")</f>
        <v/>
      </c>
      <c r="F354" s="2"/>
      <c r="G354" s="2"/>
    </row>
    <row r="355" spans="1:7" x14ac:dyDescent="0.35">
      <c r="A355">
        <f>'Goodness of fit'!D$6/1000+A354</f>
        <v>5.6640000000000041</v>
      </c>
      <c r="B355">
        <f t="shared" si="11"/>
        <v>5.5917753517708113E-2</v>
      </c>
      <c r="C355">
        <f>IF(A355&gt;='Goodness of fit'!$D$3,B355,0)</f>
        <v>5.5917753517708113E-2</v>
      </c>
      <c r="D355" s="2">
        <f t="shared" si="10"/>
        <v>0.12915209361575949</v>
      </c>
      <c r="E355" s="18" t="str">
        <f>IF('Goodness of fit'!B355&gt;0,('Goodness of fit'!A355-'Goodness of fit'!B355)^2/'Goodness of fit'!B355,"")</f>
        <v/>
      </c>
      <c r="F355" s="2"/>
      <c r="G355" s="2"/>
    </row>
    <row r="356" spans="1:7" x14ac:dyDescent="0.35">
      <c r="A356">
        <f>'Goodness of fit'!D$6/1000+A355</f>
        <v>5.6800000000000042</v>
      </c>
      <c r="B356">
        <f t="shared" si="11"/>
        <v>5.5550491400715031E-2</v>
      </c>
      <c r="C356">
        <f>IF(A356&gt;='Goodness of fit'!$D$3,B356,0)</f>
        <v>5.5550491400715031E-2</v>
      </c>
      <c r="D356" s="2">
        <f t="shared" si="10"/>
        <v>0.1282603505875424</v>
      </c>
      <c r="E356" s="18" t="str">
        <f>IF('Goodness of fit'!B356&gt;0,('Goodness of fit'!A356-'Goodness of fit'!B356)^2/'Goodness of fit'!B356,"")</f>
        <v/>
      </c>
      <c r="F356" s="2"/>
      <c r="G356" s="2"/>
    </row>
    <row r="357" spans="1:7" x14ac:dyDescent="0.35">
      <c r="A357">
        <f>'Goodness of fit'!D$6/1000+A356</f>
        <v>5.6960000000000042</v>
      </c>
      <c r="B357">
        <f t="shared" si="11"/>
        <v>5.5185422476314451E-2</v>
      </c>
      <c r="C357">
        <f>IF(A357&gt;='Goodness of fit'!$D$3,B357,0)</f>
        <v>5.5185422476314451E-2</v>
      </c>
      <c r="D357" s="2">
        <f t="shared" si="10"/>
        <v>0.12737446619391066</v>
      </c>
      <c r="E357" s="18" t="str">
        <f>IF('Goodness of fit'!B357&gt;0,('Goodness of fit'!A357-'Goodness of fit'!B357)^2/'Goodness of fit'!B357,"")</f>
        <v/>
      </c>
      <c r="F357" s="2"/>
      <c r="G357" s="2"/>
    </row>
    <row r="358" spans="1:7" x14ac:dyDescent="0.35">
      <c r="A358">
        <f>'Goodness of fit'!D$6/1000+A357</f>
        <v>5.7120000000000042</v>
      </c>
      <c r="B358">
        <f t="shared" si="11"/>
        <v>5.4822536438721495E-2</v>
      </c>
      <c r="C358">
        <f>IF(A358&gt;='Goodness of fit'!$D$3,B358,0)</f>
        <v>5.4822536438721495E-2</v>
      </c>
      <c r="D358" s="2">
        <f t="shared" si="10"/>
        <v>0.12649440542623869</v>
      </c>
      <c r="E358" s="18" t="str">
        <f>IF('Goodness of fit'!B358&gt;0,('Goodness of fit'!A358-'Goodness of fit'!B358)^2/'Goodness of fit'!B358,"")</f>
        <v/>
      </c>
      <c r="F358" s="2"/>
      <c r="G358" s="2"/>
    </row>
    <row r="359" spans="1:7" x14ac:dyDescent="0.35">
      <c r="A359">
        <f>'Goodness of fit'!D$6/1000+A358</f>
        <v>5.7280000000000042</v>
      </c>
      <c r="B359">
        <f t="shared" si="11"/>
        <v>5.4461822989751871E-2</v>
      </c>
      <c r="C359">
        <f>IF(A359&gt;='Goodness of fit'!$D$3,B359,0)</f>
        <v>5.4461822989751871E-2</v>
      </c>
      <c r="D359" s="2">
        <f t="shared" si="10"/>
        <v>0.12562013344073372</v>
      </c>
      <c r="E359" s="18" t="str">
        <f>IF('Goodness of fit'!B359&gt;0,('Goodness of fit'!A359-'Goodness of fit'!B359)^2/'Goodness of fit'!B359,"")</f>
        <v/>
      </c>
      <c r="F359" s="2"/>
      <c r="G359" s="2"/>
    </row>
    <row r="360" spans="1:7" x14ac:dyDescent="0.35">
      <c r="A360">
        <f>'Goodness of fit'!D$6/1000+A359</f>
        <v>5.7440000000000042</v>
      </c>
      <c r="B360">
        <f t="shared" si="11"/>
        <v>5.4103271839603749E-2</v>
      </c>
      <c r="C360">
        <f>IF(A360&gt;='Goodness of fit'!$D$3,B360,0)</f>
        <v>5.4103271839603749E-2</v>
      </c>
      <c r="D360" s="2">
        <f t="shared" si="10"/>
        <v>0.1247516155583079</v>
      </c>
      <c r="E360" s="18" t="str">
        <f>IF('Goodness of fit'!B360&gt;0,('Goodness of fit'!A360-'Goodness of fit'!B360)^2/'Goodness of fit'!B360,"")</f>
        <v/>
      </c>
      <c r="F360" s="2"/>
      <c r="G360" s="2"/>
    </row>
    <row r="361" spans="1:7" x14ac:dyDescent="0.35">
      <c r="A361">
        <f>'Goodness of fit'!D$6/1000+A360</f>
        <v>5.7600000000000042</v>
      </c>
      <c r="B361">
        <f t="shared" si="11"/>
        <v>5.3746872707622878E-2</v>
      </c>
      <c r="C361">
        <f>IF(A361&gt;='Goodness of fit'!$D$3,B361,0)</f>
        <v>5.3746872707622878E-2</v>
      </c>
      <c r="D361" s="2">
        <f t="shared" si="10"/>
        <v>0.12388881726443793</v>
      </c>
      <c r="E361" s="18" t="str">
        <f>IF('Goodness of fit'!B361&gt;0,('Goodness of fit'!A361-'Goodness of fit'!B361)^2/'Goodness of fit'!B361,"")</f>
        <v/>
      </c>
      <c r="F361" s="2"/>
      <c r="G361" s="2"/>
    </row>
    <row r="362" spans="1:7" x14ac:dyDescent="0.35">
      <c r="A362">
        <f>'Goodness of fit'!D$6/1000+A361</f>
        <v>5.7760000000000042</v>
      </c>
      <c r="B362">
        <f t="shared" si="11"/>
        <v>5.3392615323051118E-2</v>
      </c>
      <c r="C362">
        <f>IF(A362&gt;='Goodness of fit'!$D$3,B362,0)</f>
        <v>5.3392615323051118E-2</v>
      </c>
      <c r="D362" s="2">
        <f t="shared" si="10"/>
        <v>0.12303170420901297</v>
      </c>
      <c r="E362" s="18" t="str">
        <f>IF('Goodness of fit'!B362&gt;0,('Goodness of fit'!A362-'Goodness of fit'!B362)^2/'Goodness of fit'!B362,"")</f>
        <v/>
      </c>
      <c r="F362" s="2"/>
      <c r="G362" s="2"/>
    </row>
    <row r="363" spans="1:7" x14ac:dyDescent="0.35">
      <c r="A363">
        <f>'Goodness of fit'!D$6/1000+A362</f>
        <v>5.7920000000000043</v>
      </c>
      <c r="B363">
        <f t="shared" si="11"/>
        <v>5.3040489425758598E-2</v>
      </c>
      <c r="C363">
        <f>IF(A363&gt;='Goodness of fit'!$D$3,B363,0)</f>
        <v>5.3040489425758598E-2</v>
      </c>
      <c r="D363" s="2">
        <f t="shared" si="10"/>
        <v>0.12218024220617016</v>
      </c>
      <c r="E363" s="18" t="str">
        <f>IF('Goodness of fit'!B363&gt;0,('Goodness of fit'!A363-'Goodness of fit'!B363)^2/'Goodness of fit'!B363,"")</f>
        <v/>
      </c>
      <c r="F363" s="2"/>
      <c r="G363" s="2"/>
    </row>
    <row r="364" spans="1:7" x14ac:dyDescent="0.35">
      <c r="A364">
        <f>'Goodness of fit'!D$6/1000+A363</f>
        <v>5.8080000000000043</v>
      </c>
      <c r="B364">
        <f t="shared" si="11"/>
        <v>5.2690484766959915E-2</v>
      </c>
      <c r="C364">
        <f>IF(A364&gt;='Goodness of fit'!$D$3,B364,0)</f>
        <v>5.2690484766959915E-2</v>
      </c>
      <c r="D364" s="2">
        <f t="shared" si="10"/>
        <v>0.12133439723411886</v>
      </c>
      <c r="E364" s="18" t="str">
        <f>IF('Goodness of fit'!B364&gt;0,('Goodness of fit'!A364-'Goodness of fit'!B364)^2/'Goodness of fit'!B364,"")</f>
        <v/>
      </c>
      <c r="F364" s="2"/>
      <c r="G364" s="2"/>
    </row>
    <row r="365" spans="1:7" x14ac:dyDescent="0.35">
      <c r="A365">
        <f>'Goodness of fit'!D$6/1000+A364</f>
        <v>5.8240000000000043</v>
      </c>
      <c r="B365">
        <f t="shared" si="11"/>
        <v>5.2342591109914571E-2</v>
      </c>
      <c r="C365">
        <f>IF(A365&gt;='Goodness of fit'!$D$3,B365,0)</f>
        <v>5.2342591109914571E-2</v>
      </c>
      <c r="D365" s="2">
        <f t="shared" si="10"/>
        <v>0.12049413543495366</v>
      </c>
      <c r="E365" s="18" t="str">
        <f>IF('Goodness of fit'!B365&gt;0,('Goodness of fit'!A365-'Goodness of fit'!B365)^2/'Goodness of fit'!B365,"")</f>
        <v/>
      </c>
      <c r="F365" s="2"/>
      <c r="G365" s="2"/>
    </row>
    <row r="366" spans="1:7" x14ac:dyDescent="0.35">
      <c r="A366">
        <f>'Goodness of fit'!D$6/1000+A365</f>
        <v>5.8400000000000043</v>
      </c>
      <c r="B366">
        <f t="shared" si="11"/>
        <v>5.1996798230611881E-2</v>
      </c>
      <c r="C366">
        <f>IF(A366&gt;='Goodness of fit'!$D$3,B366,0)</f>
        <v>5.1996798230611881E-2</v>
      </c>
      <c r="D366" s="2">
        <f t="shared" si="10"/>
        <v>0.11965942311445603</v>
      </c>
      <c r="E366" s="18" t="str">
        <f>IF('Goodness of fit'!B366&gt;0,('Goodness of fit'!A366-'Goodness of fit'!B366)^2/'Goodness of fit'!B366,"")</f>
        <v/>
      </c>
      <c r="F366" s="2"/>
      <c r="G366" s="2"/>
    </row>
    <row r="367" spans="1:7" x14ac:dyDescent="0.35">
      <c r="A367">
        <f>'Goodness of fit'!D$6/1000+A366</f>
        <v>5.8560000000000043</v>
      </c>
      <c r="B367">
        <f t="shared" si="11"/>
        <v>5.1653095918440702E-2</v>
      </c>
      <c r="C367">
        <f>IF(A367&gt;='Goodness of fit'!$D$3,B367,0)</f>
        <v>5.1653095918440702E-2</v>
      </c>
      <c r="D367" s="2">
        <f t="shared" si="10"/>
        <v>0.11883022674188523</v>
      </c>
      <c r="E367" s="18" t="str">
        <f>IF('Goodness of fit'!B367&gt;0,('Goodness of fit'!A367-'Goodness of fit'!B367)^2/'Goodness of fit'!B367,"")</f>
        <v/>
      </c>
      <c r="F367" s="2"/>
      <c r="G367" s="2"/>
    </row>
    <row r="368" spans="1:7" x14ac:dyDescent="0.35">
      <c r="A368">
        <f>'Goodness of fit'!D$6/1000+A367</f>
        <v>5.8720000000000043</v>
      </c>
      <c r="B368">
        <f t="shared" si="11"/>
        <v>5.131147397684422E-2</v>
      </c>
      <c r="C368">
        <f>IF(A368&gt;='Goodness of fit'!$D$3,B368,0)</f>
        <v>5.131147397684422E-2</v>
      </c>
      <c r="D368" s="2">
        <f t="shared" si="10"/>
        <v>0.11800651294975881</v>
      </c>
      <c r="E368" s="18" t="str">
        <f>IF('Goodness of fit'!B368&gt;0,('Goodness of fit'!A368-'Goodness of fit'!B368)^2/'Goodness of fit'!B368,"")</f>
        <v/>
      </c>
      <c r="F368" s="2"/>
      <c r="G368" s="2"/>
    </row>
    <row r="369" spans="1:7" x14ac:dyDescent="0.35">
      <c r="A369">
        <f>'Goodness of fit'!D$6/1000+A368</f>
        <v>5.8880000000000043</v>
      </c>
      <c r="B369">
        <f t="shared" si="11"/>
        <v>5.0971922223960006E-2</v>
      </c>
      <c r="C369">
        <f>IF(A369&gt;='Goodness of fit'!$D$3,B369,0)</f>
        <v>5.0971922223960006E-2</v>
      </c>
      <c r="D369" s="2">
        <f t="shared" si="10"/>
        <v>0.11718824853362247</v>
      </c>
      <c r="E369" s="18" t="str">
        <f>IF('Goodness of fit'!B369&gt;0,('Goodness of fit'!A369-'Goodness of fit'!B369)^2/'Goodness of fit'!B369,"")</f>
        <v/>
      </c>
      <c r="F369" s="2"/>
      <c r="G369" s="2"/>
    </row>
    <row r="370" spans="1:7" x14ac:dyDescent="0.35">
      <c r="A370">
        <f>'Goodness of fit'!D$6/1000+A369</f>
        <v>5.9040000000000044</v>
      </c>
      <c r="B370">
        <f t="shared" si="11"/>
        <v>5.0634430493245605E-2</v>
      </c>
      <c r="C370">
        <f>IF(A370&gt;='Goodness of fit'!$D$3,B370,0)</f>
        <v>5.0634430493245605E-2</v>
      </c>
      <c r="D370" s="2">
        <f t="shared" si="10"/>
        <v>0.11637540045181</v>
      </c>
      <c r="E370" s="18" t="str">
        <f>IF('Goodness of fit'!B370&gt;0,('Goodness of fit'!A370-'Goodness of fit'!B370)^2/'Goodness of fit'!B370,"")</f>
        <v/>
      </c>
      <c r="F370" s="2"/>
      <c r="G370" s="2"/>
    </row>
    <row r="371" spans="1:7" x14ac:dyDescent="0.35">
      <c r="A371">
        <f>'Goodness of fit'!D$6/1000+A370</f>
        <v>5.9200000000000044</v>
      </c>
      <c r="B371">
        <f t="shared" si="11"/>
        <v>5.0298988634089999E-2</v>
      </c>
      <c r="C371">
        <f>IF(A371&gt;='Goodness of fit'!$D$3,B371,0)</f>
        <v>5.0298988634089999E-2</v>
      </c>
      <c r="D371" s="2">
        <f t="shared" si="10"/>
        <v>0.11556793582519323</v>
      </c>
      <c r="E371" s="18" t="str">
        <f>IF('Goodness of fit'!B371&gt;0,('Goodness of fit'!A371-'Goodness of fit'!B371)^2/'Goodness of fit'!B371,"")</f>
        <v/>
      </c>
      <c r="F371" s="2"/>
      <c r="G371" s="2"/>
    </row>
    <row r="372" spans="1:7" x14ac:dyDescent="0.35">
      <c r="A372">
        <f>'Goodness of fit'!D$6/1000+A371</f>
        <v>5.9360000000000044</v>
      </c>
      <c r="B372">
        <f t="shared" si="11"/>
        <v>4.9965586512410974E-2</v>
      </c>
      <c r="C372">
        <f>IF(A372&gt;='Goodness of fit'!$D$3,B372,0)</f>
        <v>4.9965586512410974E-2</v>
      </c>
      <c r="D372" s="2">
        <f t="shared" si="10"/>
        <v>0.11476582193692234</v>
      </c>
      <c r="E372" s="18" t="str">
        <f>IF('Goodness of fit'!B372&gt;0,('Goodness of fit'!A372-'Goodness of fit'!B372)^2/'Goodness of fit'!B372,"")</f>
        <v/>
      </c>
      <c r="F372" s="2"/>
      <c r="G372" s="2"/>
    </row>
    <row r="373" spans="1:7" x14ac:dyDescent="0.35">
      <c r="A373">
        <f>'Goodness of fit'!D$6/1000+A372</f>
        <v>5.9520000000000044</v>
      </c>
      <c r="B373">
        <f t="shared" si="11"/>
        <v>4.9634214011238999E-2</v>
      </c>
      <c r="C373">
        <f>IF(A373&gt;='Goodness of fit'!$D$3,B373,0)</f>
        <v>4.9634214011238999E-2</v>
      </c>
      <c r="D373" s="2">
        <f t="shared" si="10"/>
        <v>0.1139690262321565</v>
      </c>
      <c r="E373" s="18" t="str">
        <f>IF('Goodness of fit'!B373&gt;0,('Goodness of fit'!A373-'Goodness of fit'!B373)^2/'Goodness of fit'!B373,"")</f>
        <v/>
      </c>
      <c r="F373" s="2"/>
      <c r="G373" s="2"/>
    </row>
    <row r="374" spans="1:7" x14ac:dyDescent="0.35">
      <c r="A374">
        <f>'Goodness of fit'!D$6/1000+A373</f>
        <v>5.9680000000000044</v>
      </c>
      <c r="B374">
        <f t="shared" si="11"/>
        <v>4.9304861031287353E-2</v>
      </c>
      <c r="C374">
        <f>IF(A374&gt;='Goodness of fit'!$D$3,B374,0)</f>
        <v>4.9304861031287353E-2</v>
      </c>
      <c r="D374" s="2">
        <f t="shared" si="10"/>
        <v>0.11317751631778605</v>
      </c>
      <c r="E374" s="18" t="str">
        <f>IF('Goodness of fit'!B374&gt;0,('Goodness of fit'!A374-'Goodness of fit'!B374)^2/'Goodness of fit'!B374,"")</f>
        <v/>
      </c>
      <c r="F374" s="2"/>
      <c r="G374" s="2"/>
    </row>
    <row r="375" spans="1:7" x14ac:dyDescent="0.35">
      <c r="A375">
        <f>'Goodness of fit'!D$6/1000+A374</f>
        <v>5.9840000000000044</v>
      </c>
      <c r="B375">
        <f t="shared" si="11"/>
        <v>4.8977517491509158E-2</v>
      </c>
      <c r="C375">
        <f>IF(A375&gt;='Goodness of fit'!$D$3,B375,0)</f>
        <v>4.8977517491509158E-2</v>
      </c>
      <c r="D375" s="2">
        <f t="shared" si="10"/>
        <v>0.11239125996214443</v>
      </c>
      <c r="E375" s="18" t="str">
        <f>IF('Goodness of fit'!B375&gt;0,('Goodness of fit'!A375-'Goodness of fit'!B375)^2/'Goodness of fit'!B375,"")</f>
        <v/>
      </c>
      <c r="F375" s="2"/>
      <c r="G375" s="2"/>
    </row>
    <row r="376" spans="1:7" x14ac:dyDescent="0.35">
      <c r="A376">
        <f>'Goodness of fit'!D$6/1000+A375</f>
        <v>6.0000000000000044</v>
      </c>
      <c r="B376">
        <f t="shared" si="11"/>
        <v>4.8652173329641391E-2</v>
      </c>
      <c r="C376">
        <f>IF(A376&gt;='Goodness of fit'!$D$3,B376,0)</f>
        <v>4.8652173329641391E-2</v>
      </c>
      <c r="D376" s="2">
        <f t="shared" si="10"/>
        <v>0.11161022509471238</v>
      </c>
      <c r="E376" s="18" t="str">
        <f>IF('Goodness of fit'!B376&gt;0,('Goodness of fit'!A376-'Goodness of fit'!B376)^2/'Goodness of fit'!B376,"")</f>
        <v/>
      </c>
      <c r="F376" s="2"/>
      <c r="G376" s="2"/>
    </row>
    <row r="377" spans="1:7" x14ac:dyDescent="0.35">
      <c r="A377">
        <f>'Goodness of fit'!D$6/1000+A376</f>
        <v>6.0160000000000045</v>
      </c>
      <c r="B377">
        <f t="shared" si="11"/>
        <v>4.8328818502736029E-2</v>
      </c>
      <c r="C377">
        <f>IF(A377&gt;='Goodness of fit'!$D$3,B377,0)</f>
        <v>4.8328818502736029E-2</v>
      </c>
      <c r="D377" s="2">
        <f t="shared" si="10"/>
        <v>0.11083437980581294</v>
      </c>
      <c r="E377" s="18" t="str">
        <f>IF('Goodness of fit'!B377&gt;0,('Goodness of fit'!A377-'Goodness of fit'!B377)^2/'Goodness of fit'!B377,"")</f>
        <v/>
      </c>
      <c r="F377" s="2"/>
      <c r="G377" s="2"/>
    </row>
    <row r="378" spans="1:7" x14ac:dyDescent="0.35">
      <c r="A378">
        <f>'Goodness of fit'!D$6/1000+A377</f>
        <v>6.0320000000000045</v>
      </c>
      <c r="B378">
        <f t="shared" si="11"/>
        <v>4.8007442987678693E-2</v>
      </c>
      <c r="C378">
        <f>IF(A378&gt;='Goodness of fit'!$D$3,B378,0)</f>
        <v>4.8007442987678693E-2</v>
      </c>
      <c r="D378" s="2">
        <f t="shared" si="10"/>
        <v>0.11006369234629855</v>
      </c>
      <c r="E378" s="18" t="str">
        <f>IF('Goodness of fit'!B378&gt;0,('Goodness of fit'!A378-'Goodness of fit'!B378)^2/'Goodness of fit'!B378,"")</f>
        <v/>
      </c>
      <c r="F378" s="2"/>
      <c r="G378" s="2"/>
    </row>
    <row r="379" spans="1:7" x14ac:dyDescent="0.35">
      <c r="A379">
        <f>'Goodness of fit'!D$6/1000+A378</f>
        <v>6.0480000000000045</v>
      </c>
      <c r="B379">
        <f t="shared" si="11"/>
        <v>4.768803678169483E-2</v>
      </c>
      <c r="C379">
        <f>IF(A379&gt;='Goodness of fit'!$D$3,B379,0)</f>
        <v>4.768803678169483E-2</v>
      </c>
      <c r="D379" s="2">
        <f t="shared" si="10"/>
        <v>0.10929813112722919</v>
      </c>
      <c r="E379" s="18" t="str">
        <f>IF('Goodness of fit'!B379&gt;0,('Goodness of fit'!A379-'Goodness of fit'!B379)^2/'Goodness of fit'!B379,"")</f>
        <v/>
      </c>
      <c r="F379" s="2"/>
      <c r="G379" s="2"/>
    </row>
    <row r="380" spans="1:7" x14ac:dyDescent="0.35">
      <c r="A380">
        <f>'Goodness of fit'!D$6/1000+A379</f>
        <v>6.0640000000000045</v>
      </c>
      <c r="B380">
        <f t="shared" si="11"/>
        <v>4.737058990284377E-2</v>
      </c>
      <c r="C380">
        <f>IF(A380&gt;='Goodness of fit'!$D$3,B380,0)</f>
        <v>4.737058990284377E-2</v>
      </c>
      <c r="D380" s="2">
        <f t="shared" si="10"/>
        <v>0.10853766471954339</v>
      </c>
      <c r="E380" s="18" t="str">
        <f>IF('Goodness of fit'!B380&gt;0,('Goodness of fit'!A380-'Goodness of fit'!B380)^2/'Goodness of fit'!B380,"")</f>
        <v/>
      </c>
      <c r="F380" s="2"/>
      <c r="G380" s="2"/>
    </row>
    <row r="381" spans="1:7" x14ac:dyDescent="0.35">
      <c r="A381">
        <f>'Goodness of fit'!D$6/1000+A380</f>
        <v>6.0800000000000045</v>
      </c>
      <c r="B381">
        <f t="shared" si="11"/>
        <v>4.7055092390500985E-2</v>
      </c>
      <c r="C381">
        <f>IF(A381&gt;='Goodness of fit'!$D$3,B381,0)</f>
        <v>4.7055092390500985E-2</v>
      </c>
      <c r="D381" s="2">
        <f t="shared" si="10"/>
        <v>0.10778226185372072</v>
      </c>
      <c r="E381" s="18" t="str">
        <f>IF('Goodness of fit'!B381&gt;0,('Goodness of fit'!A381-'Goodness of fit'!B381)^2/'Goodness of fit'!B381,"")</f>
        <v/>
      </c>
      <c r="F381" s="2"/>
      <c r="G381" s="2"/>
    </row>
    <row r="382" spans="1:7" x14ac:dyDescent="0.35">
      <c r="A382">
        <f>'Goodness of fit'!D$6/1000+A381</f>
        <v>6.0960000000000045</v>
      </c>
      <c r="B382">
        <f t="shared" si="11"/>
        <v>4.6741534305828392E-2</v>
      </c>
      <c r="C382">
        <f>IF(A382&gt;='Goodness of fit'!$D$3,B382,0)</f>
        <v>4.6741534305828392E-2</v>
      </c>
      <c r="D382" s="2">
        <f t="shared" si="10"/>
        <v>0.10703189141943707</v>
      </c>
      <c r="E382" s="18" t="str">
        <f>IF('Goodness of fit'!B382&gt;0,('Goodness of fit'!A382-'Goodness of fit'!B382)^2/'Goodness of fit'!B382,"")</f>
        <v/>
      </c>
      <c r="F382" s="2"/>
      <c r="G382" s="2"/>
    </row>
    <row r="383" spans="1:7" x14ac:dyDescent="0.35">
      <c r="A383">
        <f>'Goodness of fit'!D$6/1000+A382</f>
        <v>6.1120000000000045</v>
      </c>
      <c r="B383">
        <f t="shared" si="11"/>
        <v>4.6429905732233261E-2</v>
      </c>
      <c r="C383">
        <f>IF(A383&gt;='Goodness of fit'!$D$3,B383,0)</f>
        <v>4.6429905732233261E-2</v>
      </c>
      <c r="D383" s="2">
        <f t="shared" si="10"/>
        <v>0.10628652246521249</v>
      </c>
      <c r="E383" s="18" t="str">
        <f>IF('Goodness of fit'!B383&gt;0,('Goodness of fit'!A383-'Goodness of fit'!B383)^2/'Goodness of fit'!B383,"")</f>
        <v/>
      </c>
      <c r="F383" s="2"/>
      <c r="G383" s="2"/>
    </row>
    <row r="384" spans="1:7" x14ac:dyDescent="0.35">
      <c r="A384">
        <f>'Goodness of fit'!D$6/1000+A383</f>
        <v>6.1280000000000046</v>
      </c>
      <c r="B384">
        <f t="shared" si="11"/>
        <v>4.6120196775815754E-2</v>
      </c>
      <c r="C384">
        <f>IF(A384&gt;='Goodness of fit'!$D$3,B384,0)</f>
        <v>4.6120196775815754E-2</v>
      </c>
      <c r="D384" s="2">
        <f t="shared" si="10"/>
        <v>0.10554612419805143</v>
      </c>
      <c r="E384" s="18" t="str">
        <f>IF('Goodness of fit'!B384&gt;0,('Goodness of fit'!A384-'Goodness of fit'!B384)^2/'Goodness of fit'!B384,"")</f>
        <v/>
      </c>
      <c r="F384" s="2"/>
      <c r="G384" s="2"/>
    </row>
    <row r="385" spans="1:7" x14ac:dyDescent="0.35">
      <c r="A385">
        <f>'Goodness of fit'!D$6/1000+A384</f>
        <v>6.1440000000000046</v>
      </c>
      <c r="B385">
        <f t="shared" si="11"/>
        <v>4.5812397565805317E-2</v>
      </c>
      <c r="C385">
        <f>IF(A385&gt;='Goodness of fit'!$D$3,B385,0)</f>
        <v>4.5812397565805317E-2</v>
      </c>
      <c r="D385" s="2">
        <f t="shared" si="10"/>
        <v>0.10481066598307641</v>
      </c>
      <c r="E385" s="18" t="str">
        <f>IF('Goodness of fit'!B385&gt;0,('Goodness of fit'!A385-'Goodness of fit'!B385)^2/'Goodness of fit'!B385,"")</f>
        <v/>
      </c>
      <c r="F385" s="2"/>
      <c r="G385" s="2"/>
    </row>
    <row r="386" spans="1:7" x14ac:dyDescent="0.35">
      <c r="A386">
        <f>'Goodness of fit'!D$6/1000+A385</f>
        <v>6.1600000000000046</v>
      </c>
      <c r="B386">
        <f t="shared" si="11"/>
        <v>4.550649825498617E-2</v>
      </c>
      <c r="C386">
        <f>IF(A386&gt;='Goodness of fit'!$D$3,B386,0)</f>
        <v>4.550649825498617E-2</v>
      </c>
      <c r="D386" s="2">
        <f t="shared" ref="D386:D449" si="12">CHIDIST(A386,F$1)</f>
        <v>0.10408011734315424</v>
      </c>
      <c r="E386" s="18" t="str">
        <f>IF('Goodness of fit'!B386&gt;0,('Goodness of fit'!A386-'Goodness of fit'!B386)^2/'Goodness of fit'!B386,"")</f>
        <v/>
      </c>
      <c r="F386" s="2"/>
      <c r="G386" s="2"/>
    </row>
    <row r="387" spans="1:7" x14ac:dyDescent="0.35">
      <c r="A387">
        <f>'Goodness of fit'!D$6/1000+A386</f>
        <v>6.1760000000000046</v>
      </c>
      <c r="B387">
        <f t="shared" ref="B387:B450" si="13">_xlfn.CHISQ.DIST(A387,F$1,FALSE)</f>
        <v>4.5202489020111952E-2</v>
      </c>
      <c r="C387">
        <f>IF(A387&gt;='Goodness of fit'!$D$3,B387,0)</f>
        <v>4.5202489020111952E-2</v>
      </c>
      <c r="D387" s="2">
        <f t="shared" si="12"/>
        <v>0.10335444795851614</v>
      </c>
      <c r="E387" s="18" t="str">
        <f>IF('Goodness of fit'!B387&gt;0,('Goodness of fit'!A387-'Goodness of fit'!B387)^2/'Goodness of fit'!B387,"")</f>
        <v/>
      </c>
      <c r="F387" s="2"/>
      <c r="G387" s="2"/>
    </row>
    <row r="388" spans="1:7" x14ac:dyDescent="0.35">
      <c r="A388">
        <f>'Goodness of fit'!D$6/1000+A387</f>
        <v>6.1920000000000046</v>
      </c>
      <c r="B388">
        <f t="shared" si="13"/>
        <v>4.4900360062309921E-2</v>
      </c>
      <c r="C388">
        <f>IF(A388&gt;='Goodness of fit'!$D$3,B388,0)</f>
        <v>4.4900360062309921E-2</v>
      </c>
      <c r="D388" s="2">
        <f t="shared" si="12"/>
        <v>0.1026336276663707</v>
      </c>
      <c r="E388" s="18" t="str">
        <f>IF('Goodness of fit'!B388&gt;0,('Goodness of fit'!A388-'Goodness of fit'!B388)^2/'Goodness of fit'!B388,"")</f>
        <v/>
      </c>
      <c r="F388" s="2"/>
      <c r="G388" s="2"/>
    </row>
    <row r="389" spans="1:7" x14ac:dyDescent="0.35">
      <c r="A389">
        <f>'Goodness of fit'!D$6/1000+A388</f>
        <v>6.2080000000000046</v>
      </c>
      <c r="B389">
        <f t="shared" si="13"/>
        <v>4.4600101607474622E-2</v>
      </c>
      <c r="C389">
        <f>IF(A389&gt;='Goodness of fit'!$D$3,B389,0)</f>
        <v>4.4600101607474622E-2</v>
      </c>
      <c r="D389" s="2">
        <f t="shared" si="12"/>
        <v>0.10191762646051086</v>
      </c>
      <c r="E389" s="18" t="str">
        <f>IF('Goodness of fit'!B389&gt;0,('Goodness of fit'!A389-'Goodness of fit'!B389)^2/'Goodness of fit'!B389,"")</f>
        <v/>
      </c>
      <c r="F389" s="2"/>
      <c r="G389" s="2"/>
    </row>
    <row r="390" spans="1:7" x14ac:dyDescent="0.35">
      <c r="A390">
        <f>'Goodness of fit'!D$6/1000+A389</f>
        <v>6.2240000000000046</v>
      </c>
      <c r="B390">
        <f t="shared" si="13"/>
        <v>4.4301703906651474E-2</v>
      </c>
      <c r="C390">
        <f>IF(A390&gt;='Goodness of fit'!$D$3,B390,0)</f>
        <v>4.4301703906651474E-2</v>
      </c>
      <c r="D390" s="2">
        <f t="shared" si="12"/>
        <v>0.10120641449091462</v>
      </c>
      <c r="E390" s="18" t="str">
        <f>IF('Goodness of fit'!B390&gt;0,('Goodness of fit'!A390-'Goodness of fit'!B390)^2/'Goodness of fit'!B390,"")</f>
        <v/>
      </c>
      <c r="F390" s="2"/>
      <c r="G390" s="2"/>
    </row>
    <row r="391" spans="1:7" x14ac:dyDescent="0.35">
      <c r="A391">
        <f>'Goodness of fit'!D$6/1000+A390</f>
        <v>6.2400000000000047</v>
      </c>
      <c r="B391">
        <f t="shared" si="13"/>
        <v>4.4005157236410283E-2</v>
      </c>
      <c r="C391">
        <f>IF(A391&gt;='Goodness of fit'!$D$3,B391,0)</f>
        <v>4.4005157236410283E-2</v>
      </c>
      <c r="D391" s="2">
        <f t="shared" si="12"/>
        <v>0.10049996206333953</v>
      </c>
      <c r="E391" s="18" t="str">
        <f>IF('Goodness of fit'!B391&gt;0,('Goodness of fit'!A391-'Goodness of fit'!B391)^2/'Goodness of fit'!B391,"")</f>
        <v/>
      </c>
      <c r="F391" s="2"/>
      <c r="G391" s="2"/>
    </row>
    <row r="392" spans="1:7" x14ac:dyDescent="0.35">
      <c r="A392">
        <f>'Goodness of fit'!D$6/1000+A391</f>
        <v>6.2560000000000047</v>
      </c>
      <c r="B392">
        <f t="shared" si="13"/>
        <v>4.3710451899208858E-2</v>
      </c>
      <c r="C392">
        <f>IF(A392&gt;='Goodness of fit'!$D$3,B392,0)</f>
        <v>4.3710451899208858E-2</v>
      </c>
      <c r="D392" s="2">
        <f t="shared" si="12"/>
        <v>9.9798239638911296E-2</v>
      </c>
      <c r="E392" s="18" t="str">
        <f>IF('Goodness of fit'!B392&gt;0,('Goodness of fit'!A392-'Goodness of fit'!B392)^2/'Goodness of fit'!B392,"")</f>
        <v/>
      </c>
      <c r="F392" s="2"/>
      <c r="G392" s="2"/>
    </row>
    <row r="393" spans="1:7" x14ac:dyDescent="0.35">
      <c r="A393">
        <f>'Goodness of fit'!D$6/1000+A392</f>
        <v>6.2720000000000047</v>
      </c>
      <c r="B393">
        <f t="shared" si="13"/>
        <v>4.3417578223747005E-2</v>
      </c>
      <c r="C393">
        <f>IF(A393&gt;='Goodness of fit'!$D$3,B393,0)</f>
        <v>4.3417578223747005E-2</v>
      </c>
      <c r="D393" s="2">
        <f t="shared" si="12"/>
        <v>9.9101217833706942E-2</v>
      </c>
      <c r="E393" s="18" t="str">
        <f>IF('Goodness of fit'!B393&gt;0,('Goodness of fit'!A393-'Goodness of fit'!B393)^2/'Goodness of fit'!B393,"")</f>
        <v/>
      </c>
      <c r="F393" s="2"/>
      <c r="G393" s="2"/>
    </row>
    <row r="394" spans="1:7" x14ac:dyDescent="0.35">
      <c r="A394">
        <f>'Goodness of fit'!D$6/1000+A393</f>
        <v>6.2880000000000047</v>
      </c>
      <c r="B394">
        <f t="shared" si="13"/>
        <v>4.3126526565311026E-2</v>
      </c>
      <c r="C394">
        <f>IF(A394&gt;='Goodness of fit'!$D$3,B394,0)</f>
        <v>4.3126526565311026E-2</v>
      </c>
      <c r="D394" s="2">
        <f t="shared" si="12"/>
        <v>9.8408867418332047E-2</v>
      </c>
      <c r="E394" s="18" t="str">
        <f>IF('Goodness of fit'!B394&gt;0,('Goodness of fit'!A394-'Goodness of fit'!B394)^2/'Goodness of fit'!B394,"")</f>
        <v/>
      </c>
      <c r="F394" s="2"/>
      <c r="G394" s="2"/>
    </row>
    <row r="395" spans="1:7" x14ac:dyDescent="0.35">
      <c r="A395">
        <f>'Goodness of fit'!D$6/1000+A394</f>
        <v>6.3040000000000047</v>
      </c>
      <c r="B395">
        <f t="shared" si="13"/>
        <v>4.2837287306108723E-2</v>
      </c>
      <c r="C395">
        <f>IF(A395&gt;='Goodness of fit'!$D$3,B395,0)</f>
        <v>4.2837287306108723E-2</v>
      </c>
      <c r="D395" s="2">
        <f t="shared" si="12"/>
        <v>9.772115931749259E-2</v>
      </c>
      <c r="E395" s="18" t="str">
        <f>IF('Goodness of fit'!B395&gt;0,('Goodness of fit'!A395-'Goodness of fit'!B395)^2/'Goodness of fit'!B395,"")</f>
        <v/>
      </c>
      <c r="F395" s="2"/>
      <c r="G395" s="2"/>
    </row>
    <row r="396" spans="1:7" x14ac:dyDescent="0.35">
      <c r="A396">
        <f>'Goodness of fit'!D$6/1000+A395</f>
        <v>6.3200000000000047</v>
      </c>
      <c r="B396">
        <f t="shared" si="13"/>
        <v>4.2549850855595414E-2</v>
      </c>
      <c r="C396">
        <f>IF(A396&gt;='Goodness of fit'!$D$3,B396,0)</f>
        <v>4.2549850855595414E-2</v>
      </c>
      <c r="D396" s="2">
        <f t="shared" si="12"/>
        <v>9.7038064609561769E-2</v>
      </c>
      <c r="E396" s="18" t="str">
        <f>IF('Goodness of fit'!B396&gt;0,('Goodness of fit'!A396-'Goodness of fit'!B396)^2/'Goodness of fit'!B396,"")</f>
        <v/>
      </c>
      <c r="F396" s="2"/>
      <c r="G396" s="2"/>
    </row>
    <row r="397" spans="1:7" x14ac:dyDescent="0.35">
      <c r="A397">
        <f>'Goodness of fit'!D$6/1000+A396</f>
        <v>6.3360000000000047</v>
      </c>
      <c r="B397">
        <f t="shared" si="13"/>
        <v>4.2264207650790822E-2</v>
      </c>
      <c r="C397">
        <f>IF(A397&gt;='Goodness of fit'!$D$3,B397,0)</f>
        <v>4.2264207650790822E-2</v>
      </c>
      <c r="D397" s="2">
        <f t="shared" si="12"/>
        <v>9.6359554526141394E-2</v>
      </c>
      <c r="E397" s="18" t="str">
        <f>IF('Goodness of fit'!B397&gt;0,('Goodness of fit'!A397-'Goodness of fit'!B397)^2/'Goodness of fit'!B397,"")</f>
        <v/>
      </c>
      <c r="F397" s="2"/>
      <c r="G397" s="2"/>
    </row>
    <row r="398" spans="1:7" x14ac:dyDescent="0.35">
      <c r="A398">
        <f>'Goodness of fit'!D$6/1000+A397</f>
        <v>6.3520000000000048</v>
      </c>
      <c r="B398">
        <f t="shared" si="13"/>
        <v>4.1980348156587063E-2</v>
      </c>
      <c r="C398">
        <f>IF(A398&gt;='Goodness of fit'!$D$3,B398,0)</f>
        <v>4.1980348156587063E-2</v>
      </c>
      <c r="D398" s="2">
        <f t="shared" si="12"/>
        <v>9.5685600451618252E-2</v>
      </c>
      <c r="E398" s="18" t="str">
        <f>IF('Goodness of fit'!B398&gt;0,('Goodness of fit'!A398-'Goodness of fit'!B398)^2/'Goodness of fit'!B398,"")</f>
        <v/>
      </c>
      <c r="F398" s="2"/>
      <c r="G398" s="2"/>
    </row>
    <row r="399" spans="1:7" x14ac:dyDescent="0.35">
      <c r="A399">
        <f>'Goodness of fit'!D$6/1000+A398</f>
        <v>6.3680000000000048</v>
      </c>
      <c r="B399">
        <f t="shared" si="13"/>
        <v>4.1698262866047955E-2</v>
      </c>
      <c r="C399">
        <f>IF(A399&gt;='Goodness of fit'!$D$3,B399,0)</f>
        <v>4.1698262866047955E-2</v>
      </c>
      <c r="D399" s="2">
        <f t="shared" si="12"/>
        <v>9.5016173922716121E-2</v>
      </c>
      <c r="E399" s="18" t="str">
        <f>IF('Goodness of fit'!B399&gt;0,('Goodness of fit'!A399-'Goodness of fit'!B399)^2/'Goodness of fit'!B399,"")</f>
        <v/>
      </c>
      <c r="F399" s="2"/>
      <c r="G399" s="2"/>
    </row>
    <row r="400" spans="1:7" x14ac:dyDescent="0.35">
      <c r="A400">
        <f>'Goodness of fit'!D$6/1000+A399</f>
        <v>6.3840000000000048</v>
      </c>
      <c r="B400">
        <f t="shared" si="13"/>
        <v>4.1417942300699895E-2</v>
      </c>
      <c r="C400">
        <f>IF(A400&gt;='Goodness of fit'!$D$3,B400,0)</f>
        <v>4.1417942300699895E-2</v>
      </c>
      <c r="D400" s="2">
        <f t="shared" si="12"/>
        <v>9.435124662804216E-2</v>
      </c>
      <c r="E400" s="18" t="str">
        <f>IF('Goodness of fit'!B400&gt;0,('Goodness of fit'!A400-'Goodness of fit'!B400)^2/'Goodness of fit'!B400,"")</f>
        <v/>
      </c>
      <c r="F400" s="2"/>
      <c r="G400" s="2"/>
    </row>
    <row r="401" spans="1:7" x14ac:dyDescent="0.35">
      <c r="A401">
        <f>'Goodness of fit'!D$6/1000+A400</f>
        <v>6.4000000000000048</v>
      </c>
      <c r="B401">
        <f t="shared" si="13"/>
        <v>4.113937701081407E-2</v>
      </c>
      <c r="C401">
        <f>IF(A401&gt;='Goodness of fit'!$D$3,B401,0)</f>
        <v>4.113937701081407E-2</v>
      </c>
      <c r="D401" s="2">
        <f t="shared" si="12"/>
        <v>9.3690790407629759E-2</v>
      </c>
      <c r="E401" s="18" t="str">
        <f>IF('Goodness of fit'!B401&gt;0,('Goodness of fit'!A401-'Goodness of fit'!B401)^2/'Goodness of fit'!B401,"")</f>
        <v/>
      </c>
      <c r="F401" s="2"/>
      <c r="G401" s="2"/>
    </row>
    <row r="402" spans="1:7" x14ac:dyDescent="0.35">
      <c r="A402">
        <f>'Goodness of fit'!D$6/1000+A401</f>
        <v>6.4160000000000048</v>
      </c>
      <c r="B402">
        <f t="shared" si="13"/>
        <v>4.0862557575680643E-2</v>
      </c>
      <c r="C402">
        <f>IF(A402&gt;='Goodness of fit'!$D$3,B402,0)</f>
        <v>4.0862557575680643E-2</v>
      </c>
      <c r="D402" s="2">
        <f t="shared" si="12"/>
        <v>9.3034777252475984E-2</v>
      </c>
      <c r="E402" s="18" t="str">
        <f>IF('Goodness of fit'!B402&gt;0,('Goodness of fit'!A402-'Goodness of fit'!B402)^2/'Goodness of fit'!B402,"")</f>
        <v/>
      </c>
      <c r="F402" s="2"/>
      <c r="G402" s="2"/>
    </row>
    <row r="403" spans="1:7" x14ac:dyDescent="0.35">
      <c r="A403">
        <f>'Goodness of fit'!D$6/1000+A402</f>
        <v>6.4320000000000048</v>
      </c>
      <c r="B403">
        <f t="shared" si="13"/>
        <v>4.0587474603874692E-2</v>
      </c>
      <c r="C403">
        <f>IF(A403&gt;='Goodness of fit'!$D$3,B403,0)</f>
        <v>4.0587474603874692E-2</v>
      </c>
      <c r="D403" s="2">
        <f t="shared" si="12"/>
        <v>9.2383179304075483E-2</v>
      </c>
      <c r="E403" s="18" t="str">
        <f>IF('Goodness of fit'!B403&gt;0,('Goodness of fit'!A403-'Goodness of fit'!B403)^2/'Goodness of fit'!B403,"")</f>
        <v/>
      </c>
      <c r="F403" s="2"/>
      <c r="G403" s="2"/>
    </row>
    <row r="404" spans="1:7" x14ac:dyDescent="0.35">
      <c r="A404">
        <f>'Goodness of fit'!D$6/1000+A403</f>
        <v>6.4480000000000048</v>
      </c>
      <c r="B404">
        <f t="shared" si="13"/>
        <v>4.0314118733514238E-2</v>
      </c>
      <c r="C404">
        <f>IF(A404&gt;='Goodness of fit'!$D$3,B404,0)</f>
        <v>4.0314118733514238E-2</v>
      </c>
      <c r="D404" s="2">
        <f t="shared" si="12"/>
        <v>9.1735968853949565E-2</v>
      </c>
      <c r="E404" s="18" t="str">
        <f>IF('Goodness of fit'!B404&gt;0,('Goodness of fit'!A404-'Goodness of fit'!B404)^2/'Goodness of fit'!B404,"")</f>
        <v/>
      </c>
      <c r="F404" s="2"/>
      <c r="G404" s="2"/>
    </row>
    <row r="405" spans="1:7" x14ac:dyDescent="0.35">
      <c r="A405">
        <f>'Goodness of fit'!D$6/1000+A404</f>
        <v>6.4640000000000049</v>
      </c>
      <c r="B405">
        <f t="shared" si="13"/>
        <v>4.0042480632510404E-2</v>
      </c>
      <c r="C405">
        <f>IF(A405&gt;='Goodness of fit'!$D$3,B405,0)</f>
        <v>4.0042480632510404E-2</v>
      </c>
      <c r="D405" s="2">
        <f t="shared" si="12"/>
        <v>9.1093118343171769E-2</v>
      </c>
      <c r="E405" s="18" t="str">
        <f>IF('Goodness of fit'!B405&gt;0,('Goodness of fit'!A405-'Goodness of fit'!B405)^2/'Goodness of fit'!B405,"")</f>
        <v/>
      </c>
      <c r="F405" s="2"/>
      <c r="G405" s="2"/>
    </row>
    <row r="406" spans="1:7" x14ac:dyDescent="0.35">
      <c r="A406">
        <f>'Goodness of fit'!D$6/1000+A405</f>
        <v>6.4800000000000049</v>
      </c>
      <c r="B406">
        <f t="shared" si="13"/>
        <v>3.9772550998809893E-2</v>
      </c>
      <c r="C406">
        <f>IF(A406&gt;='Goodness of fit'!$D$3,B406,0)</f>
        <v>3.9772550998809893E-2</v>
      </c>
      <c r="D406" s="2">
        <f t="shared" si="12"/>
        <v>9.0454600361888987E-2</v>
      </c>
      <c r="E406" s="18" t="str">
        <f>IF('Goodness of fit'!B406&gt;0,('Goodness of fit'!A406-'Goodness of fit'!B406)^2/'Goodness of fit'!B406,"")</f>
        <v/>
      </c>
      <c r="F406" s="2"/>
      <c r="G406" s="2"/>
    </row>
    <row r="407" spans="1:7" x14ac:dyDescent="0.35">
      <c r="A407">
        <f>'Goodness of fit'!D$6/1000+A406</f>
        <v>6.4960000000000049</v>
      </c>
      <c r="B407">
        <f t="shared" si="13"/>
        <v>3.9504320560629955E-2</v>
      </c>
      <c r="C407">
        <f>IF(A407&gt;='Goodness of fit'!$D$3,B407,0)</f>
        <v>3.9504320560629955E-2</v>
      </c>
      <c r="D407" s="2">
        <f t="shared" si="12"/>
        <v>8.9820387648839192E-2</v>
      </c>
      <c r="E407" s="18" t="str">
        <f>IF('Goodness of fit'!B407&gt;0,('Goodness of fit'!A407-'Goodness of fit'!B407)^2/'Goodness of fit'!B407,"")</f>
        <v/>
      </c>
      <c r="F407" s="2"/>
      <c r="G407" s="2"/>
    </row>
    <row r="408" spans="1:7" x14ac:dyDescent="0.35">
      <c r="A408">
        <f>'Goodness of fit'!D$6/1000+A407</f>
        <v>6.5120000000000049</v>
      </c>
      <c r="B408">
        <f t="shared" si="13"/>
        <v>3.9237780076685866E-2</v>
      </c>
      <c r="C408">
        <f>IF(A408&gt;='Goodness of fit'!$D$3,B408,0)</f>
        <v>3.9237780076685866E-2</v>
      </c>
      <c r="D408" s="2">
        <f t="shared" si="12"/>
        <v>8.9190453090865027E-2</v>
      </c>
      <c r="E408" s="18" t="str">
        <f>IF('Goodness of fit'!B408&gt;0,('Goodness of fit'!A408-'Goodness of fit'!B408)^2/'Goodness of fit'!B408,"")</f>
        <v/>
      </c>
      <c r="F408" s="2"/>
      <c r="G408" s="2"/>
    </row>
    <row r="409" spans="1:7" x14ac:dyDescent="0.35">
      <c r="A409">
        <f>'Goodness of fit'!D$6/1000+A408</f>
        <v>6.5280000000000049</v>
      </c>
      <c r="B409">
        <f t="shared" si="13"/>
        <v>3.8972920336411143E-2</v>
      </c>
      <c r="C409">
        <f>IF(A409&gt;='Goodness of fit'!$D$3,B409,0)</f>
        <v>3.8972920336411143E-2</v>
      </c>
      <c r="D409" s="2">
        <f t="shared" si="12"/>
        <v>8.8564769722424497E-2</v>
      </c>
      <c r="E409" s="18" t="str">
        <f>IF('Goodness of fit'!B409&gt;0,('Goodness of fit'!A409-'Goodness of fit'!B409)^2/'Goodness of fit'!B409,"")</f>
        <v/>
      </c>
      <c r="F409" s="2"/>
      <c r="G409" s="2"/>
    </row>
    <row r="410" spans="1:7" x14ac:dyDescent="0.35">
      <c r="A410">
        <f>'Goodness of fit'!D$6/1000+A409</f>
        <v>6.5440000000000049</v>
      </c>
      <c r="B410">
        <f t="shared" si="13"/>
        <v>3.8709732160170582E-2</v>
      </c>
      <c r="C410">
        <f>IF(A410&gt;='Goodness of fit'!$D$3,B410,0)</f>
        <v>3.8709732160170582E-2</v>
      </c>
      <c r="D410" s="2">
        <f t="shared" si="12"/>
        <v>8.7943310725097229E-2</v>
      </c>
      <c r="E410" s="18" t="str">
        <f>IF('Goodness of fit'!B410&gt;0,('Goodness of fit'!A410-'Goodness of fit'!B410)^2/'Goodness of fit'!B410,"")</f>
        <v/>
      </c>
      <c r="F410" s="2"/>
      <c r="G410" s="2"/>
    </row>
    <row r="411" spans="1:7" x14ac:dyDescent="0.35">
      <c r="A411">
        <f>'Goodness of fit'!D$6/1000+A410</f>
        <v>6.5600000000000049</v>
      </c>
      <c r="B411">
        <f t="shared" si="13"/>
        <v>3.8448206399466334E-2</v>
      </c>
      <c r="C411">
        <f>IF(A411&gt;='Goodness of fit'!$D$3,B411,0)</f>
        <v>3.8448206399466334E-2</v>
      </c>
      <c r="D411" s="2">
        <f t="shared" si="12"/>
        <v>8.7326049427088409E-2</v>
      </c>
      <c r="E411" s="18" t="str">
        <f>IF('Goodness of fit'!B411&gt;0,('Goodness of fit'!A411-'Goodness of fit'!B411)^2/'Goodness of fit'!B411,"")</f>
        <v/>
      </c>
      <c r="F411" s="2"/>
      <c r="G411" s="2"/>
    </row>
    <row r="412" spans="1:7" x14ac:dyDescent="0.35">
      <c r="A412">
        <f>'Goodness of fit'!D$6/1000+A411</f>
        <v>6.576000000000005</v>
      </c>
      <c r="B412">
        <f t="shared" si="13"/>
        <v>3.8188333937136935E-2</v>
      </c>
      <c r="C412">
        <f>IF(A412&gt;='Goodness of fit'!$D$3,B412,0)</f>
        <v>3.8188333937136935E-2</v>
      </c>
      <c r="D412" s="2">
        <f t="shared" si="12"/>
        <v>8.6712959302728598E-2</v>
      </c>
      <c r="E412" s="18" t="str">
        <f>IF('Goodness of fit'!B412&gt;0,('Goodness of fit'!A412-'Goodness of fit'!B412)^2/'Goodness of fit'!B412,"")</f>
        <v/>
      </c>
      <c r="F412" s="2"/>
      <c r="G412" s="2"/>
    </row>
    <row r="413" spans="1:7" x14ac:dyDescent="0.35">
      <c r="A413">
        <f>'Goodness of fit'!D$6/1000+A412</f>
        <v>6.592000000000005</v>
      </c>
      <c r="B413">
        <f t="shared" si="13"/>
        <v>3.7930105687549759E-2</v>
      </c>
      <c r="C413">
        <f>IF(A413&gt;='Goodness of fit'!$D$3,B413,0)</f>
        <v>3.7930105687549759E-2</v>
      </c>
      <c r="D413" s="2">
        <f t="shared" si="12"/>
        <v>8.6104013971971025E-2</v>
      </c>
      <c r="E413" s="18" t="str">
        <f>IF('Goodness of fit'!B413&gt;0,('Goodness of fit'!A413-'Goodness of fit'!B413)^2/'Goodness of fit'!B413,"")</f>
        <v/>
      </c>
      <c r="F413" s="2"/>
      <c r="G413" s="2"/>
    </row>
    <row r="414" spans="1:7" x14ac:dyDescent="0.35">
      <c r="A414">
        <f>'Goodness of fit'!D$6/1000+A413</f>
        <v>6.608000000000005</v>
      </c>
      <c r="B414">
        <f t="shared" si="13"/>
        <v>3.7673512596786557E-2</v>
      </c>
      <c r="C414">
        <f>IF(A414&gt;='Goodness of fit'!$D$3,B414,0)</f>
        <v>3.7673512596786557E-2</v>
      </c>
      <c r="D414" s="2">
        <f t="shared" si="12"/>
        <v>8.5499187199885612E-2</v>
      </c>
      <c r="E414" s="18" t="str">
        <f>IF('Goodness of fit'!B414&gt;0,('Goodness of fit'!A414-'Goodness of fit'!B414)^2/'Goodness of fit'!B414,"")</f>
        <v/>
      </c>
      <c r="F414" s="2"/>
      <c r="G414" s="2"/>
    </row>
    <row r="415" spans="1:7" x14ac:dyDescent="0.35">
      <c r="A415">
        <f>'Goodness of fit'!D$6/1000+A414</f>
        <v>6.624000000000005</v>
      </c>
      <c r="B415">
        <f t="shared" si="13"/>
        <v>3.7418545642822681E-2</v>
      </c>
      <c r="C415">
        <f>IF(A415&gt;='Goodness of fit'!$D$3,B415,0)</f>
        <v>3.7418545642822681E-2</v>
      </c>
      <c r="D415" s="2">
        <f t="shared" si="12"/>
        <v>8.4898452896149973E-2</v>
      </c>
      <c r="E415" s="18" t="str">
        <f>IF('Goodness of fit'!B415&gt;0,('Goodness of fit'!A415-'Goodness of fit'!B415)^2/'Goodness of fit'!B415,"")</f>
        <v/>
      </c>
      <c r="F415" s="2"/>
      <c r="G415" s="2"/>
    </row>
    <row r="416" spans="1:7" x14ac:dyDescent="0.35">
      <c r="A416">
        <f>'Goodness of fit'!D$6/1000+A415</f>
        <v>6.640000000000005</v>
      </c>
      <c r="B416">
        <f t="shared" si="13"/>
        <v>3.716519583569973E-2</v>
      </c>
      <c r="C416">
        <f>IF(A416&gt;='Goodness of fit'!$D$3,B416,0)</f>
        <v>3.716519583569973E-2</v>
      </c>
      <c r="D416" s="2">
        <f t="shared" si="12"/>
        <v>8.4301785114537856E-2</v>
      </c>
      <c r="E416" s="18" t="str">
        <f>IF('Goodness of fit'!B416&gt;0,('Goodness of fit'!A416-'Goodness of fit'!B416)^2/'Goodness of fit'!B416,"")</f>
        <v/>
      </c>
      <c r="F416" s="2"/>
      <c r="G416" s="2"/>
    </row>
    <row r="417" spans="1:7" x14ac:dyDescent="0.35">
      <c r="A417">
        <f>'Goodness of fit'!D$6/1000+A416</f>
        <v>6.656000000000005</v>
      </c>
      <c r="B417">
        <f t="shared" si="13"/>
        <v>3.6913454217691967E-2</v>
      </c>
      <c r="C417">
        <f>IF(A417&gt;='Goodness of fit'!$D$3,B417,0)</f>
        <v>3.6913454217691967E-2</v>
      </c>
      <c r="D417" s="2">
        <f t="shared" si="12"/>
        <v>8.3709158052404739E-2</v>
      </c>
      <c r="E417" s="18" t="str">
        <f>IF('Goodness of fit'!B417&gt;0,('Goodness of fit'!A417-'Goodness of fit'!B417)^2/'Goodness of fit'!B417,"")</f>
        <v/>
      </c>
      <c r="F417" s="2"/>
      <c r="G417" s="2"/>
    </row>
    <row r="418" spans="1:7" x14ac:dyDescent="0.35">
      <c r="A418">
        <f>'Goodness of fit'!D$6/1000+A417</f>
        <v>6.672000000000005</v>
      </c>
      <c r="B418">
        <f t="shared" si="13"/>
        <v>3.6663311863466497E-2</v>
      </c>
      <c r="C418">
        <f>IF(A418&gt;='Goodness of fit'!$D$3,B418,0)</f>
        <v>3.6663311863466497E-2</v>
      </c>
      <c r="D418" s="2">
        <f t="shared" si="12"/>
        <v>8.3120546050170677E-2</v>
      </c>
      <c r="E418" s="18" t="str">
        <f>IF('Goodness of fit'!B418&gt;0,('Goodness of fit'!A418-'Goodness of fit'!B418)^2/'Goodness of fit'!B418,"")</f>
        <v/>
      </c>
      <c r="F418" s="2"/>
      <c r="G418" s="2"/>
    </row>
    <row r="419" spans="1:7" x14ac:dyDescent="0.35">
      <c r="A419">
        <f>'Goodness of fit'!D$6/1000+A418</f>
        <v>6.6880000000000051</v>
      </c>
      <c r="B419">
        <f t="shared" si="13"/>
        <v>3.6414759880237402E-2</v>
      </c>
      <c r="C419">
        <f>IF(A419&gt;='Goodness of fit'!$D$3,B419,0)</f>
        <v>3.6414759880237402E-2</v>
      </c>
      <c r="D419" s="2">
        <f t="shared" si="12"/>
        <v>8.2535923590800961E-2</v>
      </c>
      <c r="E419" s="18" t="str">
        <f>IF('Goodness of fit'!B419&gt;0,('Goodness of fit'!A419-'Goodness of fit'!B419)^2/'Goodness of fit'!B419,"")</f>
        <v/>
      </c>
      <c r="F419" s="2"/>
      <c r="G419" s="2"/>
    </row>
    <row r="420" spans="1:7" x14ac:dyDescent="0.35">
      <c r="A420">
        <f>'Goodness of fit'!D$6/1000+A419</f>
        <v>6.7040000000000051</v>
      </c>
      <c r="B420">
        <f t="shared" si="13"/>
        <v>3.6167789407913889E-2</v>
      </c>
      <c r="C420">
        <f>IF(A420&gt;='Goodness of fit'!$D$3,B420,0)</f>
        <v>3.6167789407913889E-2</v>
      </c>
      <c r="D420" s="2">
        <f t="shared" si="12"/>
        <v>8.1955265299284069E-2</v>
      </c>
      <c r="E420" s="18" t="str">
        <f>IF('Goodness of fit'!B420&gt;0,('Goodness of fit'!A420-'Goodness of fit'!B420)^2/'Goodness of fit'!B420,"")</f>
        <v/>
      </c>
      <c r="F420" s="2"/>
      <c r="G420" s="2"/>
    </row>
    <row r="421" spans="1:7" x14ac:dyDescent="0.35">
      <c r="A421">
        <f>'Goodness of fit'!D$6/1000+A420</f>
        <v>6.7200000000000051</v>
      </c>
      <c r="B421">
        <f t="shared" si="13"/>
        <v>3.5922391619242509E-2</v>
      </c>
      <c r="C421">
        <f>IF(A421&gt;='Goodness of fit'!$D$3,B421,0)</f>
        <v>3.5922391619242509E-2</v>
      </c>
      <c r="D421" s="2">
        <f t="shared" si="12"/>
        <v>8.1378545942107444E-2</v>
      </c>
      <c r="E421" s="18" t="str">
        <f>IF('Goodness of fit'!B421&gt;0,('Goodness of fit'!A421-'Goodness of fit'!B421)^2/'Goodness of fit'!B421,"")</f>
        <v/>
      </c>
      <c r="F421" s="2"/>
      <c r="G421" s="2"/>
    </row>
    <row r="422" spans="1:7" x14ac:dyDescent="0.35">
      <c r="A422">
        <f>'Goodness of fit'!D$6/1000+A421</f>
        <v>6.7360000000000051</v>
      </c>
      <c r="B422">
        <f t="shared" si="13"/>
        <v>3.5678557719943757E-2</v>
      </c>
      <c r="C422">
        <f>IF(A422&gt;='Goodness of fit'!$D$3,B422,0)</f>
        <v>3.5678557719943757E-2</v>
      </c>
      <c r="D422" s="2">
        <f t="shared" si="12"/>
        <v>8.080574042673086E-2</v>
      </c>
      <c r="E422" s="18" t="str">
        <f>IF('Goodness of fit'!B422&gt;0,('Goodness of fit'!A422-'Goodness of fit'!B422)^2/'Goodness of fit'!B422,"")</f>
        <v/>
      </c>
      <c r="F422" s="2"/>
      <c r="G422" s="2"/>
    </row>
    <row r="423" spans="1:7" x14ac:dyDescent="0.35">
      <c r="A423">
        <f>'Goodness of fit'!D$6/1000+A422</f>
        <v>6.7520000000000051</v>
      </c>
      <c r="B423">
        <f t="shared" si="13"/>
        <v>3.5436278948842867E-2</v>
      </c>
      <c r="C423">
        <f>IF(A423&gt;='Goodness of fit'!$D$3,B423,0)</f>
        <v>3.5436278948842867E-2</v>
      </c>
      <c r="D423" s="2">
        <f t="shared" si="12"/>
        <v>8.023682380105808E-2</v>
      </c>
      <c r="E423" s="18" t="str">
        <f>IF('Goodness of fit'!B423&gt;0,('Goodness of fit'!A423-'Goodness of fit'!B423)^2/'Goodness of fit'!B423,"")</f>
        <v/>
      </c>
      <c r="F423" s="2"/>
      <c r="G423" s="2"/>
    </row>
    <row r="424" spans="1:7" x14ac:dyDescent="0.35">
      <c r="A424">
        <f>'Goodness of fit'!D$6/1000+A423</f>
        <v>6.7680000000000051</v>
      </c>
      <c r="B424">
        <f t="shared" si="13"/>
        <v>3.519554657799516E-2</v>
      </c>
      <c r="C424">
        <f>IF(A424&gt;='Goodness of fit'!$D$3,B424,0)</f>
        <v>3.519554657799516E-2</v>
      </c>
      <c r="D424" s="2">
        <f t="shared" si="12"/>
        <v>7.967177125290581E-2</v>
      </c>
      <c r="E424" s="18" t="str">
        <f>IF('Goodness of fit'!B424&gt;0,('Goodness of fit'!A424-'Goodness of fit'!B424)^2/'Goodness of fit'!B424,"")</f>
        <v/>
      </c>
      <c r="F424" s="2"/>
      <c r="G424" s="2"/>
    </row>
    <row r="425" spans="1:7" x14ac:dyDescent="0.35">
      <c r="A425">
        <f>'Goodness of fit'!D$6/1000+A424</f>
        <v>6.7840000000000051</v>
      </c>
      <c r="B425">
        <f t="shared" si="13"/>
        <v>3.4956351912805883E-2</v>
      </c>
      <c r="C425">
        <f>IF(A425&gt;='Goodness of fit'!$D$3,B425,0)</f>
        <v>3.4956351912805883E-2</v>
      </c>
      <c r="D425" s="2">
        <f t="shared" si="12"/>
        <v>7.9110558109471346E-2</v>
      </c>
      <c r="E425" s="18" t="str">
        <f>IF('Goodness of fit'!B425&gt;0,('Goodness of fit'!A425-'Goodness of fit'!B425)^2/'Goodness of fit'!B425,"")</f>
        <v/>
      </c>
      <c r="F425" s="2"/>
      <c r="G425" s="2"/>
    </row>
    <row r="426" spans="1:7" x14ac:dyDescent="0.35">
      <c r="A426">
        <f>'Goodness of fit'!D$6/1000+A425</f>
        <v>6.8000000000000052</v>
      </c>
      <c r="B426">
        <f t="shared" si="13"/>
        <v>3.4718686292144786E-2</v>
      </c>
      <c r="C426">
        <f>IF(A426&gt;='Goodness of fit'!$D$3,B426,0)</f>
        <v>3.4718686292144786E-2</v>
      </c>
      <c r="D426" s="2">
        <f t="shared" si="12"/>
        <v>7.8553159836797837E-2</v>
      </c>
      <c r="E426" s="18" t="str">
        <f>IF('Goodness of fit'!B426&gt;0,('Goodness of fit'!A426-'Goodness of fit'!B426)^2/'Goodness of fit'!B426,"")</f>
        <v/>
      </c>
      <c r="F426" s="2"/>
      <c r="G426" s="2"/>
    </row>
    <row r="427" spans="1:7" x14ac:dyDescent="0.35">
      <c r="A427">
        <f>'Goodness of fit'!D$6/1000+A426</f>
        <v>6.8160000000000052</v>
      </c>
      <c r="B427">
        <f t="shared" si="13"/>
        <v>3.4482541088455346E-2</v>
      </c>
      <c r="C427">
        <f>IF(A427&gt;='Goodness of fit'!$D$3,B427,0)</f>
        <v>3.4482541088455346E-2</v>
      </c>
      <c r="D427" s="2">
        <f t="shared" si="12"/>
        <v>7.799955203923821E-2</v>
      </c>
      <c r="E427" s="18" t="str">
        <f>IF('Goodness of fit'!B427&gt;0,('Goodness of fit'!A427-'Goodness of fit'!B427)^2/'Goodness of fit'!B427,"")</f>
        <v/>
      </c>
      <c r="F427" s="2"/>
      <c r="G427" s="2"/>
    </row>
    <row r="428" spans="1:7" x14ac:dyDescent="0.35">
      <c r="A428">
        <f>'Goodness of fit'!D$6/1000+A427</f>
        <v>6.8320000000000052</v>
      </c>
      <c r="B428">
        <f t="shared" si="13"/>
        <v>3.4247907707858849E-2</v>
      </c>
      <c r="C428">
        <f>IF(A428&gt;='Goodness of fit'!$D$3,B428,0)</f>
        <v>3.4247907707858849E-2</v>
      </c>
      <c r="D428" s="2">
        <f t="shared" si="12"/>
        <v>7.7449710458916771E-2</v>
      </c>
      <c r="E428" s="18" t="str">
        <f>IF('Goodness of fit'!B428&gt;0,('Goodness of fit'!A428-'Goodness of fit'!B428)^2/'Goodness of fit'!B428,"")</f>
        <v/>
      </c>
      <c r="F428" s="2"/>
      <c r="G428" s="2"/>
    </row>
    <row r="429" spans="1:7" x14ac:dyDescent="0.35">
      <c r="A429">
        <f>'Goodness of fit'!D$6/1000+A428</f>
        <v>6.8480000000000052</v>
      </c>
      <c r="B429">
        <f t="shared" si="13"/>
        <v>3.401477759025353E-2</v>
      </c>
      <c r="C429">
        <f>IF(A429&gt;='Goodness of fit'!$D$3,B429,0)</f>
        <v>3.401477759025353E-2</v>
      </c>
      <c r="D429" s="2">
        <f t="shared" si="12"/>
        <v>7.6903610975190106E-2</v>
      </c>
      <c r="E429" s="18" t="str">
        <f>IF('Goodness of fit'!B429&gt;0,('Goodness of fit'!A429-'Goodness of fit'!B429)^2/'Goodness of fit'!B429,"")</f>
        <v/>
      </c>
      <c r="F429" s="2"/>
      <c r="G429" s="2"/>
    </row>
    <row r="430" spans="1:7" x14ac:dyDescent="0.35">
      <c r="A430">
        <f>'Goodness of fit'!D$6/1000+A429</f>
        <v>6.8640000000000052</v>
      </c>
      <c r="B430">
        <f t="shared" si="13"/>
        <v>3.3783142209408597E-2</v>
      </c>
      <c r="C430">
        <f>IF(A430&gt;='Goodness of fit'!$D$3,B430,0)</f>
        <v>3.3783142209408597E-2</v>
      </c>
      <c r="D430" s="2">
        <f t="shared" si="12"/>
        <v>7.6361229604105324E-2</v>
      </c>
      <c r="E430" s="18" t="str">
        <f>IF('Goodness of fit'!B430&gt;0,('Goodness of fit'!A430-'Goodness of fit'!B430)^2/'Goodness of fit'!B430,"")</f>
        <v/>
      </c>
      <c r="F430" s="2"/>
      <c r="G430" s="2"/>
    </row>
    <row r="431" spans="1:7" x14ac:dyDescent="0.35">
      <c r="A431">
        <f>'Goodness of fit'!D$6/1000+A430</f>
        <v>6.8800000000000052</v>
      </c>
      <c r="B431">
        <f t="shared" si="13"/>
        <v>3.3552993073053483E-2</v>
      </c>
      <c r="C431">
        <f>IF(A431&gt;='Goodness of fit'!$D$3,B431,0)</f>
        <v>3.3552993073053483E-2</v>
      </c>
      <c r="D431" s="2">
        <f t="shared" si="12"/>
        <v>7.5822542497857803E-2</v>
      </c>
      <c r="E431" s="18" t="str">
        <f>IF('Goodness of fit'!B431&gt;0,('Goodness of fit'!A431-'Goodness of fit'!B431)^2/'Goodness of fit'!B431,"")</f>
        <v/>
      </c>
      <c r="F431" s="2"/>
      <c r="G431" s="2"/>
    </row>
    <row r="432" spans="1:7" x14ac:dyDescent="0.35">
      <c r="A432">
        <f>'Goodness of fit'!D$6/1000+A431</f>
        <v>6.8960000000000052</v>
      </c>
      <c r="B432">
        <f t="shared" si="13"/>
        <v>3.3324321722962305E-2</v>
      </c>
      <c r="C432">
        <f>IF(A432&gt;='Goodness of fit'!$D$3,B432,0)</f>
        <v>3.3324321722962305E-2</v>
      </c>
      <c r="D432" s="2">
        <f t="shared" si="12"/>
        <v>7.5287525944246966E-2</v>
      </c>
      <c r="E432" s="18" t="str">
        <f>IF('Goodness of fit'!B432&gt;0,('Goodness of fit'!A432-'Goodness of fit'!B432)^2/'Goodness of fit'!B432,"")</f>
        <v/>
      </c>
      <c r="F432" s="2"/>
      <c r="G432" s="2"/>
    </row>
    <row r="433" spans="1:7" x14ac:dyDescent="0.35">
      <c r="A433">
        <f>'Goodness of fit'!D$6/1000+A432</f>
        <v>6.9120000000000053</v>
      </c>
      <c r="B433">
        <f t="shared" si="13"/>
        <v>3.3097119735033556E-2</v>
      </c>
      <c r="C433">
        <f>IF(A433&gt;='Goodness of fit'!$D$3,B433,0)</f>
        <v>3.3097119735033556E-2</v>
      </c>
      <c r="D433" s="2">
        <f t="shared" si="12"/>
        <v>7.4756156366130894E-2</v>
      </c>
      <c r="E433" s="18" t="str">
        <f>IF('Goodness of fit'!B433&gt;0,('Goodness of fit'!A433-'Goodness of fit'!B433)^2/'Goodness of fit'!B433,"")</f>
        <v/>
      </c>
      <c r="F433" s="2"/>
      <c r="G433" s="2"/>
    </row>
    <row r="434" spans="1:7" x14ac:dyDescent="0.35">
      <c r="A434">
        <f>'Goodness of fit'!D$6/1000+A433</f>
        <v>6.9280000000000053</v>
      </c>
      <c r="B434">
        <f t="shared" si="13"/>
        <v>3.2871378719365275E-2</v>
      </c>
      <c r="C434">
        <f>IF(A434&gt;='Goodness of fit'!$D$3,B434,0)</f>
        <v>3.2871378719365275E-2</v>
      </c>
      <c r="D434" s="2">
        <f t="shared" si="12"/>
        <v>7.4228410320879887E-2</v>
      </c>
      <c r="E434" s="18" t="str">
        <f>IF('Goodness of fit'!B434&gt;0,('Goodness of fit'!A434-'Goodness of fit'!B434)^2/'Goodness of fit'!B434,"")</f>
        <v/>
      </c>
      <c r="F434" s="2"/>
      <c r="G434" s="2"/>
    </row>
    <row r="435" spans="1:7" x14ac:dyDescent="0.35">
      <c r="A435">
        <f>'Goodness of fit'!D$6/1000+A434</f>
        <v>6.9440000000000053</v>
      </c>
      <c r="B435">
        <f t="shared" si="13"/>
        <v>3.2647090320325728E-2</v>
      </c>
      <c r="C435">
        <f>IF(A435&gt;='Goodness of fit'!$D$3,B435,0)</f>
        <v>3.2647090320325728E-2</v>
      </c>
      <c r="D435" s="2">
        <f t="shared" si="12"/>
        <v>7.3704264499828601E-2</v>
      </c>
      <c r="E435" s="18" t="str">
        <f>IF('Goodness of fit'!B435&gt;0,('Goodness of fit'!A435-'Goodness of fit'!B435)^2/'Goodness of fit'!B435,"")</f>
        <v/>
      </c>
      <c r="F435" s="2"/>
      <c r="G435" s="2"/>
    </row>
    <row r="436" spans="1:7" x14ac:dyDescent="0.35">
      <c r="A436">
        <f>'Goodness of fit'!D$6/1000+A435</f>
        <v>6.9600000000000053</v>
      </c>
      <c r="B436">
        <f t="shared" si="13"/>
        <v>3.2424246216619483E-2</v>
      </c>
      <c r="C436">
        <f>IF(A436&gt;='Goodness of fit'!$D$3,B436,0)</f>
        <v>3.2424246216619483E-2</v>
      </c>
      <c r="D436" s="2">
        <f t="shared" si="12"/>
        <v>7.3183695727727149E-2</v>
      </c>
      <c r="E436" s="18" t="str">
        <f>IF('Goodness of fit'!B436&gt;0,('Goodness of fit'!A436-'Goodness of fit'!B436)^2/'Goodness of fit'!B436,"")</f>
        <v/>
      </c>
      <c r="F436" s="2"/>
      <c r="G436" s="2"/>
    </row>
    <row r="437" spans="1:7" x14ac:dyDescent="0.35">
      <c r="A437">
        <f>'Goodness of fit'!D$6/1000+A436</f>
        <v>6.9760000000000053</v>
      </c>
      <c r="B437">
        <f t="shared" si="13"/>
        <v>3.2202838121349379E-2</v>
      </c>
      <c r="C437">
        <f>IF(A437&gt;='Goodness of fit'!$D$3,B437,0)</f>
        <v>3.2202838121349379E-2</v>
      </c>
      <c r="D437" s="2">
        <f t="shared" si="12"/>
        <v>7.2666680962191227E-2</v>
      </c>
      <c r="E437" s="18" t="str">
        <f>IF('Goodness of fit'!B437&gt;0,('Goodness of fit'!A437-'Goodness of fit'!B437)^2/'Goodness of fit'!B437,"")</f>
        <v/>
      </c>
      <c r="F437" s="2"/>
      <c r="G437" s="2"/>
    </row>
    <row r="438" spans="1:7" x14ac:dyDescent="0.35">
      <c r="A438">
        <f>'Goodness of fit'!D$6/1000+A437</f>
        <v>6.9920000000000053</v>
      </c>
      <c r="B438">
        <f t="shared" si="13"/>
        <v>3.1982857782074013E-2</v>
      </c>
      <c r="C438">
        <f>IF(A438&gt;='Goodness of fit'!$D$3,B438,0)</f>
        <v>3.1982857782074013E-2</v>
      </c>
      <c r="D438" s="2">
        <f t="shared" si="12"/>
        <v>7.215319729315145E-2</v>
      </c>
      <c r="E438" s="18" t="str">
        <f>IF('Goodness of fit'!B438&gt;0,('Goodness of fit'!A438-'Goodness of fit'!B438)^2/'Goodness of fit'!B438,"")</f>
        <v/>
      </c>
      <c r="F438" s="2"/>
      <c r="G438" s="2"/>
    </row>
    <row r="439" spans="1:7" x14ac:dyDescent="0.35">
      <c r="A439">
        <f>'Goodness of fit'!D$6/1000+A438</f>
        <v>7.0080000000000053</v>
      </c>
      <c r="B439">
        <f t="shared" si="13"/>
        <v>3.1764296980861167E-2</v>
      </c>
      <c r="C439">
        <f>IF(A439&gt;='Goodness of fit'!$D$3,B439,0)</f>
        <v>3.1764296980861167E-2</v>
      </c>
      <c r="D439" s="2">
        <f t="shared" si="12"/>
        <v>7.1643221942301341E-2</v>
      </c>
      <c r="E439" s="18" t="str">
        <f>IF('Goodness of fit'!B439&gt;0,('Goodness of fit'!A439-'Goodness of fit'!B439)^2/'Goodness of fit'!B439,"")</f>
        <v/>
      </c>
      <c r="F439" s="2"/>
      <c r="G439" s="2"/>
    </row>
    <row r="440" spans="1:7" x14ac:dyDescent="0.35">
      <c r="A440">
        <f>'Goodness of fit'!D$6/1000+A439</f>
        <v>7.0240000000000054</v>
      </c>
      <c r="B440">
        <f t="shared" si="13"/>
        <v>3.1547147534337086E-2</v>
      </c>
      <c r="C440">
        <f>IF(A440&gt;='Goodness of fit'!$D$3,B440,0)</f>
        <v>3.1547147534337086E-2</v>
      </c>
      <c r="D440" s="2">
        <f t="shared" si="12"/>
        <v>7.1136732262545022E-2</v>
      </c>
      <c r="E440" s="18" t="str">
        <f>IF('Goodness of fit'!B440&gt;0,('Goodness of fit'!A440-'Goodness of fit'!B440)^2/'Goodness of fit'!B440,"")</f>
        <v/>
      </c>
      <c r="F440" s="2"/>
      <c r="G440" s="2"/>
    </row>
    <row r="441" spans="1:7" x14ac:dyDescent="0.35">
      <c r="A441">
        <f>'Goodness of fit'!D$6/1000+A440</f>
        <v>7.0400000000000054</v>
      </c>
      <c r="B441">
        <f t="shared" si="13"/>
        <v>3.1331401293731742E-2</v>
      </c>
      <c r="C441">
        <f>IF(A441&gt;='Goodness of fit'!$D$3,B441,0)</f>
        <v>3.1331401293731742E-2</v>
      </c>
      <c r="D441" s="2">
        <f t="shared" si="12"/>
        <v>7.0633705737443819E-2</v>
      </c>
      <c r="E441" s="18" t="str">
        <f>IF('Goodness of fit'!B441&gt;0,('Goodness of fit'!A441-'Goodness of fit'!B441)^2/'Goodness of fit'!B441,"")</f>
        <v/>
      </c>
      <c r="F441" s="2"/>
      <c r="G441" s="2"/>
    </row>
    <row r="442" spans="1:7" x14ac:dyDescent="0.35">
      <c r="A442">
        <f>'Goodness of fit'!D$6/1000+A441</f>
        <v>7.0560000000000054</v>
      </c>
      <c r="B442">
        <f t="shared" si="13"/>
        <v>3.1117050144920111E-2</v>
      </c>
      <c r="C442">
        <f>IF(A442&gt;='Goodness of fit'!$D$3,B442,0)</f>
        <v>3.1117050144920111E-2</v>
      </c>
      <c r="D442" s="2">
        <f t="shared" si="12"/>
        <v>7.0134119980662241E-2</v>
      </c>
      <c r="E442" s="18" t="str">
        <f>IF('Goodness of fit'!B442&gt;0,('Goodness of fit'!A442-'Goodness of fit'!B442)^2/'Goodness of fit'!B442,"")</f>
        <v/>
      </c>
      <c r="F442" s="2"/>
      <c r="G442" s="2"/>
    </row>
    <row r="443" spans="1:7" x14ac:dyDescent="0.35">
      <c r="A443">
        <f>'Goodness of fit'!D$6/1000+A442</f>
        <v>7.0720000000000054</v>
      </c>
      <c r="B443">
        <f t="shared" si="13"/>
        <v>3.0904086008459643E-2</v>
      </c>
      <c r="C443">
        <f>IF(A443&gt;='Goodness of fit'!$D$3,B443,0)</f>
        <v>3.0904086008459643E-2</v>
      </c>
      <c r="D443" s="2">
        <f t="shared" si="12"/>
        <v>6.9637952735413358E-2</v>
      </c>
      <c r="E443" s="18" t="str">
        <f>IF('Goodness of fit'!B443&gt;0,('Goodness of fit'!A443-'Goodness of fit'!B443)^2/'Goodness of fit'!B443,"")</f>
        <v/>
      </c>
      <c r="F443" s="2"/>
      <c r="G443" s="2"/>
    </row>
    <row r="444" spans="1:7" x14ac:dyDescent="0.35">
      <c r="A444">
        <f>'Goodness of fit'!D$6/1000+A443</f>
        <v>7.0880000000000054</v>
      </c>
      <c r="B444">
        <f t="shared" si="13"/>
        <v>3.0692500839623868E-2</v>
      </c>
      <c r="C444">
        <f>IF(A444&gt;='Goodness of fit'!$D$3,B444,0)</f>
        <v>3.0692500839623868E-2</v>
      </c>
      <c r="D444" s="2">
        <f t="shared" si="12"/>
        <v>6.9145181873903686E-2</v>
      </c>
      <c r="E444" s="18" t="str">
        <f>IF('Goodness of fit'!B444&gt;0,('Goodness of fit'!A444-'Goodness of fit'!B444)^2/'Goodness of fit'!B444,"")</f>
        <v/>
      </c>
      <c r="F444" s="2"/>
      <c r="G444" s="2"/>
    </row>
    <row r="445" spans="1:7" x14ac:dyDescent="0.35">
      <c r="A445">
        <f>'Goodness of fit'!D$6/1000+A444</f>
        <v>7.1040000000000054</v>
      </c>
      <c r="B445">
        <f t="shared" si="13"/>
        <v>3.0482286628432286E-2</v>
      </c>
      <c r="C445">
        <f>IF(A445&gt;='Goodness of fit'!$D$3,B445,0)</f>
        <v>3.0482286628432286E-2</v>
      </c>
      <c r="D445" s="2">
        <f t="shared" si="12"/>
        <v>6.8655785396777483E-2</v>
      </c>
      <c r="E445" s="18" t="str">
        <f>IF('Goodness of fit'!B445&gt;0,('Goodness of fit'!A445-'Goodness of fit'!B445)^2/'Goodness of fit'!B445,"")</f>
        <v/>
      </c>
      <c r="F445" s="2"/>
      <c r="G445" s="2"/>
    </row>
    <row r="446" spans="1:7" x14ac:dyDescent="0.35">
      <c r="A446">
        <f>'Goodness of fit'!D$6/1000+A445</f>
        <v>7.1200000000000054</v>
      </c>
      <c r="B446">
        <f t="shared" si="13"/>
        <v>3.027343539967664E-2</v>
      </c>
      <c r="C446">
        <f>IF(A446&gt;='Goodness of fit'!$D$3,B446,0)</f>
        <v>3.027343539967664E-2</v>
      </c>
      <c r="D446" s="2">
        <f t="shared" si="12"/>
        <v>6.816974143256041E-2</v>
      </c>
      <c r="E446" s="18" t="str">
        <f>IF('Goodness of fit'!B446&gt;0,('Goodness of fit'!A446-'Goodness of fit'!B446)^2/'Goodness of fit'!B446,"")</f>
        <v/>
      </c>
      <c r="F446" s="2"/>
      <c r="G446" s="2"/>
    </row>
    <row r="447" spans="1:7" x14ac:dyDescent="0.35">
      <c r="A447">
        <f>'Goodness of fit'!D$6/1000+A446</f>
        <v>7.1360000000000054</v>
      </c>
      <c r="B447">
        <f t="shared" si="13"/>
        <v>3.0065939212943562E-2</v>
      </c>
      <c r="C447">
        <f>IF(A447&gt;='Goodness of fit'!$D$3,B447,0)</f>
        <v>3.0065939212943562E-2</v>
      </c>
      <c r="D447" s="2">
        <f t="shared" si="12"/>
        <v>6.7687028237103236E-2</v>
      </c>
      <c r="E447" s="18" t="str">
        <f>IF('Goodness of fit'!B447&gt;0,('Goodness of fit'!A447-'Goodness of fit'!B447)^2/'Goodness of fit'!B447,"")</f>
        <v/>
      </c>
      <c r="F447" s="2"/>
      <c r="G447" s="2"/>
    </row>
    <row r="448" spans="1:7" x14ac:dyDescent="0.35">
      <c r="A448">
        <f>'Goodness of fit'!D$6/1000+A447</f>
        <v>7.1520000000000055</v>
      </c>
      <c r="B448">
        <f t="shared" si="13"/>
        <v>2.9859790162633761E-2</v>
      </c>
      <c r="C448">
        <f>IF(A448&gt;='Goodness of fit'!$D$3,B448,0)</f>
        <v>2.9859790162633761E-2</v>
      </c>
      <c r="D448" s="2">
        <f t="shared" si="12"/>
        <v>6.7207624193024756E-2</v>
      </c>
      <c r="E448" s="18" t="str">
        <f>IF('Goodness of fit'!B448&gt;0,('Goodness of fit'!A448-'Goodness of fit'!B448)^2/'Goodness of fit'!B448,"")</f>
        <v/>
      </c>
      <c r="F448" s="2"/>
      <c r="G448" s="2"/>
    </row>
    <row r="449" spans="1:7" x14ac:dyDescent="0.35">
      <c r="A449">
        <f>'Goodness of fit'!D$6/1000+A448</f>
        <v>7.1680000000000055</v>
      </c>
      <c r="B449">
        <f t="shared" si="13"/>
        <v>2.9654980377977636E-2</v>
      </c>
      <c r="C449">
        <f>IF(A449&gt;='Goodness of fit'!$D$3,B449,0)</f>
        <v>2.9654980377977636E-2</v>
      </c>
      <c r="D449" s="2">
        <f t="shared" si="12"/>
        <v>6.6731507809154988E-2</v>
      </c>
      <c r="E449" s="18" t="str">
        <f>IF('Goodness of fit'!B449&gt;0,('Goodness of fit'!A449-'Goodness of fit'!B449)^2/'Goodness of fit'!B449,"")</f>
        <v/>
      </c>
      <c r="F449" s="2"/>
      <c r="G449" s="2"/>
    </row>
    <row r="450" spans="1:7" x14ac:dyDescent="0.35">
      <c r="A450">
        <f>'Goodness of fit'!D$6/1000+A449</f>
        <v>7.1840000000000055</v>
      </c>
      <c r="B450">
        <f t="shared" si="13"/>
        <v>2.9451502023047728E-2</v>
      </c>
      <c r="C450">
        <f>IF(A450&gt;='Goodness of fit'!$D$3,B450,0)</f>
        <v>2.9451502023047728E-2</v>
      </c>
      <c r="D450" s="2">
        <f t="shared" ref="D450:D513" si="14">CHIDIST(A450,F$1)</f>
        <v>6.6258657719977174E-2</v>
      </c>
      <c r="E450" s="18" t="str">
        <f>IF('Goodness of fit'!B450&gt;0,('Goodness of fit'!A450-'Goodness of fit'!B450)^2/'Goodness of fit'!B450,"")</f>
        <v/>
      </c>
      <c r="F450" s="2"/>
      <c r="G450" s="2"/>
    </row>
    <row r="451" spans="1:7" x14ac:dyDescent="0.35">
      <c r="A451">
        <f>'Goodness of fit'!D$6/1000+A450</f>
        <v>7.2000000000000055</v>
      </c>
      <c r="B451">
        <f t="shared" ref="B451:B514" si="15">_xlfn.CHISQ.DIST(A451,F$1,FALSE)</f>
        <v>2.924934729676763E-2</v>
      </c>
      <c r="C451">
        <f>IF(A451&gt;='Goodness of fit'!$D$3,B451,0)</f>
        <v>2.924934729676763E-2</v>
      </c>
      <c r="D451" s="2">
        <f t="shared" si="14"/>
        <v>6.5789052685070848E-2</v>
      </c>
      <c r="E451" s="18" t="str">
        <f>IF('Goodness of fit'!B451&gt;0,('Goodness of fit'!A451-'Goodness of fit'!B451)^2/'Goodness of fit'!B451,"")</f>
        <v/>
      </c>
      <c r="F451" s="2"/>
      <c r="G451" s="2"/>
    </row>
    <row r="452" spans="1:7" x14ac:dyDescent="0.35">
      <c r="A452">
        <f>'Goodness of fit'!D$6/1000+A451</f>
        <v>7.2160000000000055</v>
      </c>
      <c r="B452">
        <f t="shared" si="15"/>
        <v>2.904850843291782E-2</v>
      </c>
      <c r="C452">
        <f>IF(A452&gt;='Goodness of fit'!$D$3,B452,0)</f>
        <v>2.904850843291782E-2</v>
      </c>
      <c r="D452" s="2">
        <f t="shared" si="14"/>
        <v>6.5322671588553843E-2</v>
      </c>
      <c r="E452" s="18" t="str">
        <f>IF('Goodness of fit'!B452&gt;0,('Goodness of fit'!A452-'Goodness of fit'!B452)^2/'Goodness of fit'!B452,"")</f>
        <v/>
      </c>
      <c r="F452" s="2"/>
      <c r="G452" s="2"/>
    </row>
    <row r="453" spans="1:7" x14ac:dyDescent="0.35">
      <c r="A453">
        <f>'Goodness of fit'!D$6/1000+A452</f>
        <v>7.2320000000000055</v>
      </c>
      <c r="B453">
        <f t="shared" si="15"/>
        <v>2.8848977700138233E-2</v>
      </c>
      <c r="C453">
        <f>IF(A453&gt;='Goodness of fit'!$D$3,B453,0)</f>
        <v>2.8848977700138233E-2</v>
      </c>
      <c r="D453" s="2">
        <f t="shared" si="14"/>
        <v>6.4859493438524651E-2</v>
      </c>
      <c r="E453" s="18" t="str">
        <f>IF('Goodness of fit'!B453&gt;0,('Goodness of fit'!A453-'Goodness of fit'!B453)^2/'Goodness of fit'!B453,"")</f>
        <v/>
      </c>
      <c r="F453" s="2"/>
      <c r="G453" s="2"/>
    </row>
    <row r="454" spans="1:7" x14ac:dyDescent="0.35">
      <c r="A454">
        <f>'Goodness of fit'!D$6/1000+A453</f>
        <v>7.2480000000000055</v>
      </c>
      <c r="B454">
        <f t="shared" si="15"/>
        <v>2.8650747401927756E-2</v>
      </c>
      <c r="C454">
        <f>IF(A454&gt;='Goodness of fit'!$D$3,B454,0)</f>
        <v>2.8650747401927756E-2</v>
      </c>
      <c r="D454" s="2">
        <f t="shared" si="14"/>
        <v>6.4399497366504604E-2</v>
      </c>
      <c r="E454" s="18" t="str">
        <f>IF('Goodness of fit'!B454&gt;0,('Goodness of fit'!A454-'Goodness of fit'!B454)^2/'Goodness of fit'!B454,"")</f>
        <v/>
      </c>
      <c r="F454" s="2"/>
      <c r="G454" s="2"/>
    </row>
    <row r="455" spans="1:7" x14ac:dyDescent="0.35">
      <c r="A455">
        <f>'Goodness of fit'!D$6/1000+A454</f>
        <v>7.2640000000000056</v>
      </c>
      <c r="B455">
        <f t="shared" si="15"/>
        <v>2.84538098766406E-2</v>
      </c>
      <c r="C455">
        <f>IF(A455&gt;='Goodness of fit'!$D$3,B455,0)</f>
        <v>2.84538098766406E-2</v>
      </c>
      <c r="D455" s="2">
        <f t="shared" si="14"/>
        <v>6.3942662626880212E-2</v>
      </c>
      <c r="E455" s="18" t="str">
        <f>IF('Goodness of fit'!B455&gt;0,('Goodness of fit'!A455-'Goodness of fit'!B455)^2/'Goodness of fit'!B455,"")</f>
        <v/>
      </c>
      <c r="F455" s="2"/>
      <c r="G455" s="2"/>
    </row>
    <row r="456" spans="1:7" x14ac:dyDescent="0.35">
      <c r="A456">
        <f>'Goodness of fit'!D$6/1000+A455</f>
        <v>7.2800000000000056</v>
      </c>
      <c r="B456">
        <f t="shared" si="15"/>
        <v>2.8258157497479765E-2</v>
      </c>
      <c r="C456">
        <f>IF(A456&gt;='Goodness of fit'!$D$3,B456,0)</f>
        <v>2.8258157497479765E-2</v>
      </c>
      <c r="D456" s="2">
        <f t="shared" si="14"/>
        <v>6.3488968596345605E-2</v>
      </c>
      <c r="E456" s="18" t="str">
        <f>IF('Goodness of fit'!B456&gt;0,('Goodness of fit'!A456-'Goodness of fit'!B456)^2/'Goodness of fit'!B456,"")</f>
        <v/>
      </c>
      <c r="F456" s="2"/>
      <c r="G456" s="2"/>
    </row>
    <row r="457" spans="1:7" x14ac:dyDescent="0.35">
      <c r="A457">
        <f>'Goodness of fit'!D$6/1000+A456</f>
        <v>7.2960000000000056</v>
      </c>
      <c r="B457">
        <f t="shared" si="15"/>
        <v>2.8063782672487554E-2</v>
      </c>
      <c r="C457">
        <f>IF(A457&gt;='Goodness of fit'!$D$3,B457,0)</f>
        <v>2.8063782672487554E-2</v>
      </c>
      <c r="D457" s="2">
        <f t="shared" si="14"/>
        <v>6.3038394773344816E-2</v>
      </c>
      <c r="E457" s="18" t="str">
        <f>IF('Goodness of fit'!B457&gt;0,('Goodness of fit'!A457-'Goodness of fit'!B457)^2/'Goodness of fit'!B457,"")</f>
        <v/>
      </c>
      <c r="F457" s="2"/>
      <c r="G457" s="2"/>
    </row>
    <row r="458" spans="1:7" x14ac:dyDescent="0.35">
      <c r="A458">
        <f>'Goodness of fit'!D$6/1000+A457</f>
        <v>7.3120000000000056</v>
      </c>
      <c r="B458">
        <f t="shared" si="15"/>
        <v>2.7870677844533114E-2</v>
      </c>
      <c r="C458">
        <f>IF(A458&gt;='Goodness of fit'!$D$3,B458,0)</f>
        <v>2.7870677844533114E-2</v>
      </c>
      <c r="D458" s="2">
        <f t="shared" si="14"/>
        <v>6.2590920777514672E-2</v>
      </c>
      <c r="E458" s="18" t="str">
        <f>IF('Goodness of fit'!B458&gt;0,('Goodness of fit'!A458-'Goodness of fit'!B458)^2/'Goodness of fit'!B458,"")</f>
        <v/>
      </c>
      <c r="F458" s="2"/>
      <c r="G458" s="2"/>
    </row>
    <row r="459" spans="1:7" x14ac:dyDescent="0.35">
      <c r="A459">
        <f>'Goodness of fit'!D$6/1000+A458</f>
        <v>7.3280000000000056</v>
      </c>
      <c r="B459">
        <f t="shared" si="15"/>
        <v>2.7678835491297328E-2</v>
      </c>
      <c r="C459">
        <f>IF(A459&gt;='Goodness of fit'!$D$3,B459,0)</f>
        <v>2.7678835491297328E-2</v>
      </c>
      <c r="D459" s="2">
        <f t="shared" si="14"/>
        <v>6.2146526349127436E-2</v>
      </c>
      <c r="E459" s="18" t="str">
        <f>IF('Goodness of fit'!B459&gt;0,('Goodness of fit'!A459-'Goodness of fit'!B459)^2/'Goodness of fit'!B459,"")</f>
        <v/>
      </c>
      <c r="F459" s="2"/>
      <c r="G459" s="2"/>
    </row>
    <row r="460" spans="1:7" x14ac:dyDescent="0.35">
      <c r="A460">
        <f>'Goodness of fit'!D$6/1000+A459</f>
        <v>7.3440000000000056</v>
      </c>
      <c r="B460">
        <f t="shared" si="15"/>
        <v>2.7488248125254834E-2</v>
      </c>
      <c r="C460">
        <f>IF(A460&gt;='Goodness of fit'!$D$3,B460,0)</f>
        <v>2.7488248125254834E-2</v>
      </c>
      <c r="D460" s="2">
        <f t="shared" si="14"/>
        <v>6.1705191348534291E-2</v>
      </c>
      <c r="E460" s="18" t="str">
        <f>IF('Goodness of fit'!B460&gt;0,('Goodness of fit'!A460-'Goodness of fit'!B460)^2/'Goodness of fit'!B460,"")</f>
        <v/>
      </c>
      <c r="F460" s="2"/>
      <c r="G460" s="2"/>
    </row>
    <row r="461" spans="1:7" x14ac:dyDescent="0.35">
      <c r="A461">
        <f>'Goodness of fit'!D$6/1000+A460</f>
        <v>7.3600000000000056</v>
      </c>
      <c r="B461">
        <f t="shared" si="15"/>
        <v>2.7298908293653324E-2</v>
      </c>
      <c r="C461">
        <f>IF(A461&gt;='Goodness of fit'!$D$3,B461,0)</f>
        <v>2.7298908293653324E-2</v>
      </c>
      <c r="D461" s="2">
        <f t="shared" si="14"/>
        <v>6.1266895755608453E-2</v>
      </c>
      <c r="E461" s="18" t="str">
        <f>IF('Goodness of fit'!B461&gt;0,('Goodness of fit'!A461-'Goodness of fit'!B461)^2/'Goodness of fit'!B461,"")</f>
        <v/>
      </c>
      <c r="F461" s="2"/>
      <c r="G461" s="2"/>
    </row>
    <row r="462" spans="1:7" x14ac:dyDescent="0.35">
      <c r="A462">
        <f>'Goodness of fit'!D$6/1000+A461</f>
        <v>7.3760000000000057</v>
      </c>
      <c r="B462">
        <f t="shared" si="15"/>
        <v>2.7110808578490294E-2</v>
      </c>
      <c r="C462">
        <f>IF(A462&gt;='Goodness of fit'!$D$3,B462,0)</f>
        <v>2.7110808578490294E-2</v>
      </c>
      <c r="D462" s="2">
        <f t="shared" si="14"/>
        <v>6.0831619669189221E-2</v>
      </c>
      <c r="E462" s="18" t="str">
        <f>IF('Goodness of fit'!B462&gt;0,('Goodness of fit'!A462-'Goodness of fit'!B462)^2/'Goodness of fit'!B462,"")</f>
        <v/>
      </c>
      <c r="F462" s="2"/>
      <c r="G462" s="2"/>
    </row>
    <row r="463" spans="1:7" x14ac:dyDescent="0.35">
      <c r="A463">
        <f>'Goodness of fit'!D$6/1000+A462</f>
        <v>7.3920000000000057</v>
      </c>
      <c r="B463">
        <f t="shared" si="15"/>
        <v>2.6923941596487193E-2</v>
      </c>
      <c r="C463">
        <f>IF(A463&gt;='Goodness of fit'!$D$3,B463,0)</f>
        <v>2.6923941596487193E-2</v>
      </c>
      <c r="D463" s="2">
        <f t="shared" si="14"/>
        <v>6.0399343306526063E-2</v>
      </c>
      <c r="E463" s="18" t="str">
        <f>IF('Goodness of fit'!B463&gt;0,('Goodness of fit'!A463-'Goodness of fit'!B463)^2/'Goodness of fit'!B463,"")</f>
        <v/>
      </c>
      <c r="F463" s="2"/>
      <c r="G463" s="2"/>
    </row>
    <row r="464" spans="1:7" x14ac:dyDescent="0.35">
      <c r="A464">
        <f>'Goodness of fit'!D$6/1000+A463</f>
        <v>7.4080000000000057</v>
      </c>
      <c r="B464">
        <f t="shared" si="15"/>
        <v>2.6738299999060904E-2</v>
      </c>
      <c r="C464">
        <f>IF(A464&gt;='Goodness of fit'!$D$3,B464,0)</f>
        <v>2.6738299999060904E-2</v>
      </c>
      <c r="D464" s="2">
        <f t="shared" si="14"/>
        <v>5.9970047002723362E-2</v>
      </c>
      <c r="E464" s="18" t="str">
        <f>IF('Goodness of fit'!B464&gt;0,('Goodness of fit'!A464-'Goodness of fit'!B464)^2/'Goodness of fit'!B464,"")</f>
        <v/>
      </c>
      <c r="F464" s="2"/>
      <c r="G464" s="2"/>
    </row>
    <row r="465" spans="1:7" x14ac:dyDescent="0.35">
      <c r="A465">
        <f>'Goodness of fit'!D$6/1000+A464</f>
        <v>7.4240000000000057</v>
      </c>
      <c r="B465">
        <f t="shared" si="15"/>
        <v>2.6553876472292889E-2</v>
      </c>
      <c r="C465">
        <f>IF(A465&gt;='Goodness of fit'!$D$3,B465,0)</f>
        <v>2.6553876472292889E-2</v>
      </c>
      <c r="D465" s="2">
        <f t="shared" si="14"/>
        <v>5.9543711210185438E-2</v>
      </c>
      <c r="E465" s="18" t="str">
        <f>IF('Goodness of fit'!B465&gt;0,('Goodness of fit'!A465-'Goodness of fit'!B465)^2/'Goodness of fit'!B465,"")</f>
        <v/>
      </c>
      <c r="F465" s="2"/>
      <c r="G465" s="2"/>
    </row>
    <row r="466" spans="1:7" x14ac:dyDescent="0.35">
      <c r="A466">
        <f>'Goodness of fit'!D$6/1000+A465</f>
        <v>7.4400000000000057</v>
      </c>
      <c r="B466">
        <f t="shared" si="15"/>
        <v>2.6370663736895845E-2</v>
      </c>
      <c r="C466">
        <f>IF(A466&gt;='Goodness of fit'!$D$3,B466,0)</f>
        <v>2.6370663736895845E-2</v>
      </c>
      <c r="D466" s="2">
        <f t="shared" si="14"/>
        <v>5.9120316498062167E-2</v>
      </c>
      <c r="E466" s="18" t="str">
        <f>IF('Goodness of fit'!B466&gt;0,('Goodness of fit'!A466-'Goodness of fit'!B466)^2/'Goodness of fit'!B466,"")</f>
        <v/>
      </c>
      <c r="F466" s="2"/>
      <c r="G466" s="2"/>
    </row>
    <row r="467" spans="1:7" x14ac:dyDescent="0.35">
      <c r="A467">
        <f>'Goodness of fit'!D$6/1000+A466</f>
        <v>7.4560000000000057</v>
      </c>
      <c r="B467">
        <f t="shared" si="15"/>
        <v>2.6188654548178005E-2</v>
      </c>
      <c r="C467">
        <f>IF(A467&gt;='Goodness of fit'!$D$3,B467,0)</f>
        <v>2.6188654548178005E-2</v>
      </c>
      <c r="D467" s="2">
        <f t="shared" si="14"/>
        <v>5.8699843551695302E-2</v>
      </c>
      <c r="E467" s="18" t="str">
        <f>IF('Goodness of fit'!B467&gt;0,('Goodness of fit'!A467-'Goodness of fit'!B467)^2/'Goodness of fit'!B467,"")</f>
        <v/>
      </c>
      <c r="F467" s="2"/>
      <c r="G467" s="2"/>
    </row>
    <row r="468" spans="1:7" x14ac:dyDescent="0.35">
      <c r="A468">
        <f>'Goodness of fit'!D$6/1000+A467</f>
        <v>7.4720000000000057</v>
      </c>
      <c r="B468">
        <f t="shared" si="15"/>
        <v>2.6007841696005035E-2</v>
      </c>
      <c r="C468">
        <f>IF(A468&gt;='Goodness of fit'!$D$3,B468,0)</f>
        <v>2.6007841696005035E-2</v>
      </c>
      <c r="D468" s="2">
        <f t="shared" si="14"/>
        <v>5.8282273172065066E-2</v>
      </c>
      <c r="E468" s="18" t="str">
        <f>IF('Goodness of fit'!B468&gt;0,('Goodness of fit'!A468-'Goodness of fit'!B468)^2/'Goodness of fit'!B468,"")</f>
        <v/>
      </c>
      <c r="F468" s="2"/>
      <c r="G468" s="2"/>
    </row>
    <row r="469" spans="1:7" x14ac:dyDescent="0.35">
      <c r="A469">
        <f>'Goodness of fit'!D$6/1000+A468</f>
        <v>7.4880000000000058</v>
      </c>
      <c r="B469">
        <f t="shared" si="15"/>
        <v>2.5828218004759755E-2</v>
      </c>
      <c r="C469">
        <f>IF(A469&gt;='Goodness of fit'!$D$3,B469,0)</f>
        <v>2.5828218004759755E-2</v>
      </c>
      <c r="D469" s="2">
        <f t="shared" si="14"/>
        <v>5.7867586275237609E-2</v>
      </c>
      <c r="E469" s="18" t="str">
        <f>IF('Goodness of fit'!B469&gt;0,('Goodness of fit'!A469-'Goodness of fit'!B469)^2/'Goodness of fit'!B469,"")</f>
        <v/>
      </c>
      <c r="F469" s="2"/>
      <c r="G469" s="2"/>
    </row>
    <row r="470" spans="1:7" x14ac:dyDescent="0.35">
      <c r="A470">
        <f>'Goodness of fit'!D$6/1000+A469</f>
        <v>7.5040000000000058</v>
      </c>
      <c r="B470">
        <f t="shared" si="15"/>
        <v>2.5649776333299536E-2</v>
      </c>
      <c r="C470">
        <f>IF(A470&gt;='Goodness of fit'!$D$3,B470,0)</f>
        <v>2.5649776333299536E-2</v>
      </c>
      <c r="D470" s="2">
        <f t="shared" si="14"/>
        <v>5.7455763891813338E-2</v>
      </c>
      <c r="E470" s="18" t="str">
        <f>IF('Goodness of fit'!B470&gt;0,('Goodness of fit'!A470-'Goodness of fit'!B470)^2/'Goodness of fit'!B470,"")</f>
        <v/>
      </c>
      <c r="F470" s="2"/>
      <c r="G470" s="2"/>
    </row>
    <row r="471" spans="1:7" x14ac:dyDescent="0.35">
      <c r="A471">
        <f>'Goodness of fit'!D$6/1000+A470</f>
        <v>7.5200000000000058</v>
      </c>
      <c r="B471">
        <f t="shared" si="15"/>
        <v>2.5472509574911605E-2</v>
      </c>
      <c r="C471">
        <f>IF(A471&gt;='Goodness of fit'!$D$3,B471,0)</f>
        <v>2.5472509574911605E-2</v>
      </c>
      <c r="D471" s="2">
        <f t="shared" si="14"/>
        <v>5.7046787166375103E-2</v>
      </c>
      <c r="E471" s="18" t="str">
        <f>IF('Goodness of fit'!B471&gt;0,('Goodness of fit'!A471-'Goodness of fit'!B471)^2/'Goodness of fit'!B471,"")</f>
        <v/>
      </c>
      <c r="F471" s="2"/>
      <c r="G471" s="2"/>
    </row>
    <row r="472" spans="1:7" x14ac:dyDescent="0.35">
      <c r="A472">
        <f>'Goodness of fit'!D$6/1000+A471</f>
        <v>7.5360000000000058</v>
      </c>
      <c r="B472">
        <f t="shared" si="15"/>
        <v>2.5296410657266136E-2</v>
      </c>
      <c r="C472">
        <f>IF(A472&gt;='Goodness of fit'!$D$3,B472,0)</f>
        <v>2.5296410657266136E-2</v>
      </c>
      <c r="D472" s="2">
        <f t="shared" si="14"/>
        <v>5.6640637356938306E-2</v>
      </c>
      <c r="E472" s="18" t="str">
        <f>IF('Goodness of fit'!B472&gt;0,('Goodness of fit'!A472-'Goodness of fit'!B472)^2/'Goodness of fit'!B472,"")</f>
        <v/>
      </c>
      <c r="F472" s="2"/>
      <c r="G472" s="2"/>
    </row>
    <row r="473" spans="1:7" x14ac:dyDescent="0.35">
      <c r="A473">
        <f>'Goodness of fit'!D$6/1000+A472</f>
        <v>7.5520000000000058</v>
      </c>
      <c r="B473">
        <f t="shared" si="15"/>
        <v>2.5121472542367251E-2</v>
      </c>
      <c r="C473">
        <f>IF(A473&gt;='Goodness of fit'!$D$3,B473,0)</f>
        <v>2.5121472542367251E-2</v>
      </c>
      <c r="D473" s="2">
        <f t="shared" si="14"/>
        <v>5.6237295834400708E-2</v>
      </c>
      <c r="E473" s="18" t="str">
        <f>IF('Goodness of fit'!B473&gt;0,('Goodness of fit'!A473-'Goodness of fit'!B473)^2/'Goodness of fit'!B473,"")</f>
        <v/>
      </c>
      <c r="F473" s="2"/>
      <c r="G473" s="2"/>
    </row>
    <row r="474" spans="1:7" x14ac:dyDescent="0.35">
      <c r="A474">
        <f>'Goodness of fit'!D$6/1000+A473</f>
        <v>7.5680000000000058</v>
      </c>
      <c r="B474">
        <f t="shared" si="15"/>
        <v>2.4947688226502091E-2</v>
      </c>
      <c r="C474">
        <f>IF(A474&gt;='Goodness of fit'!$D$3,B474,0)</f>
        <v>2.4947688226502091E-2</v>
      </c>
      <c r="D474" s="2">
        <f t="shared" si="14"/>
        <v>5.5836744081993774E-2</v>
      </c>
      <c r="E474" s="18" t="str">
        <f>IF('Goodness of fit'!B474&gt;0,('Goodness of fit'!A474-'Goodness of fit'!B474)^2/'Goodness of fit'!B474,"")</f>
        <v/>
      </c>
      <c r="F474" s="2"/>
      <c r="G474" s="2"/>
    </row>
    <row r="475" spans="1:7" x14ac:dyDescent="0.35">
      <c r="A475">
        <f>'Goodness of fit'!D$6/1000+A474</f>
        <v>7.5840000000000058</v>
      </c>
      <c r="B475">
        <f t="shared" si="15"/>
        <v>2.477505074018773E-2</v>
      </c>
      <c r="C475">
        <f>IF(A475&gt;='Goodness of fit'!$D$3,B475,0)</f>
        <v>2.477505074018773E-2</v>
      </c>
      <c r="D475" s="2">
        <f t="shared" si="14"/>
        <v>5.5438963694734472E-2</v>
      </c>
      <c r="E475" s="18" t="str">
        <f>IF('Goodness of fit'!B475&gt;0,('Goodness of fit'!A475-'Goodness of fit'!B475)^2/'Goodness of fit'!B475,"")</f>
        <v/>
      </c>
      <c r="F475" s="2"/>
      <c r="G475" s="2"/>
    </row>
    <row r="476" spans="1:7" x14ac:dyDescent="0.35">
      <c r="A476">
        <f>'Goodness of fit'!D$6/1000+A475</f>
        <v>7.6000000000000059</v>
      </c>
      <c r="B476">
        <f t="shared" si="15"/>
        <v>2.4603553148116245E-2</v>
      </c>
      <c r="C476">
        <f>IF(A476&gt;='Goodness of fit'!$D$3,B476,0)</f>
        <v>2.4603553148116245E-2</v>
      </c>
      <c r="D476" s="2">
        <f t="shared" si="14"/>
        <v>5.5043936378877875E-2</v>
      </c>
      <c r="E476" s="18" t="str">
        <f>IF('Goodness of fit'!B476&gt;0,('Goodness of fit'!A476-'Goodness of fit'!B476)^2/'Goodness of fit'!B476,"")</f>
        <v/>
      </c>
      <c r="F476" s="2"/>
      <c r="G476" s="2"/>
    </row>
    <row r="477" spans="1:7" x14ac:dyDescent="0.35">
      <c r="A477">
        <f>'Goodness of fit'!D$6/1000+A476</f>
        <v>7.6160000000000059</v>
      </c>
      <c r="B477">
        <f t="shared" si="15"/>
        <v>2.4433188549097842E-2</v>
      </c>
      <c r="C477">
        <f>IF(A477&gt;='Goodness of fit'!$D$3,B477,0)</f>
        <v>2.4433188549097842E-2</v>
      </c>
      <c r="D477" s="2">
        <f t="shared" si="14"/>
        <v>5.4651643951371169E-2</v>
      </c>
      <c r="E477" s="18" t="str">
        <f>IF('Goodness of fit'!B477&gt;0,('Goodness of fit'!A477-'Goodness of fit'!B477)^2/'Goodness of fit'!B477,"")</f>
        <v/>
      </c>
      <c r="F477" s="2"/>
      <c r="G477" s="2"/>
    </row>
    <row r="478" spans="1:7" x14ac:dyDescent="0.35">
      <c r="A478">
        <f>'Goodness of fit'!D$6/1000+A477</f>
        <v>7.6320000000000059</v>
      </c>
      <c r="B478">
        <f t="shared" si="15"/>
        <v>2.42639500760021E-2</v>
      </c>
      <c r="C478">
        <f>IF(A478&gt;='Goodness of fit'!$D$3,B478,0)</f>
        <v>2.42639500760021E-2</v>
      </c>
      <c r="D478" s="2">
        <f t="shared" si="14"/>
        <v>5.4262068339307877E-2</v>
      </c>
      <c r="E478" s="18" t="str">
        <f>IF('Goodness of fit'!B478&gt;0,('Goodness of fit'!A478-'Goodness of fit'!B478)^2/'Goodness of fit'!B478,"")</f>
        <v/>
      </c>
      <c r="F478" s="2"/>
      <c r="G478" s="2"/>
    </row>
    <row r="479" spans="1:7" x14ac:dyDescent="0.35">
      <c r="A479">
        <f>'Goodness of fit'!D$6/1000+A478</f>
        <v>7.6480000000000059</v>
      </c>
      <c r="B479">
        <f t="shared" si="15"/>
        <v>2.4095830895697397E-2</v>
      </c>
      <c r="C479">
        <f>IF(A479&gt;='Goodness of fit'!$D$3,B479,0)</f>
        <v>2.4095830895697397E-2</v>
      </c>
      <c r="D479" s="2">
        <f t="shared" si="14"/>
        <v>5.3875191579383599E-2</v>
      </c>
      <c r="E479" s="18" t="str">
        <f>IF('Goodness of fit'!B479&gt;0,('Goodness of fit'!A479-'Goodness of fit'!B479)^2/'Goodness of fit'!B479,"")</f>
        <v/>
      </c>
      <c r="F479" s="2"/>
      <c r="G479" s="2"/>
    </row>
    <row r="480" spans="1:7" x14ac:dyDescent="0.35">
      <c r="A480">
        <f>'Goodness of fit'!D$6/1000+A479</f>
        <v>7.6640000000000059</v>
      </c>
      <c r="B480">
        <f t="shared" si="15"/>
        <v>2.3928824208988592E-2</v>
      </c>
      <c r="C480">
        <f>IF(A480&gt;='Goodness of fit'!$D$3,B480,0)</f>
        <v>2.3928824208988592E-2</v>
      </c>
      <c r="D480" s="2">
        <f t="shared" si="14"/>
        <v>5.3490995817352394E-2</v>
      </c>
      <c r="E480" s="18" t="str">
        <f>IF('Goodness of fit'!B480&gt;0,('Goodness of fit'!A480-'Goodness of fit'!B480)^2/'Goodness of fit'!B480,"")</f>
        <v/>
      </c>
      <c r="F480" s="2"/>
      <c r="G480" s="2"/>
    </row>
    <row r="481" spans="1:7" x14ac:dyDescent="0.35">
      <c r="A481">
        <f>'Goodness of fit'!D$6/1000+A480</f>
        <v>7.6800000000000059</v>
      </c>
      <c r="B481">
        <f t="shared" si="15"/>
        <v>2.3762923250552886E-2</v>
      </c>
      <c r="C481">
        <f>IF(A481&gt;='Goodness of fit'!$D$3,B481,0)</f>
        <v>2.3762923250552886E-2</v>
      </c>
      <c r="D481" s="2">
        <f t="shared" si="14"/>
        <v>5.3109463307484513E-2</v>
      </c>
      <c r="E481" s="18" t="str">
        <f>IF('Goodness of fit'!B481&gt;0,('Goodness of fit'!A481-'Goodness of fit'!B481)^2/'Goodness of fit'!B481,"")</f>
        <v/>
      </c>
      <c r="F481" s="2"/>
      <c r="G481" s="2"/>
    </row>
    <row r="482" spans="1:7" x14ac:dyDescent="0.35">
      <c r="A482">
        <f>'Goodness of fit'!D$6/1000+A481</f>
        <v>7.6960000000000059</v>
      </c>
      <c r="B482">
        <f t="shared" si="15"/>
        <v>2.3598121288874053E-2</v>
      </c>
      <c r="C482">
        <f>IF(A482&gt;='Goodness of fit'!$D$3,B482,0)</f>
        <v>2.3598121288874053E-2</v>
      </c>
      <c r="D482" s="2">
        <f t="shared" si="14"/>
        <v>5.2730576412024686E-2</v>
      </c>
      <c r="E482" s="18" t="str">
        <f>IF('Goodness of fit'!B482&gt;0,('Goodness of fit'!A482-'Goodness of fit'!B482)^2/'Goodness of fit'!B482,"")</f>
        <v/>
      </c>
      <c r="F482" s="2"/>
      <c r="G482" s="2"/>
    </row>
    <row r="483" spans="1:7" x14ac:dyDescent="0.35">
      <c r="A483">
        <f>'Goodness of fit'!D$6/1000+A482</f>
        <v>7.712000000000006</v>
      </c>
      <c r="B483">
        <f t="shared" si="15"/>
        <v>2.3434411626174961E-2</v>
      </c>
      <c r="C483">
        <f>IF(A483&gt;='Goodness of fit'!$D$3,B483,0)</f>
        <v>2.3434411626174961E-2</v>
      </c>
      <c r="D483" s="2">
        <f t="shared" si="14"/>
        <v>5.2354317600651942E-2</v>
      </c>
      <c r="E483" s="18" t="str">
        <f>IF('Goodness of fit'!B483&gt;0,('Goodness of fit'!A483-'Goodness of fit'!B483)^2/'Goodness of fit'!B483,"")</f>
        <v/>
      </c>
      <c r="F483" s="2"/>
      <c r="G483" s="2"/>
    </row>
    <row r="484" spans="1:7" x14ac:dyDescent="0.35">
      <c r="A484">
        <f>'Goodness of fit'!D$6/1000+A483</f>
        <v>7.728000000000006</v>
      </c>
      <c r="B484">
        <f t="shared" si="15"/>
        <v>2.3271787598348494E-2</v>
      </c>
      <c r="C484">
        <f>IF(A484&gt;='Goodness of fit'!$D$3,B484,0)</f>
        <v>2.3271787598348494E-2</v>
      </c>
      <c r="D484" s="2">
        <f t="shared" si="14"/>
        <v>5.1980669449940384E-2</v>
      </c>
      <c r="E484" s="18" t="str">
        <f>IF('Goodness of fit'!B484&gt;0,('Goodness of fit'!A484-'Goodness of fit'!B484)^2/'Goodness of fit'!B484,"")</f>
        <v/>
      </c>
      <c r="F484" s="2"/>
      <c r="G484" s="2"/>
    </row>
    <row r="485" spans="1:7" x14ac:dyDescent="0.35">
      <c r="A485">
        <f>'Goodness of fit'!D$6/1000+A484</f>
        <v>7.744000000000006</v>
      </c>
      <c r="B485">
        <f t="shared" si="15"/>
        <v>2.311024257488685E-2</v>
      </c>
      <c r="C485">
        <f>IF(A485&gt;='Goodness of fit'!$D$3,B485,0)</f>
        <v>2.311024257488685E-2</v>
      </c>
      <c r="D485" s="2">
        <f t="shared" si="14"/>
        <v>5.1609614642820836E-2</v>
      </c>
      <c r="E485" s="18" t="str">
        <f>IF('Goodness of fit'!B485&gt;0,('Goodness of fit'!A485-'Goodness of fit'!B485)^2/'Goodness of fit'!B485,"")</f>
        <v/>
      </c>
      <c r="F485" s="2"/>
      <c r="G485" s="2"/>
    </row>
    <row r="486" spans="1:7" x14ac:dyDescent="0.35">
      <c r="A486">
        <f>'Goodness of fit'!D$6/1000+A485</f>
        <v>7.760000000000006</v>
      </c>
      <c r="B486">
        <f t="shared" si="15"/>
        <v>2.294976995880935E-2</v>
      </c>
      <c r="C486">
        <f>IF(A486&gt;='Goodness of fit'!$D$3,B486,0)</f>
        <v>2.294976995880935E-2</v>
      </c>
      <c r="D486" s="2">
        <f t="shared" si="14"/>
        <v>5.1241135968043916E-2</v>
      </c>
      <c r="E486" s="18" t="str">
        <f>IF('Goodness of fit'!B486&gt;0,('Goodness of fit'!A486-'Goodness of fit'!B486)^2/'Goodness of fit'!B486,"")</f>
        <v/>
      </c>
      <c r="F486" s="2"/>
      <c r="G486" s="2"/>
    </row>
    <row r="487" spans="1:7" x14ac:dyDescent="0.35">
      <c r="A487">
        <f>'Goodness of fit'!D$6/1000+A486</f>
        <v>7.776000000000006</v>
      </c>
      <c r="B487">
        <f t="shared" si="15"/>
        <v>2.2790363186588683E-2</v>
      </c>
      <c r="C487">
        <f>IF(A487&gt;='Goodness of fit'!$D$3,B487,0)</f>
        <v>2.2790363186588683E-2</v>
      </c>
      <c r="D487" s="2">
        <f t="shared" si="14"/>
        <v>5.0875216319644298E-2</v>
      </c>
      <c r="E487" s="18" t="str">
        <f>IF('Goodness of fit'!B487&gt;0,('Goodness of fit'!A487-'Goodness of fit'!B487)^2/'Goodness of fit'!B487,"")</f>
        <v/>
      </c>
      <c r="F487" s="2"/>
      <c r="G487" s="2"/>
    </row>
    <row r="488" spans="1:7" x14ac:dyDescent="0.35">
      <c r="A488">
        <f>'Goodness of fit'!D$6/1000+A487</f>
        <v>7.792000000000006</v>
      </c>
      <c r="B488">
        <f t="shared" si="15"/>
        <v>2.2632015728075678E-2</v>
      </c>
      <c r="C488">
        <f>IF(A488&gt;='Goodness of fit'!$D$3,B488,0)</f>
        <v>2.2632015728075678E-2</v>
      </c>
      <c r="D488" s="2">
        <f t="shared" si="14"/>
        <v>5.0511838696405874E-2</v>
      </c>
      <c r="E488" s="18" t="str">
        <f>IF('Goodness of fit'!B488&gt;0,('Goodness of fit'!A488-'Goodness of fit'!B488)^2/'Goodness of fit'!B488,"")</f>
        <v/>
      </c>
      <c r="F488" s="2"/>
      <c r="G488" s="2"/>
    </row>
    <row r="489" spans="1:7" x14ac:dyDescent="0.35">
      <c r="A489">
        <f>'Goodness of fit'!D$6/1000+A488</f>
        <v>7.808000000000006</v>
      </c>
      <c r="B489">
        <f t="shared" si="15"/>
        <v>2.2474721086422698E-2</v>
      </c>
      <c r="C489">
        <f>IF(A489&gt;='Goodness of fit'!$D$3,B489,0)</f>
        <v>2.2474721086422698E-2</v>
      </c>
      <c r="D489" s="2">
        <f t="shared" si="14"/>
        <v>5.0150986201328518E-2</v>
      </c>
      <c r="E489" s="18" t="str">
        <f>IF('Goodness of fit'!B489&gt;0,('Goodness of fit'!A489-'Goodness of fit'!B489)^2/'Goodness of fit'!B489,"")</f>
        <v/>
      </c>
      <c r="F489" s="2"/>
      <c r="G489" s="2"/>
    </row>
    <row r="490" spans="1:7" x14ac:dyDescent="0.35">
      <c r="A490">
        <f>'Goodness of fit'!D$6/1000+A489</f>
        <v>7.8240000000000061</v>
      </c>
      <c r="B490">
        <f t="shared" si="15"/>
        <v>2.231847279800549E-2</v>
      </c>
      <c r="C490">
        <f>IF(A490&gt;='Goodness of fit'!$D$3,B490,0)</f>
        <v>2.231847279800549E-2</v>
      </c>
      <c r="D490" s="2">
        <f t="shared" si="14"/>
        <v>4.9792642041095674E-2</v>
      </c>
      <c r="E490" s="18" t="str">
        <f>IF('Goodness of fit'!B490&gt;0,('Goodness of fit'!A490-'Goodness of fit'!B490)^2/'Goodness of fit'!B490,"")</f>
        <v/>
      </c>
      <c r="F490" s="2"/>
      <c r="G490" s="2"/>
    </row>
    <row r="491" spans="1:7" x14ac:dyDescent="0.35">
      <c r="A491">
        <f>'Goodness of fit'!D$6/1000+A490</f>
        <v>7.8400000000000061</v>
      </c>
      <c r="B491">
        <f t="shared" si="15"/>
        <v>2.2163264432343847E-2</v>
      </c>
      <c r="C491">
        <f>IF(A491&gt;='Goodness of fit'!$D$3,B491,0)</f>
        <v>2.2163264432343847E-2</v>
      </c>
      <c r="D491" s="2">
        <f t="shared" si="14"/>
        <v>4.943678952554352E-2</v>
      </c>
      <c r="E491" s="18" t="str">
        <f>IF('Goodness of fit'!B491&gt;0,('Goodness of fit'!A491-'Goodness of fit'!B491)^2/'Goodness of fit'!B491,"")</f>
        <v/>
      </c>
      <c r="F491" s="2"/>
      <c r="G491" s="2"/>
    </row>
    <row r="492" spans="1:7" x14ac:dyDescent="0.35">
      <c r="A492">
        <f>'Goodness of fit'!D$6/1000+A491</f>
        <v>7.8560000000000061</v>
      </c>
      <c r="B492">
        <f t="shared" si="15"/>
        <v>2.2009089592020775E-2</v>
      </c>
      <c r="C492">
        <f>IF(A492&gt;='Goodness of fit'!$D$3,B492,0)</f>
        <v>2.2009089592020775E-2</v>
      </c>
      <c r="D492" s="2">
        <f t="shared" si="14"/>
        <v>4.9083412067131391E-2</v>
      </c>
      <c r="E492" s="18" t="str">
        <f>IF('Goodness of fit'!B492&gt;0,('Goodness of fit'!A492-'Goodness of fit'!B492)^2/'Goodness of fit'!B492,"")</f>
        <v/>
      </c>
      <c r="F492" s="2"/>
      <c r="G492" s="2"/>
    </row>
    <row r="493" spans="1:7" x14ac:dyDescent="0.35">
      <c r="A493">
        <f>'Goodness of fit'!D$6/1000+A492</f>
        <v>7.8720000000000061</v>
      </c>
      <c r="B493">
        <f t="shared" si="15"/>
        <v>2.185594191260045E-2</v>
      </c>
      <c r="C493">
        <f>IF(A493&gt;='Goodness of fit'!$D$3,B493,0)</f>
        <v>2.185594191260045E-2</v>
      </c>
      <c r="D493" s="2">
        <f t="shared" si="14"/>
        <v>4.8732493180413228E-2</v>
      </c>
      <c r="E493" s="18" t="str">
        <f>IF('Goodness of fit'!B493&gt;0,('Goodness of fit'!A493-'Goodness of fit'!B493)^2/'Goodness of fit'!B493,"")</f>
        <v/>
      </c>
      <c r="F493" s="2"/>
      <c r="G493" s="2"/>
    </row>
    <row r="494" spans="1:7" x14ac:dyDescent="0.35">
      <c r="A494">
        <f>'Goodness of fit'!D$6/1000+A493</f>
        <v>7.8880000000000061</v>
      </c>
      <c r="B494">
        <f t="shared" si="15"/>
        <v>2.170381506254487E-2</v>
      </c>
      <c r="C494">
        <f>IF(A494&gt;='Goodness of fit'!$D$3,B494,0)</f>
        <v>2.170381506254487E-2</v>
      </c>
      <c r="D494" s="2">
        <f t="shared" si="14"/>
        <v>4.8384016481510722E-2</v>
      </c>
      <c r="E494" s="18" t="str">
        <f>IF('Goodness of fit'!B494&gt;0,('Goodness of fit'!A494-'Goodness of fit'!B494)^2/'Goodness of fit'!B494,"")</f>
        <v/>
      </c>
      <c r="F494" s="2"/>
      <c r="G494" s="2"/>
    </row>
    <row r="495" spans="1:7" x14ac:dyDescent="0.35">
      <c r="A495">
        <f>'Goodness of fit'!D$6/1000+A494</f>
        <v>7.9040000000000061</v>
      </c>
      <c r="B495">
        <f t="shared" si="15"/>
        <v>2.1552702743129253E-2</v>
      </c>
      <c r="C495">
        <f>IF(A495&gt;='Goodness of fit'!$D$3,B495,0)</f>
        <v>2.1552702743129253E-2</v>
      </c>
      <c r="D495" s="2">
        <f t="shared" si="14"/>
        <v>4.8037965687587524E-2</v>
      </c>
      <c r="E495" s="18" t="str">
        <f>IF('Goodness of fit'!B495&gt;0,('Goodness of fit'!A495-'Goodness of fit'!B495)^2/'Goodness of fit'!B495,"")</f>
        <v/>
      </c>
      <c r="F495" s="2"/>
      <c r="G495" s="2"/>
    </row>
    <row r="496" spans="1:7" x14ac:dyDescent="0.35">
      <c r="A496">
        <f>'Goodness of fit'!D$6/1000+A495</f>
        <v>7.9200000000000061</v>
      </c>
      <c r="B496">
        <f t="shared" si="15"/>
        <v>2.1402598688356256E-2</v>
      </c>
      <c r="C496">
        <f>IF(A496&gt;='Goodness of fit'!$D$3,B496,0)</f>
        <v>2.1402598688356256E-2</v>
      </c>
      <c r="D496" s="2">
        <f t="shared" si="14"/>
        <v>4.7694324616324946E-2</v>
      </c>
      <c r="E496" s="18" t="str">
        <f>IF('Goodness of fit'!B496&gt;0,('Goodness of fit'!A496-'Goodness of fit'!B496)^2/'Goodness of fit'!B496,"")</f>
        <v/>
      </c>
      <c r="F496" s="2"/>
      <c r="G496" s="2"/>
    </row>
    <row r="497" spans="1:7" x14ac:dyDescent="0.35">
      <c r="A497">
        <f>'Goodness of fit'!D$6/1000+A496</f>
        <v>7.9360000000000062</v>
      </c>
      <c r="B497">
        <f t="shared" si="15"/>
        <v>2.1253496664869025E-2</v>
      </c>
      <c r="C497">
        <f>IF(A497&gt;='Goodness of fit'!$D$3,B497,0)</f>
        <v>2.1253496664869025E-2</v>
      </c>
      <c r="D497" s="2">
        <f t="shared" si="14"/>
        <v>4.7353077185399058E-2</v>
      </c>
      <c r="E497" s="18" t="str">
        <f>IF('Goodness of fit'!B497&gt;0,('Goodness of fit'!A497-'Goodness of fit'!B497)^2/'Goodness of fit'!B497,"")</f>
        <v/>
      </c>
      <c r="F497" s="2"/>
      <c r="G497" s="2"/>
    </row>
    <row r="498" spans="1:7" x14ac:dyDescent="0.35">
      <c r="A498">
        <f>'Goodness of fit'!D$6/1000+A497</f>
        <v>7.9520000000000062</v>
      </c>
      <c r="B498">
        <f t="shared" si="15"/>
        <v>2.1105390471863068E-2</v>
      </c>
      <c r="C498">
        <f>IF(A498&gt;='Goodness of fit'!$D$3,B498,0)</f>
        <v>2.1105390471863068E-2</v>
      </c>
      <c r="D498" s="2">
        <f t="shared" si="14"/>
        <v>4.7014207411959025E-2</v>
      </c>
      <c r="E498" s="18" t="str">
        <f>IF('Goodness of fit'!B498&gt;0,('Goodness of fit'!A498-'Goodness of fit'!B498)^2/'Goodness of fit'!B498,"")</f>
        <v/>
      </c>
      <c r="F498" s="2"/>
      <c r="G498" s="2"/>
    </row>
    <row r="499" spans="1:7" x14ac:dyDescent="0.35">
      <c r="A499">
        <f>'Goodness of fit'!D$6/1000+A498</f>
        <v>7.9680000000000062</v>
      </c>
      <c r="B499">
        <f t="shared" si="15"/>
        <v>2.0958273940997019E-2</v>
      </c>
      <c r="C499">
        <f>IF(A499&gt;='Goodness of fit'!$D$3,B499,0)</f>
        <v>2.0958273940997019E-2</v>
      </c>
      <c r="D499" s="2">
        <f t="shared" si="14"/>
        <v>4.6677699412107108E-2</v>
      </c>
      <c r="E499" s="18" t="str">
        <f>IF('Goodness of fit'!B499&gt;0,('Goodness of fit'!A499-'Goodness of fit'!B499)^2/'Goodness of fit'!B499,"")</f>
        <v/>
      </c>
      <c r="F499" s="2"/>
      <c r="G499" s="2"/>
    </row>
    <row r="500" spans="1:7" x14ac:dyDescent="0.35">
      <c r="A500">
        <f>'Goodness of fit'!D$6/1000+A499</f>
        <v>7.9840000000000062</v>
      </c>
      <c r="B500">
        <f t="shared" si="15"/>
        <v>2.0812140936302358E-2</v>
      </c>
      <c r="C500">
        <f>IF(A500&gt;='Goodness of fit'!$D$3,B500,0)</f>
        <v>2.0812140936302358E-2</v>
      </c>
      <c r="D500" s="2">
        <f t="shared" si="14"/>
        <v>4.6343537400379942E-2</v>
      </c>
      <c r="E500" s="18" t="str">
        <f>IF('Goodness of fit'!B500&gt;0,('Goodness of fit'!A500-'Goodness of fit'!B500)^2/'Goodness of fit'!B500,"")</f>
        <v/>
      </c>
      <c r="F500" s="2"/>
      <c r="G500" s="2"/>
    </row>
    <row r="501" spans="1:7" x14ac:dyDescent="0.35">
      <c r="A501">
        <f>'Goodness of fit'!D$6/1000+A500</f>
        <v>8.0000000000000053</v>
      </c>
      <c r="B501">
        <f t="shared" si="15"/>
        <v>2.0666985354092011E-2</v>
      </c>
      <c r="C501">
        <f>IF(A501&gt;='Goodness of fit'!$D$3,B501,0)</f>
        <v>2.0666985354092011E-2</v>
      </c>
      <c r="D501" s="2">
        <f t="shared" si="14"/>
        <v>4.6011705689231269E-2</v>
      </c>
      <c r="E501" s="18" t="str">
        <f>IF('Goodness of fit'!B501&gt;0,('Goodness of fit'!A501-'Goodness of fit'!B501)^2/'Goodness of fit'!B501,"")</f>
        <v/>
      </c>
      <c r="F501" s="2"/>
      <c r="G501" s="2"/>
    </row>
    <row r="502" spans="1:7" x14ac:dyDescent="0.35">
      <c r="A502">
        <f>'Goodness of fit'!D$6/1000+A501</f>
        <v>8.0160000000000053</v>
      </c>
      <c r="B502">
        <f t="shared" si="15"/>
        <v>2.0522801122867942E-2</v>
      </c>
      <c r="C502">
        <f>IF(A502&gt;='Goodness of fit'!$D$3,B502,0)</f>
        <v>2.0522801122867942E-2</v>
      </c>
      <c r="D502" s="2">
        <f t="shared" si="14"/>
        <v>4.5682188688516118E-2</v>
      </c>
      <c r="E502" s="18" t="str">
        <f>IF('Goodness of fit'!B502&gt;0,('Goodness of fit'!A502-'Goodness of fit'!B502)^2/'Goodness of fit'!B502,"")</f>
        <v/>
      </c>
      <c r="F502" s="2"/>
      <c r="G502" s="2"/>
    </row>
    <row r="503" spans="1:7" x14ac:dyDescent="0.35">
      <c r="A503">
        <f>'Goodness of fit'!D$6/1000+A502</f>
        <v>8.0320000000000054</v>
      </c>
      <c r="B503">
        <f t="shared" si="15"/>
        <v>2.0379582203227824E-2</v>
      </c>
      <c r="C503">
        <f>IF(A503&gt;='Goodness of fit'!$D$3,B503,0)</f>
        <v>2.0379582203227824E-2</v>
      </c>
      <c r="D503" s="2">
        <f t="shared" si="14"/>
        <v>4.5354970904976741E-2</v>
      </c>
      <c r="E503" s="18" t="str">
        <f>IF('Goodness of fit'!B503&gt;0,('Goodness of fit'!A503-'Goodness of fit'!B503)^2/'Goodness of fit'!B503,"")</f>
        <v/>
      </c>
      <c r="F503" s="2"/>
      <c r="G503" s="2"/>
    </row>
    <row r="504" spans="1:7" x14ac:dyDescent="0.35">
      <c r="A504">
        <f>'Goodness of fit'!D$6/1000+A503</f>
        <v>8.0480000000000054</v>
      </c>
      <c r="B504">
        <f t="shared" si="15"/>
        <v>2.0237322587770602E-2</v>
      </c>
      <c r="C504">
        <f>IF(A504&gt;='Goodness of fit'!$D$3,B504,0)</f>
        <v>2.0237322587770602E-2</v>
      </c>
      <c r="D504" s="2">
        <f t="shared" si="14"/>
        <v>4.5030036941729523E-2</v>
      </c>
      <c r="E504" s="18" t="str">
        <f>IF('Goodness of fit'!B504&gt;0,('Goodness of fit'!A504-'Goodness of fit'!B504)^2/'Goodness of fit'!B504,"")</f>
        <v/>
      </c>
      <c r="F504" s="2"/>
      <c r="G504" s="2"/>
    </row>
    <row r="505" spans="1:7" x14ac:dyDescent="0.35">
      <c r="A505">
        <f>'Goodness of fit'!D$6/1000+A504</f>
        <v>8.0640000000000054</v>
      </c>
      <c r="B505">
        <f t="shared" si="15"/>
        <v>2.0096016301001215E-2</v>
      </c>
      <c r="C505">
        <f>IF(A505&gt;='Goodness of fit'!$D$3,B505,0)</f>
        <v>2.0096016301001215E-2</v>
      </c>
      <c r="D505" s="2">
        <f t="shared" si="14"/>
        <v>4.4707371497754077E-2</v>
      </c>
      <c r="E505" s="18" t="str">
        <f>IF('Goodness of fit'!B505&gt;0,('Goodness of fit'!A505-'Goodness of fit'!B505)^2/'Goodness of fit'!B505,"")</f>
        <v/>
      </c>
      <c r="F505" s="2"/>
      <c r="G505" s="2"/>
    </row>
    <row r="506" spans="1:7" x14ac:dyDescent="0.35">
      <c r="A506">
        <f>'Goodness of fit'!D$6/1000+A505</f>
        <v>8.0800000000000054</v>
      </c>
      <c r="B506">
        <f t="shared" si="15"/>
        <v>1.9955657399234362E-2</v>
      </c>
      <c r="C506">
        <f>IF(A506&gt;='Goodness of fit'!$D$3,B506,0)</f>
        <v>1.9955657399234362E-2</v>
      </c>
      <c r="D506" s="2">
        <f t="shared" si="14"/>
        <v>4.4386959367383114E-2</v>
      </c>
      <c r="E506" s="18" t="str">
        <f>IF('Goodness of fit'!B506&gt;0,('Goodness of fit'!A506-'Goodness of fit'!B506)^2/'Goodness of fit'!B506,"")</f>
        <v/>
      </c>
      <c r="F506" s="2"/>
      <c r="G506" s="2"/>
    </row>
    <row r="507" spans="1:7" x14ac:dyDescent="0.35">
      <c r="A507">
        <f>'Goodness of fit'!D$6/1000+A506</f>
        <v>8.0960000000000054</v>
      </c>
      <c r="B507">
        <f t="shared" si="15"/>
        <v>1.9816239970497394E-2</v>
      </c>
      <c r="C507">
        <f>IF(A507&gt;='Goodness of fit'!$D$3,B507,0)</f>
        <v>1.9816239970497394E-2</v>
      </c>
      <c r="D507" s="2">
        <f t="shared" si="14"/>
        <v>4.4068785439794679E-2</v>
      </c>
      <c r="E507" s="18" t="str">
        <f>IF('Goodness of fit'!B507&gt;0,('Goodness of fit'!A507-'Goodness of fit'!B507)^2/'Goodness of fit'!B507,"")</f>
        <v/>
      </c>
      <c r="F507" s="2"/>
      <c r="G507" s="2"/>
    </row>
    <row r="508" spans="1:7" x14ac:dyDescent="0.35">
      <c r="A508">
        <f>'Goodness of fit'!D$6/1000+A507</f>
        <v>8.1120000000000054</v>
      </c>
      <c r="B508">
        <f t="shared" si="15"/>
        <v>1.9677758134432288E-2</v>
      </c>
      <c r="C508">
        <f>IF(A508&gt;='Goodness of fit'!$D$3,B508,0)</f>
        <v>1.9677758134432288E-2</v>
      </c>
      <c r="D508" s="2">
        <f t="shared" si="14"/>
        <v>4.3752834698505223E-2</v>
      </c>
      <c r="E508" s="18" t="str">
        <f>IF('Goodness of fit'!B508&gt;0,('Goodness of fit'!A508-'Goodness of fit'!B508)^2/'Goodness of fit'!B508,"")</f>
        <v/>
      </c>
      <c r="F508" s="2"/>
      <c r="G508" s="2"/>
    </row>
    <row r="509" spans="1:7" x14ac:dyDescent="0.35">
      <c r="A509">
        <f>'Goodness of fit'!D$6/1000+A508</f>
        <v>8.1280000000000054</v>
      </c>
      <c r="B509">
        <f t="shared" si="15"/>
        <v>1.9540206042196875E-2</v>
      </c>
      <c r="C509">
        <f>IF(A509&gt;='Goodness of fit'!$D$3,B509,0)</f>
        <v>1.9540206042196875E-2</v>
      </c>
      <c r="D509" s="2">
        <f t="shared" si="14"/>
        <v>4.3439092220864686E-2</v>
      </c>
      <c r="E509" s="18" t="str">
        <f>IF('Goodness of fit'!B509&gt;0,('Goodness of fit'!A509-'Goodness of fit'!B509)^2/'Goodness of fit'!B509,"")</f>
        <v/>
      </c>
      <c r="F509" s="2"/>
      <c r="G509" s="2"/>
    </row>
    <row r="510" spans="1:7" x14ac:dyDescent="0.35">
      <c r="A510">
        <f>'Goodness of fit'!D$6/1000+A509</f>
        <v>8.1440000000000055</v>
      </c>
      <c r="B510">
        <f t="shared" si="15"/>
        <v>1.9403577876365166E-2</v>
      </c>
      <c r="C510">
        <f>IF(A510&gt;='Goodness of fit'!$D$3,B510,0)</f>
        <v>1.9403577876365166E-2</v>
      </c>
      <c r="D510" s="2">
        <f t="shared" si="14"/>
        <v>4.3127543177553018E-2</v>
      </c>
      <c r="E510" s="18" t="str">
        <f>IF('Goodness of fit'!B510&gt;0,('Goodness of fit'!A510-'Goodness of fit'!B510)^2/'Goodness of fit'!B510,"")</f>
        <v/>
      </c>
      <c r="F510" s="2"/>
      <c r="G510" s="2"/>
    </row>
    <row r="511" spans="1:7" x14ac:dyDescent="0.35">
      <c r="A511">
        <f>'Goodness of fit'!D$6/1000+A510</f>
        <v>8.1600000000000055</v>
      </c>
      <c r="B511">
        <f t="shared" si="15"/>
        <v>1.926786785082692E-2</v>
      </c>
      <c r="C511">
        <f>IF(A511&gt;='Goodness of fit'!$D$3,B511,0)</f>
        <v>1.926786785082692E-2</v>
      </c>
      <c r="D511" s="2">
        <f t="shared" si="14"/>
        <v>4.2818172832078324E-2</v>
      </c>
      <c r="E511" s="18" t="str">
        <f>IF('Goodness of fit'!B511&gt;0,('Goodness of fit'!A511-'Goodness of fit'!B511)^2/'Goodness of fit'!B511,"")</f>
        <v/>
      </c>
      <c r="F511" s="2"/>
      <c r="G511" s="2"/>
    </row>
    <row r="512" spans="1:7" x14ac:dyDescent="0.35">
      <c r="A512">
        <f>'Goodness of fit'!D$6/1000+A511</f>
        <v>8.1760000000000055</v>
      </c>
      <c r="B512">
        <f t="shared" si="15"/>
        <v>1.913307021068647E-2</v>
      </c>
      <c r="C512">
        <f>IF(A512&gt;='Goodness of fit'!$D$3,B512,0)</f>
        <v>1.913307021068647E-2</v>
      </c>
      <c r="D512" s="2">
        <f t="shared" si="14"/>
        <v>4.2510966540276619E-2</v>
      </c>
      <c r="E512" s="18" t="str">
        <f>IF('Goodness of fit'!B512&gt;0,('Goodness of fit'!A512-'Goodness of fit'!B512)^2/'Goodness of fit'!B512,"")</f>
        <v/>
      </c>
      <c r="F512" s="2"/>
      <c r="G512" s="2"/>
    </row>
    <row r="513" spans="1:7" x14ac:dyDescent="0.35">
      <c r="A513">
        <f>'Goodness of fit'!D$6/1000+A512</f>
        <v>8.1920000000000055</v>
      </c>
      <c r="B513">
        <f t="shared" si="15"/>
        <v>1.8999179232160757E-2</v>
      </c>
      <c r="C513">
        <f>IF(A513&gt;='Goodness of fit'!$D$3,B513,0)</f>
        <v>1.8999179232160757E-2</v>
      </c>
      <c r="D513" s="2">
        <f t="shared" si="14"/>
        <v>4.2205909749813232E-2</v>
      </c>
      <c r="E513" s="18" t="str">
        <f>IF('Goodness of fit'!B513&gt;0,('Goodness of fit'!A513-'Goodness of fit'!B513)^2/'Goodness of fit'!B513,"")</f>
        <v/>
      </c>
      <c r="F513" s="2"/>
      <c r="G513" s="2"/>
    </row>
    <row r="514" spans="1:7" x14ac:dyDescent="0.35">
      <c r="A514">
        <f>'Goodness of fit'!D$6/1000+A513</f>
        <v>8.2080000000000055</v>
      </c>
      <c r="B514">
        <f t="shared" si="15"/>
        <v>1.8866189222476695E-2</v>
      </c>
      <c r="C514">
        <f>IF(A514&gt;='Goodness of fit'!$D$3,B514,0)</f>
        <v>1.8866189222476695E-2</v>
      </c>
      <c r="D514" s="2">
        <f t="shared" ref="D514:D577" si="16">CHIDIST(A514,F$1)</f>
        <v>4.1902987999685823E-2</v>
      </c>
      <c r="E514" s="18" t="str">
        <f>IF('Goodness of fit'!B514&gt;0,('Goodness of fit'!A514-'Goodness of fit'!B514)^2/'Goodness of fit'!B514,"")</f>
        <v/>
      </c>
      <c r="F514" s="2"/>
      <c r="G514" s="2"/>
    </row>
    <row r="515" spans="1:7" x14ac:dyDescent="0.35">
      <c r="A515">
        <f>'Goodness of fit'!D$6/1000+A514</f>
        <v>8.2240000000000055</v>
      </c>
      <c r="B515">
        <f t="shared" ref="B515:B578" si="17">_xlfn.CHISQ.DIST(A515,F$1,FALSE)</f>
        <v>1.8734094519767791E-2</v>
      </c>
      <c r="C515">
        <f>IF(A515&gt;='Goodness of fit'!$D$3,B515,0)</f>
        <v>1.8734094519767791E-2</v>
      </c>
      <c r="D515" s="2">
        <f t="shared" si="16"/>
        <v>4.1602186919728945E-2</v>
      </c>
      <c r="E515" s="18" t="str">
        <f>IF('Goodness of fit'!B515&gt;0,('Goodness of fit'!A515-'Goodness of fit'!B515)^2/'Goodness of fit'!B515,"")</f>
        <v/>
      </c>
      <c r="F515" s="2"/>
      <c r="G515" s="2"/>
    </row>
    <row r="516" spans="1:7" x14ac:dyDescent="0.35">
      <c r="A516">
        <f>'Goodness of fit'!D$6/1000+A515</f>
        <v>8.2400000000000055</v>
      </c>
      <c r="B516">
        <f t="shared" si="17"/>
        <v>1.8602889492970141E-2</v>
      </c>
      <c r="C516">
        <f>IF(A516&gt;='Goodness of fit'!$D$3,B516,0)</f>
        <v>1.8602889492970141E-2</v>
      </c>
      <c r="D516" s="2">
        <f t="shared" si="16"/>
        <v>4.1303492230120489E-2</v>
      </c>
      <c r="E516" s="18" t="str">
        <f>IF('Goodness of fit'!B516&gt;0,('Goodness of fit'!A516-'Goodness of fit'!B516)^2/'Goodness of fit'!B516,"")</f>
        <v/>
      </c>
      <c r="F516" s="2"/>
      <c r="G516" s="2"/>
    </row>
    <row r="517" spans="1:7" x14ac:dyDescent="0.35">
      <c r="A517">
        <f>'Goodness of fit'!D$6/1000+A516</f>
        <v>8.2560000000000056</v>
      </c>
      <c r="B517">
        <f t="shared" si="17"/>
        <v>1.8472568541717738E-2</v>
      </c>
      <c r="C517">
        <f>IF(A517&gt;='Goodness of fit'!$D$3,B517,0)</f>
        <v>1.8472568541717738E-2</v>
      </c>
      <c r="D517" s="2">
        <f t="shared" si="16"/>
        <v>4.1006889740889736E-2</v>
      </c>
      <c r="E517" s="18" t="str">
        <f>IF('Goodness of fit'!B517&gt;0,('Goodness of fit'!A517-'Goodness of fit'!B517)^2/'Goodness of fit'!B517,"")</f>
        <v/>
      </c>
      <c r="F517" s="2"/>
      <c r="G517" s="2"/>
    </row>
    <row r="518" spans="1:7" x14ac:dyDescent="0.35">
      <c r="A518">
        <f>'Goodness of fit'!D$6/1000+A517</f>
        <v>8.2720000000000056</v>
      </c>
      <c r="B518">
        <f t="shared" si="17"/>
        <v>1.8343126096237148E-2</v>
      </c>
      <c r="C518">
        <f>IF(A518&gt;='Goodness of fit'!$D$3,B518,0)</f>
        <v>1.8343126096237148E-2</v>
      </c>
      <c r="D518" s="2">
        <f t="shared" si="16"/>
        <v>4.0712365351426832E-2</v>
      </c>
      <c r="E518" s="18" t="str">
        <f>IF('Goodness of fit'!B518&gt;0,('Goodness of fit'!A518-'Goodness of fit'!B518)^2/'Goodness of fit'!B518,"")</f>
        <v/>
      </c>
      <c r="F518" s="2"/>
      <c r="G518" s="2"/>
    </row>
    <row r="519" spans="1:7" x14ac:dyDescent="0.35">
      <c r="A519">
        <f>'Goodness of fit'!D$6/1000+A518</f>
        <v>8.2880000000000056</v>
      </c>
      <c r="B519">
        <f t="shared" si="17"/>
        <v>1.8214556617241622E-2</v>
      </c>
      <c r="C519">
        <f>IF(A519&gt;='Goodness of fit'!$D$3,B519,0)</f>
        <v>1.8214556617241622E-2</v>
      </c>
      <c r="D519" s="2">
        <f t="shared" si="16"/>
        <v>4.0419905049994306E-2</v>
      </c>
      <c r="E519" s="18" t="str">
        <f>IF('Goodness of fit'!B519&gt;0,('Goodness of fit'!A519-'Goodness of fit'!B519)^2/'Goodness of fit'!B519,"")</f>
        <v/>
      </c>
      <c r="F519" s="2"/>
      <c r="G519" s="2"/>
    </row>
    <row r="520" spans="1:7" x14ac:dyDescent="0.35">
      <c r="A520">
        <f>'Goodness of fit'!D$6/1000+A519</f>
        <v>8.3040000000000056</v>
      </c>
      <c r="B520">
        <f t="shared" si="17"/>
        <v>1.8086854595824577E-2</v>
      </c>
      <c r="C520">
        <f>IF(A520&gt;='Goodness of fit'!$D$3,B520,0)</f>
        <v>1.8086854595824577E-2</v>
      </c>
      <c r="D520" s="2">
        <f t="shared" si="16"/>
        <v>4.0129494913240069E-2</v>
      </c>
      <c r="E520" s="18" t="str">
        <f>IF('Goodness of fit'!B520&gt;0,('Goodness of fit'!A520-'Goodness of fit'!B520)^2/'Goodness of fit'!B520,"")</f>
        <v/>
      </c>
      <c r="F520" s="2"/>
      <c r="G520" s="2"/>
    </row>
    <row r="521" spans="1:7" x14ac:dyDescent="0.35">
      <c r="A521">
        <f>'Goodness of fit'!D$6/1000+A520</f>
        <v>8.3200000000000056</v>
      </c>
      <c r="B521">
        <f t="shared" si="17"/>
        <v>1.7960014553352513E-2</v>
      </c>
      <c r="C521">
        <f>IF(A521&gt;='Goodness of fit'!$D$3,B521,0)</f>
        <v>1.7960014553352513E-2</v>
      </c>
      <c r="D521" s="2">
        <f t="shared" si="16"/>
        <v>3.9841121105712238E-2</v>
      </c>
      <c r="E521" s="18" t="str">
        <f>IF('Goodness of fit'!B521&gt;0,('Goodness of fit'!A521-'Goodness of fit'!B521)^2/'Goodness of fit'!B521,"")</f>
        <v/>
      </c>
      <c r="F521" s="2"/>
      <c r="G521" s="2"/>
    </row>
    <row r="522" spans="1:7" x14ac:dyDescent="0.35">
      <c r="A522">
        <f>'Goodness of fit'!D$6/1000+A521</f>
        <v>8.3360000000000056</v>
      </c>
      <c r="B522">
        <f t="shared" si="17"/>
        <v>1.7834031041357393E-2</v>
      </c>
      <c r="C522">
        <f>IF(A522&gt;='Goodness of fit'!$D$3,B522,0)</f>
        <v>1.7834031041357393E-2</v>
      </c>
      <c r="D522" s="2">
        <f t="shared" si="16"/>
        <v>3.9554769879375576E-2</v>
      </c>
      <c r="E522" s="18" t="str">
        <f>IF('Goodness of fit'!B522&gt;0,('Goodness of fit'!A522-'Goodness of fit'!B522)^2/'Goodness of fit'!B522,"")</f>
        <v/>
      </c>
      <c r="F522" s="2"/>
      <c r="G522" s="2"/>
    </row>
    <row r="523" spans="1:7" x14ac:dyDescent="0.35">
      <c r="A523">
        <f>'Goodness of fit'!D$6/1000+A522</f>
        <v>8.3520000000000056</v>
      </c>
      <c r="B523">
        <f t="shared" si="17"/>
        <v>1.7708898641428519E-2</v>
      </c>
      <c r="C523">
        <f>IF(A523&gt;='Goodness of fit'!$D$3,B523,0)</f>
        <v>1.7708898641428519E-2</v>
      </c>
      <c r="D523" s="2">
        <f t="shared" si="16"/>
        <v>3.927042757312979E-2</v>
      </c>
      <c r="E523" s="18" t="str">
        <f>IF('Goodness of fit'!B523&gt;0,('Goodness of fit'!A523-'Goodness of fit'!B523)^2/'Goodness of fit'!B523,"")</f>
        <v/>
      </c>
      <c r="F523" s="2"/>
      <c r="G523" s="2"/>
    </row>
    <row r="524" spans="1:7" x14ac:dyDescent="0.35">
      <c r="A524">
        <f>'Goodness of fit'!D$6/1000+A523</f>
        <v>8.3680000000000057</v>
      </c>
      <c r="B524">
        <f t="shared" si="17"/>
        <v>1.7584611965103882E-2</v>
      </c>
      <c r="C524">
        <f>IF(A524&gt;='Goodness of fit'!$D$3,B524,0)</f>
        <v>1.7584611965103882E-2</v>
      </c>
      <c r="D524" s="2">
        <f t="shared" si="16"/>
        <v>3.8988080612329307E-2</v>
      </c>
      <c r="E524" s="18" t="str">
        <f>IF('Goodness of fit'!B524&gt;0,('Goodness of fit'!A524-'Goodness of fit'!B524)^2/'Goodness of fit'!B524,"")</f>
        <v/>
      </c>
      <c r="F524" s="2"/>
      <c r="G524" s="2"/>
    </row>
    <row r="525" spans="1:7" x14ac:dyDescent="0.35">
      <c r="A525">
        <f>'Goodness of fit'!D$6/1000+A524</f>
        <v>8.3840000000000057</v>
      </c>
      <c r="B525">
        <f t="shared" si="17"/>
        <v>1.7461165653760991E-2</v>
      </c>
      <c r="C525">
        <f>IF(A525&gt;='Goodness of fit'!$D$3,B525,0)</f>
        <v>1.7461165653760991E-2</v>
      </c>
      <c r="D525" s="2">
        <f t="shared" si="16"/>
        <v>3.8707715508305172E-2</v>
      </c>
      <c r="E525" s="18" t="str">
        <f>IF('Goodness of fit'!B525&gt;0,('Goodness of fit'!A525-'Goodness of fit'!B525)^2/'Goodness of fit'!B525,"")</f>
        <v/>
      </c>
      <c r="F525" s="2"/>
      <c r="G525" s="2"/>
    </row>
    <row r="526" spans="1:7" x14ac:dyDescent="0.35">
      <c r="A526">
        <f>'Goodness of fit'!D$6/1000+A525</f>
        <v>8.4000000000000057</v>
      </c>
      <c r="B526">
        <f t="shared" si="17"/>
        <v>1.7338554378507284E-2</v>
      </c>
      <c r="C526">
        <f>IF(A526&gt;='Goodness of fit'!$D$3,B526,0)</f>
        <v>1.7338554378507284E-2</v>
      </c>
      <c r="D526" s="2">
        <f t="shared" si="16"/>
        <v>3.842931885788841E-2</v>
      </c>
      <c r="E526" s="18" t="str">
        <f>IF('Goodness of fit'!B526&gt;0,('Goodness of fit'!A526-'Goodness of fit'!B526)^2/'Goodness of fit'!B526,"")</f>
        <v/>
      </c>
      <c r="F526" s="2"/>
      <c r="G526" s="2"/>
    </row>
    <row r="527" spans="1:7" x14ac:dyDescent="0.35">
      <c r="A527">
        <f>'Goodness of fit'!D$6/1000+A526</f>
        <v>8.4160000000000057</v>
      </c>
      <c r="B527">
        <f t="shared" si="17"/>
        <v>1.7216772840070085E-2</v>
      </c>
      <c r="C527">
        <f>IF(A527&gt;='Goodness of fit'!$D$3,B527,0)</f>
        <v>1.7216772840070085E-2</v>
      </c>
      <c r="D527" s="2">
        <f t="shared" si="16"/>
        <v>3.8152877342935147E-2</v>
      </c>
      <c r="E527" s="18" t="str">
        <f>IF('Goodness of fit'!B527&gt;0,('Goodness of fit'!A527-'Goodness of fit'!B527)^2/'Goodness of fit'!B527,"")</f>
        <v/>
      </c>
      <c r="F527" s="2"/>
      <c r="G527" s="2"/>
    </row>
    <row r="528" spans="1:7" x14ac:dyDescent="0.35">
      <c r="A528">
        <f>'Goodness of fit'!D$6/1000+A527</f>
        <v>8.4320000000000057</v>
      </c>
      <c r="B528">
        <f t="shared" si="17"/>
        <v>1.7095815768686067E-2</v>
      </c>
      <c r="C528">
        <f>IF(A528&gt;='Goodness of fit'!$D$3,B528,0)</f>
        <v>1.7095815768686067E-2</v>
      </c>
      <c r="D528" s="2">
        <f t="shared" si="16"/>
        <v>3.7878377729853772E-2</v>
      </c>
      <c r="E528" s="18" t="str">
        <f>IF('Goodness of fit'!B528&gt;0,('Goodness of fit'!A528-'Goodness of fit'!B528)^2/'Goodness of fit'!B528,"")</f>
        <v/>
      </c>
      <c r="F528" s="2"/>
      <c r="G528" s="2"/>
    </row>
    <row r="529" spans="1:7" x14ac:dyDescent="0.35">
      <c r="A529">
        <f>'Goodness of fit'!D$6/1000+A528</f>
        <v>8.4480000000000057</v>
      </c>
      <c r="B529">
        <f t="shared" si="17"/>
        <v>1.6975677923990403E-2</v>
      </c>
      <c r="C529">
        <f>IF(A529&gt;='Goodness of fit'!$D$3,B529,0)</f>
        <v>1.6975677923990403E-2</v>
      </c>
      <c r="D529" s="2">
        <f t="shared" si="16"/>
        <v>3.760580686913341E-2</v>
      </c>
      <c r="E529" s="18" t="str">
        <f>IF('Goodness of fit'!B529&gt;0,('Goodness of fit'!A529-'Goodness of fit'!B529)^2/'Goodness of fit'!B529,"")</f>
        <v/>
      </c>
      <c r="F529" s="2"/>
      <c r="G529" s="2"/>
    </row>
    <row r="530" spans="1:7" x14ac:dyDescent="0.35">
      <c r="A530">
        <f>'Goodness of fit'!D$6/1000+A529</f>
        <v>8.4640000000000057</v>
      </c>
      <c r="B530">
        <f t="shared" si="17"/>
        <v>1.6856354094905445E-2</v>
      </c>
      <c r="C530">
        <f>IF(A530&gt;='Goodness of fit'!$D$3,B530,0)</f>
        <v>1.6856354094905445E-2</v>
      </c>
      <c r="D530" s="2">
        <f t="shared" si="16"/>
        <v>3.7335151694874676E-2</v>
      </c>
      <c r="E530" s="18" t="str">
        <f>IF('Goodness of fit'!B530&gt;0,('Goodness of fit'!A530-'Goodness of fit'!B530)^2/'Goodness of fit'!B530,"")</f>
        <v/>
      </c>
      <c r="F530" s="2"/>
      <c r="G530" s="2"/>
    </row>
    <row r="531" spans="1:7" x14ac:dyDescent="0.35">
      <c r="A531">
        <f>'Goodness of fit'!D$6/1000+A530</f>
        <v>8.4800000000000058</v>
      </c>
      <c r="B531">
        <f t="shared" si="17"/>
        <v>1.6737839099529021E-2</v>
      </c>
      <c r="C531">
        <f>IF(A531&gt;='Goodness of fit'!$D$3,B531,0)</f>
        <v>1.6737839099529021E-2</v>
      </c>
      <c r="D531" s="2">
        <f t="shared" si="16"/>
        <v>3.7066399224321825E-2</v>
      </c>
      <c r="E531" s="18" t="str">
        <f>IF('Goodness of fit'!B531&gt;0,('Goodness of fit'!A531-'Goodness of fit'!B531)^2/'Goodness of fit'!B531,"")</f>
        <v/>
      </c>
      <c r="F531" s="2"/>
      <c r="G531" s="2"/>
    </row>
    <row r="532" spans="1:7" x14ac:dyDescent="0.35">
      <c r="A532">
        <f>'Goodness of fit'!D$6/1000+A531</f>
        <v>8.4960000000000058</v>
      </c>
      <c r="B532">
        <f t="shared" si="17"/>
        <v>1.6620127785022438E-2</v>
      </c>
      <c r="C532">
        <f>IF(A532&gt;='Goodness of fit'!$D$3,B532,0)</f>
        <v>1.6620127785022438E-2</v>
      </c>
      <c r="D532" s="2">
        <f t="shared" si="16"/>
        <v>3.6799536557396921E-2</v>
      </c>
      <c r="E532" s="18" t="str">
        <f>IF('Goodness of fit'!B532&gt;0,('Goodness of fit'!A532-'Goodness of fit'!B532)^2/'Goodness of fit'!B532,"")</f>
        <v/>
      </c>
      <c r="F532" s="2"/>
      <c r="G532" s="2"/>
    </row>
    <row r="533" spans="1:7" x14ac:dyDescent="0.35">
      <c r="A533">
        <f>'Goodness of fit'!D$6/1000+A532</f>
        <v>8.5120000000000058</v>
      </c>
      <c r="B533">
        <f t="shared" si="17"/>
        <v>1.6503215027498047E-2</v>
      </c>
      <c r="C533">
        <f>IF(A533&gt;='Goodness of fit'!$D$3,B533,0)</f>
        <v>1.6503215027498047E-2</v>
      </c>
      <c r="D533" s="2">
        <f t="shared" si="16"/>
        <v>3.6534550876235652E-2</v>
      </c>
      <c r="E533" s="18" t="str">
        <f>IF('Goodness of fit'!B533&gt;0,('Goodness of fit'!A533-'Goodness of fit'!B533)^2/'Goodness of fit'!B533,"")</f>
        <v/>
      </c>
      <c r="F533" s="2"/>
      <c r="G533" s="2"/>
    </row>
    <row r="534" spans="1:7" x14ac:dyDescent="0.35">
      <c r="A534">
        <f>'Goodness of fit'!D$6/1000+A533</f>
        <v>8.5280000000000058</v>
      </c>
      <c r="B534">
        <f t="shared" si="17"/>
        <v>1.6387095731906557E-2</v>
      </c>
      <c r="C534">
        <f>IF(A534&gt;='Goodness of fit'!$D$3,B534,0)</f>
        <v>1.6387095731906557E-2</v>
      </c>
      <c r="D534" s="2">
        <f t="shared" si="16"/>
        <v>3.6271429444725098E-2</v>
      </c>
      <c r="E534" s="18" t="str">
        <f>IF('Goodness of fit'!B534&gt;0,('Goodness of fit'!A534-'Goodness of fit'!B534)^2/'Goodness of fit'!B534,"")</f>
        <v/>
      </c>
      <c r="F534" s="2"/>
      <c r="G534" s="2"/>
    </row>
    <row r="535" spans="1:7" x14ac:dyDescent="0.35">
      <c r="A535">
        <f>'Goodness of fit'!D$6/1000+A534</f>
        <v>8.5440000000000058</v>
      </c>
      <c r="B535">
        <f t="shared" si="17"/>
        <v>1.6271764831924027E-2</v>
      </c>
      <c r="C535">
        <f>IF(A535&gt;='Goodness of fit'!$D$3,B535,0)</f>
        <v>1.6271764831924027E-2</v>
      </c>
      <c r="D535" s="2">
        <f t="shared" si="16"/>
        <v>3.6010159608043137E-2</v>
      </c>
      <c r="E535" s="18" t="str">
        <f>IF('Goodness of fit'!B535&gt;0,('Goodness of fit'!A535-'Goodness of fit'!B535)^2/'Goodness of fit'!B535,"")</f>
        <v/>
      </c>
      <c r="F535" s="2"/>
      <c r="G535" s="2"/>
    </row>
    <row r="536" spans="1:7" x14ac:dyDescent="0.35">
      <c r="A536">
        <f>'Goodness of fit'!D$6/1000+A535</f>
        <v>8.5600000000000058</v>
      </c>
      <c r="B536">
        <f t="shared" si="17"/>
        <v>1.6157217289838474E-2</v>
      </c>
      <c r="C536">
        <f>IF(A536&gt;='Goodness of fit'!$D$3,B536,0)</f>
        <v>1.6157217289838474E-2</v>
      </c>
      <c r="D536" s="2">
        <f t="shared" si="16"/>
        <v>3.5750728792199829E-2</v>
      </c>
      <c r="E536" s="18" t="str">
        <f>IF('Goodness of fit'!B536&gt;0,('Goodness of fit'!A536-'Goodness of fit'!B536)^2/'Goodness of fit'!B536,"")</f>
        <v/>
      </c>
      <c r="F536" s="2"/>
      <c r="G536" s="2"/>
    </row>
    <row r="537" spans="1:7" x14ac:dyDescent="0.35">
      <c r="A537">
        <f>'Goodness of fit'!D$6/1000+A536</f>
        <v>8.5760000000000058</v>
      </c>
      <c r="B537">
        <f t="shared" si="17"/>
        <v>1.604344809643634E-2</v>
      </c>
      <c r="C537">
        <f>IF(A537&gt;='Goodness of fit'!$D$3,B537,0)</f>
        <v>1.604344809643634E-2</v>
      </c>
      <c r="D537" s="2">
        <f t="shared" si="16"/>
        <v>3.5493124503580387E-2</v>
      </c>
      <c r="E537" s="18" t="str">
        <f>IF('Goodness of fit'!B537&gt;0,('Goodness of fit'!A537-'Goodness of fit'!B537)^2/'Goodness of fit'!B537,"")</f>
        <v/>
      </c>
      <c r="F537" s="2"/>
      <c r="G537" s="2"/>
    </row>
    <row r="538" spans="1:7" x14ac:dyDescent="0.35">
      <c r="A538">
        <f>'Goodness of fit'!D$6/1000+A537</f>
        <v>8.5920000000000059</v>
      </c>
      <c r="B538">
        <f t="shared" si="17"/>
        <v>1.5930452270888559E-2</v>
      </c>
      <c r="C538">
        <f>IF(A538&gt;='Goodness of fit'!$D$3,B538,0)</f>
        <v>1.5930452270888559E-2</v>
      </c>
      <c r="D538" s="2">
        <f t="shared" si="16"/>
        <v>3.5237334328490341E-2</v>
      </c>
      <c r="E538" s="18" t="str">
        <f>IF('Goodness of fit'!B538&gt;0,('Goodness of fit'!A538-'Goodness of fit'!B538)^2/'Goodness of fit'!B538,"")</f>
        <v/>
      </c>
      <c r="F538" s="2"/>
      <c r="G538" s="2"/>
    </row>
    <row r="539" spans="1:7" x14ac:dyDescent="0.35">
      <c r="A539">
        <f>'Goodness of fit'!D$6/1000+A538</f>
        <v>8.6080000000000059</v>
      </c>
      <c r="B539">
        <f t="shared" si="17"/>
        <v>1.5818224860636481E-2</v>
      </c>
      <c r="C539">
        <f>IF(A539&gt;='Goodness of fit'!$D$3,B539,0)</f>
        <v>1.5818224860636481E-2</v>
      </c>
      <c r="D539" s="2">
        <f t="shared" si="16"/>
        <v>3.498334593270204E-2</v>
      </c>
      <c r="E539" s="18" t="str">
        <f>IF('Goodness of fit'!B539&gt;0,('Goodness of fit'!A539-'Goodness of fit'!B539)^2/'Goodness of fit'!B539,"")</f>
        <v/>
      </c>
      <c r="F539" s="2"/>
      <c r="G539" s="2"/>
    </row>
    <row r="540" spans="1:7" x14ac:dyDescent="0.35">
      <c r="A540">
        <f>'Goodness of fit'!D$6/1000+A539</f>
        <v>8.6240000000000059</v>
      </c>
      <c r="B540">
        <f t="shared" si="17"/>
        <v>1.5706760941277473E-2</v>
      </c>
      <c r="C540">
        <f>IF(A540&gt;='Goodness of fit'!$D$3,B540,0)</f>
        <v>1.5706760941277473E-2</v>
      </c>
      <c r="D540" s="2">
        <f t="shared" si="16"/>
        <v>3.4731147061003505E-2</v>
      </c>
      <c r="E540" s="18" t="str">
        <f>IF('Goodness of fit'!B540&gt;0,('Goodness of fit'!A540-'Goodness of fit'!B540)^2/'Goodness of fit'!B540,"")</f>
        <v/>
      </c>
      <c r="F540" s="2"/>
      <c r="G540" s="2"/>
    </row>
    <row r="541" spans="1:7" x14ac:dyDescent="0.35">
      <c r="A541">
        <f>'Goodness of fit'!D$6/1000+A540</f>
        <v>8.6400000000000059</v>
      </c>
      <c r="B541">
        <f t="shared" si="17"/>
        <v>1.5596055616450361E-2</v>
      </c>
      <c r="C541">
        <f>IF(A541&gt;='Goodness of fit'!$D$3,B541,0)</f>
        <v>1.5596055616450361E-2</v>
      </c>
      <c r="D541" s="2">
        <f t="shared" si="16"/>
        <v>3.4480725536748642E-2</v>
      </c>
      <c r="E541" s="18" t="str">
        <f>IF('Goodness of fit'!B541&gt;0,('Goodness of fit'!A541-'Goodness of fit'!B541)^2/'Goodness of fit'!B541,"")</f>
        <v/>
      </c>
      <c r="F541" s="2"/>
      <c r="G541" s="2"/>
    </row>
    <row r="542" spans="1:7" x14ac:dyDescent="0.35">
      <c r="A542">
        <f>'Goodness of fit'!D$6/1000+A541</f>
        <v>8.6560000000000059</v>
      </c>
      <c r="B542">
        <f t="shared" si="17"/>
        <v>1.5486104017720614E-2</v>
      </c>
      <c r="C542">
        <f>IF(A542&gt;='Goodness of fit'!$D$3,B542,0)</f>
        <v>1.5486104017720614E-2</v>
      </c>
      <c r="D542" s="2">
        <f t="shared" si="16"/>
        <v>3.4232069261409523E-2</v>
      </c>
      <c r="E542" s="18" t="str">
        <f>IF('Goodness of fit'!B542&gt;0,('Goodness of fit'!A542-'Goodness of fit'!B542)^2/'Goodness of fit'!B542,"")</f>
        <v/>
      </c>
      <c r="F542" s="2"/>
      <c r="G542" s="2"/>
    </row>
    <row r="543" spans="1:7" x14ac:dyDescent="0.35">
      <c r="A543">
        <f>'Goodness of fit'!D$6/1000+A542</f>
        <v>8.6720000000000059</v>
      </c>
      <c r="B543">
        <f t="shared" si="17"/>
        <v>1.5376901304465399E-2</v>
      </c>
      <c r="C543">
        <f>IF(A543&gt;='Goodness of fit'!$D$3,B543,0)</f>
        <v>1.5376901304465399E-2</v>
      </c>
      <c r="D543" s="2">
        <f t="shared" si="16"/>
        <v>3.3985166214130627E-2</v>
      </c>
      <c r="E543" s="18" t="str">
        <f>IF('Goodness of fit'!B543&gt;0,('Goodness of fit'!A543-'Goodness of fit'!B543)^2/'Goodness of fit'!B543,"")</f>
        <v/>
      </c>
      <c r="F543" s="2"/>
      <c r="G543" s="2"/>
    </row>
    <row r="544" spans="1:7" x14ac:dyDescent="0.35">
      <c r="A544">
        <f>'Goodness of fit'!D$6/1000+A543</f>
        <v>8.6880000000000059</v>
      </c>
      <c r="B544">
        <f t="shared" si="17"/>
        <v>1.526844266375835E-2</v>
      </c>
      <c r="C544">
        <f>IF(A544&gt;='Goodness of fit'!$D$3,B544,0)</f>
        <v>1.526844266375835E-2</v>
      </c>
      <c r="D544" s="2">
        <f t="shared" si="16"/>
        <v>3.3740004451284611E-2</v>
      </c>
      <c r="E544" s="18" t="str">
        <f>IF('Goodness of fit'!B544&gt;0,('Goodness of fit'!A544-'Goodness of fit'!B544)^2/'Goodness of fit'!B544,"")</f>
        <v/>
      </c>
      <c r="F544" s="2"/>
      <c r="G544" s="2"/>
    </row>
    <row r="545" spans="1:7" x14ac:dyDescent="0.35">
      <c r="A545">
        <f>'Goodness of fit'!D$6/1000+A544</f>
        <v>8.704000000000006</v>
      </c>
      <c r="B545">
        <f t="shared" si="17"/>
        <v>1.5160723310254302E-2</v>
      </c>
      <c r="C545">
        <f>IF(A545&gt;='Goodness of fit'!$D$3,B545,0)</f>
        <v>1.5160723310254302E-2</v>
      </c>
      <c r="D545" s="2">
        <f t="shared" si="16"/>
        <v>3.3496572106030173E-2</v>
      </c>
      <c r="E545" s="18" t="str">
        <f>IF('Goodness of fit'!B545&gt;0,('Goodness of fit'!A545-'Goodness of fit'!B545)^2/'Goodness of fit'!B545,"")</f>
        <v/>
      </c>
      <c r="F545" s="2"/>
      <c r="G545" s="2"/>
    </row>
    <row r="546" spans="1:7" x14ac:dyDescent="0.35">
      <c r="A546">
        <f>'Goodness of fit'!D$6/1000+A545</f>
        <v>8.720000000000006</v>
      </c>
      <c r="B546">
        <f t="shared" si="17"/>
        <v>1.5053738486073769E-2</v>
      </c>
      <c r="C546">
        <f>IF(A546&gt;='Goodness of fit'!$D$3,B546,0)</f>
        <v>1.5053738486073769E-2</v>
      </c>
      <c r="D546" s="2">
        <f t="shared" si="16"/>
        <v>3.3254857387871609E-2</v>
      </c>
      <c r="E546" s="18" t="str">
        <f>IF('Goodness of fit'!B546&gt;0,('Goodness of fit'!A546-'Goodness of fit'!B546)^2/'Goodness of fit'!B546,"")</f>
        <v/>
      </c>
      <c r="F546" s="2"/>
      <c r="G546" s="2"/>
    </row>
    <row r="547" spans="1:7" x14ac:dyDescent="0.35">
      <c r="A547">
        <f>'Goodness of fit'!D$6/1000+A546</f>
        <v>8.736000000000006</v>
      </c>
      <c r="B547">
        <f t="shared" si="17"/>
        <v>1.4947483460687309E-2</v>
      </c>
      <c r="C547">
        <f>IF(A547&gt;='Goodness of fit'!$D$3,B547,0)</f>
        <v>1.4947483460687309E-2</v>
      </c>
      <c r="D547" s="2">
        <f t="shared" si="16"/>
        <v>3.3014848582220396E-2</v>
      </c>
      <c r="E547" s="18" t="str">
        <f>IF('Goodness of fit'!B547&gt;0,('Goodness of fit'!A547-'Goodness of fit'!B547)^2/'Goodness of fit'!B547,"")</f>
        <v/>
      </c>
      <c r="F547" s="2"/>
      <c r="G547" s="2"/>
    </row>
    <row r="548" spans="1:7" x14ac:dyDescent="0.35">
      <c r="A548">
        <f>'Goodness of fit'!D$6/1000+A547</f>
        <v>8.752000000000006</v>
      </c>
      <c r="B548">
        <f t="shared" si="17"/>
        <v>1.4841953530799782E-2</v>
      </c>
      <c r="C548">
        <f>IF(A548&gt;='Goodness of fit'!$D$3,B548,0)</f>
        <v>1.4841953530799782E-2</v>
      </c>
      <c r="D548" s="2">
        <f t="shared" si="16"/>
        <v>3.2776534049958443E-2</v>
      </c>
      <c r="E548" s="18" t="str">
        <f>IF('Goodness of fit'!B548&gt;0,('Goodness of fit'!A548-'Goodness of fit'!B548)^2/'Goodness of fit'!B548,"")</f>
        <v/>
      </c>
      <c r="F548" s="2"/>
      <c r="G548" s="2"/>
    </row>
    <row r="549" spans="1:7" x14ac:dyDescent="0.35">
      <c r="A549">
        <f>'Goodness of fit'!D$6/1000+A548</f>
        <v>8.768000000000006</v>
      </c>
      <c r="B549">
        <f t="shared" si="17"/>
        <v>1.4737144020234487E-2</v>
      </c>
      <c r="C549">
        <f>IF(A549&gt;='Goodness of fit'!$D$3,B549,0)</f>
        <v>1.4737144020234487E-2</v>
      </c>
      <c r="D549" s="2">
        <f t="shared" si="16"/>
        <v>3.2539902227003245E-2</v>
      </c>
      <c r="E549" s="18" t="str">
        <f>IF('Goodness of fit'!B549&gt;0,('Goodness of fit'!A549-'Goodness of fit'!B549)^2/'Goodness of fit'!B549,"")</f>
        <v/>
      </c>
      <c r="F549" s="2"/>
      <c r="G549" s="2"/>
    </row>
    <row r="550" spans="1:7" x14ac:dyDescent="0.35">
      <c r="A550">
        <f>'Goodness of fit'!D$6/1000+A549</f>
        <v>8.784000000000006</v>
      </c>
      <c r="B550">
        <f t="shared" si="17"/>
        <v>1.4633050279817154E-2</v>
      </c>
      <c r="C550">
        <f>IF(A550&gt;='Goodness of fit'!$D$3,B550,0)</f>
        <v>1.4633050279817154E-2</v>
      </c>
      <c r="D550" s="2">
        <f t="shared" si="16"/>
        <v>3.2304941623874935E-2</v>
      </c>
      <c r="E550" s="18" t="str">
        <f>IF('Goodness of fit'!B550&gt;0,('Goodness of fit'!A550-'Goodness of fit'!B550)^2/'Goodness of fit'!B550,"")</f>
        <v/>
      </c>
      <c r="F550" s="2"/>
      <c r="G550" s="2"/>
    </row>
    <row r="551" spans="1:7" x14ac:dyDescent="0.35">
      <c r="A551">
        <f>'Goodness of fit'!D$6/1000+A550</f>
        <v>8.800000000000006</v>
      </c>
      <c r="B551">
        <f t="shared" si="17"/>
        <v>1.4529667687259896E-2</v>
      </c>
      <c r="C551">
        <f>IF(A551&gt;='Goodness of fit'!$D$3,B551,0)</f>
        <v>1.4529667687259896E-2</v>
      </c>
      <c r="D551" s="2">
        <f t="shared" si="16"/>
        <v>3.2071640825265257E-2</v>
      </c>
      <c r="E551" s="18" t="str">
        <f>IF('Goodness of fit'!B551&gt;0,('Goodness of fit'!A551-'Goodness of fit'!B551)^2/'Goodness of fit'!B551,"")</f>
        <v/>
      </c>
      <c r="F551" s="2"/>
      <c r="G551" s="2"/>
    </row>
    <row r="552" spans="1:7" x14ac:dyDescent="0.35">
      <c r="A552">
        <f>'Goodness of fit'!D$6/1000+A551</f>
        <v>8.8160000000000061</v>
      </c>
      <c r="B552">
        <f t="shared" si="17"/>
        <v>1.4426991647045062E-2</v>
      </c>
      <c r="C552">
        <f>IF(A552&gt;='Goodness of fit'!$D$3,B552,0)</f>
        <v>1.4426991647045062E-2</v>
      </c>
      <c r="D552" s="2">
        <f t="shared" si="16"/>
        <v>3.1839988489608194E-2</v>
      </c>
      <c r="E552" s="18" t="str">
        <f>IF('Goodness of fit'!B552&gt;0,('Goodness of fit'!A552-'Goodness of fit'!B552)^2/'Goodness of fit'!B552,"")</f>
        <v/>
      </c>
      <c r="F552" s="2"/>
      <c r="G552" s="2"/>
    </row>
    <row r="553" spans="1:7" x14ac:dyDescent="0.35">
      <c r="A553">
        <f>'Goodness of fit'!D$6/1000+A552</f>
        <v>8.8320000000000061</v>
      </c>
      <c r="B553">
        <f t="shared" si="17"/>
        <v>1.4325017590309007E-2</v>
      </c>
      <c r="C553">
        <f>IF(A553&gt;='Goodness of fit'!$D$3,B553,0)</f>
        <v>1.4325017590309007E-2</v>
      </c>
      <c r="D553" s="2">
        <f t="shared" si="16"/>
        <v>3.1609973348652655E-2</v>
      </c>
      <c r="E553" s="18" t="str">
        <f>IF('Goodness of fit'!B553&gt;0,('Goodness of fit'!A553-'Goodness of fit'!B553)^2/'Goodness of fit'!B553,"")</f>
        <v/>
      </c>
      <c r="F553" s="2"/>
      <c r="G553" s="2"/>
    </row>
    <row r="554" spans="1:7" x14ac:dyDescent="0.35">
      <c r="A554">
        <f>'Goodness of fit'!D$6/1000+A553</f>
        <v>8.8480000000000061</v>
      </c>
      <c r="B554">
        <f t="shared" si="17"/>
        <v>1.4223740974725832E-2</v>
      </c>
      <c r="C554">
        <f>IF(A554&gt;='Goodness of fit'!$D$3,B554,0)</f>
        <v>1.4223740974725832E-2</v>
      </c>
      <c r="D554" s="2">
        <f t="shared" si="16"/>
        <v>3.1381584207036843E-2</v>
      </c>
      <c r="E554" s="18" t="str">
        <f>IF('Goodness of fit'!B554&gt;0,('Goodness of fit'!A554-'Goodness of fit'!B554)^2/'Goodness of fit'!B554,"")</f>
        <v/>
      </c>
      <c r="F554" s="2"/>
      <c r="G554" s="2"/>
    </row>
    <row r="555" spans="1:7" x14ac:dyDescent="0.35">
      <c r="A555">
        <f>'Goodness of fit'!D$6/1000+A554</f>
        <v>8.8640000000000061</v>
      </c>
      <c r="B555">
        <f t="shared" si="17"/>
        <v>1.4123157284391039E-2</v>
      </c>
      <c r="C555">
        <f>IF(A555&gt;='Goodness of fit'!$D$3,B555,0)</f>
        <v>1.4123157284391039E-2</v>
      </c>
      <c r="D555" s="2">
        <f t="shared" si="16"/>
        <v>3.1154809941864786E-2</v>
      </c>
      <c r="E555" s="18" t="str">
        <f>IF('Goodness of fit'!B555&gt;0,('Goodness of fit'!A555-'Goodness of fit'!B555)^2/'Goodness of fit'!B555,"")</f>
        <v/>
      </c>
      <c r="F555" s="2"/>
      <c r="G555" s="2"/>
    </row>
    <row r="556" spans="1:7" x14ac:dyDescent="0.35">
      <c r="A556">
        <f>'Goodness of fit'!D$6/1000+A555</f>
        <v>8.8800000000000061</v>
      </c>
      <c r="B556">
        <f t="shared" si="17"/>
        <v>1.4023262029705202E-2</v>
      </c>
      <c r="C556">
        <f>IF(A556&gt;='Goodness of fit'!$D$3,B556,0)</f>
        <v>1.4023262029705202E-2</v>
      </c>
      <c r="D556" s="2">
        <f t="shared" si="16"/>
        <v>3.0929639502284206E-2</v>
      </c>
      <c r="E556" s="18" t="str">
        <f>IF('Goodness of fit'!B556&gt;0,('Goodness of fit'!A556-'Goodness of fit'!B556)^2/'Goodness of fit'!B556,"")</f>
        <v/>
      </c>
      <c r="F556" s="2"/>
      <c r="G556" s="2"/>
    </row>
    <row r="557" spans="1:7" x14ac:dyDescent="0.35">
      <c r="A557">
        <f>'Goodness of fit'!D$6/1000+A556</f>
        <v>8.8960000000000061</v>
      </c>
      <c r="B557">
        <f t="shared" si="17"/>
        <v>1.3924050747257574E-2</v>
      </c>
      <c r="C557">
        <f>IF(A557&gt;='Goodness of fit'!$D$3,B557,0)</f>
        <v>1.3924050747257574E-2</v>
      </c>
      <c r="D557" s="2">
        <f t="shared" si="16"/>
        <v>3.0706061909066905E-2</v>
      </c>
      <c r="E557" s="18" t="str">
        <f>IF('Goodness of fit'!B557&gt;0,('Goodness of fit'!A557-'Goodness of fit'!B557)^2/'Goodness of fit'!B557,"")</f>
        <v/>
      </c>
      <c r="F557" s="2"/>
      <c r="G557" s="2"/>
    </row>
    <row r="558" spans="1:7" x14ac:dyDescent="0.35">
      <c r="A558">
        <f>'Goodness of fit'!D$6/1000+A557</f>
        <v>8.9120000000000061</v>
      </c>
      <c r="B558">
        <f t="shared" si="17"/>
        <v>1.3825518999709673E-2</v>
      </c>
      <c r="C558">
        <f>IF(A558&gt;='Goodness of fit'!$D$3,B558,0)</f>
        <v>1.3825518999709673E-2</v>
      </c>
      <c r="D558" s="2">
        <f t="shared" si="16"/>
        <v>3.0484066254190447E-2</v>
      </c>
      <c r="E558" s="18" t="str">
        <f>IF('Goodness of fit'!B558&gt;0,('Goodness of fit'!A558-'Goodness of fit'!B558)^2/'Goodness of fit'!B558,"")</f>
        <v/>
      </c>
      <c r="F558" s="2"/>
      <c r="G558" s="2"/>
    </row>
    <row r="559" spans="1:7" x14ac:dyDescent="0.35">
      <c r="A559">
        <f>'Goodness of fit'!D$6/1000+A558</f>
        <v>8.9280000000000062</v>
      </c>
      <c r="B559">
        <f t="shared" si="17"/>
        <v>1.372766237567891E-2</v>
      </c>
      <c r="C559">
        <f>IF(A559&gt;='Goodness of fit'!$D$3,B559,0)</f>
        <v>1.372766237567891E-2</v>
      </c>
      <c r="D559" s="2">
        <f t="shared" si="16"/>
        <v>3.0263641700422034E-2</v>
      </c>
      <c r="E559" s="18" t="str">
        <f>IF('Goodness of fit'!B559&gt;0,('Goodness of fit'!A559-'Goodness of fit'!B559)^2/'Goodness of fit'!B559,"")</f>
        <v/>
      </c>
      <c r="F559" s="2"/>
      <c r="G559" s="2"/>
    </row>
    <row r="560" spans="1:7" x14ac:dyDescent="0.35">
      <c r="A560">
        <f>'Goodness of fit'!D$6/1000+A559</f>
        <v>8.9440000000000062</v>
      </c>
      <c r="B560">
        <f t="shared" si="17"/>
        <v>1.3630476489622177E-2</v>
      </c>
      <c r="C560">
        <f>IF(A560&gt;='Goodness of fit'!$D$3,B560,0)</f>
        <v>1.3630476489622177E-2</v>
      </c>
      <c r="D560" s="2">
        <f t="shared" si="16"/>
        <v>3.0044777480904082E-2</v>
      </c>
      <c r="E560" s="18" t="str">
        <f>IF('Goodness of fit'!B560&gt;0,('Goodness of fit'!A560-'Goodness of fit'!B560)^2/'Goodness of fit'!B560,"")</f>
        <v/>
      </c>
      <c r="F560" s="2"/>
      <c r="G560" s="2"/>
    </row>
    <row r="561" spans="1:7" x14ac:dyDescent="0.35">
      <c r="A561">
        <f>'Goodness of fit'!D$6/1000+A560</f>
        <v>8.9600000000000062</v>
      </c>
      <c r="B561">
        <f t="shared" si="17"/>
        <v>1.3533956981719476E-2</v>
      </c>
      <c r="C561">
        <f>IF(A561&gt;='Goodness of fit'!$D$3,B561,0)</f>
        <v>1.3533956981719476E-2</v>
      </c>
      <c r="D561" s="2">
        <f t="shared" si="16"/>
        <v>2.9827462898741851E-2</v>
      </c>
      <c r="E561" s="18" t="str">
        <f>IF('Goodness of fit'!B561&gt;0,('Goodness of fit'!A561-'Goodness of fit'!B561)^2/'Goodness of fit'!B561,"")</f>
        <v/>
      </c>
      <c r="F561" s="2"/>
      <c r="G561" s="2"/>
    </row>
    <row r="562" spans="1:7" x14ac:dyDescent="0.35">
      <c r="A562">
        <f>'Goodness of fit'!D$6/1000+A561</f>
        <v>8.9760000000000062</v>
      </c>
      <c r="B562">
        <f t="shared" si="17"/>
        <v>1.3438099517757571E-2</v>
      </c>
      <c r="C562">
        <f>IF(A562&gt;='Goodness of fit'!$D$3,B562,0)</f>
        <v>1.3438099517757571E-2</v>
      </c>
      <c r="D562" s="2">
        <f t="shared" si="16"/>
        <v>2.9611687326592587E-2</v>
      </c>
      <c r="E562" s="18" t="str">
        <f>IF('Goodness of fit'!B562&gt;0,('Goodness of fit'!A562-'Goodness of fit'!B562)^2/'Goodness of fit'!B562,"")</f>
        <v/>
      </c>
      <c r="F562" s="2"/>
      <c r="G562" s="2"/>
    </row>
    <row r="563" spans="1:7" x14ac:dyDescent="0.35">
      <c r="A563">
        <f>'Goodness of fit'!D$6/1000+A562</f>
        <v>8.9920000000000062</v>
      </c>
      <c r="B563">
        <f t="shared" si="17"/>
        <v>1.3342899789013657E-2</v>
      </c>
      <c r="C563">
        <f>IF(A563&gt;='Goodness of fit'!$D$3,B563,0)</f>
        <v>1.3342899789013657E-2</v>
      </c>
      <c r="D563" s="2">
        <f t="shared" si="16"/>
        <v>2.9397440206256956E-2</v>
      </c>
      <c r="E563" s="18" t="str">
        <f>IF('Goodness of fit'!B563&gt;0,('Goodness of fit'!A563-'Goodness of fit'!B563)^2/'Goodness of fit'!B563,"")</f>
        <v/>
      </c>
      <c r="F563" s="2"/>
      <c r="G563" s="2"/>
    </row>
    <row r="564" spans="1:7" x14ac:dyDescent="0.35">
      <c r="A564">
        <f>'Goodness of fit'!D$6/1000+A563</f>
        <v>9.0080000000000062</v>
      </c>
      <c r="B564">
        <f t="shared" si="17"/>
        <v>1.3248353512139079E-2</v>
      </c>
      <c r="C564">
        <f>IF(A564&gt;='Goodness of fit'!$D$3,B564,0)</f>
        <v>1.3248353512139079E-2</v>
      </c>
      <c r="D564" s="2">
        <f t="shared" si="16"/>
        <v>2.9184711048272007E-2</v>
      </c>
      <c r="E564" s="18" t="str">
        <f>IF('Goodness of fit'!B564&gt;0,('Goodness of fit'!A564-'Goodness of fit'!B564)^2/'Goodness of fit'!B564,"")</f>
        <v/>
      </c>
      <c r="F564" s="2"/>
      <c r="G564" s="2"/>
    </row>
    <row r="565" spans="1:7" x14ac:dyDescent="0.35">
      <c r="A565">
        <f>'Goodness of fit'!D$6/1000+A564</f>
        <v>9.0240000000000062</v>
      </c>
      <c r="B565">
        <f t="shared" si="17"/>
        <v>1.3154456429043134E-2</v>
      </c>
      <c r="C565">
        <f>IF(A565&gt;='Goodness of fit'!$D$3,B565,0)</f>
        <v>1.3154456429043134E-2</v>
      </c>
      <c r="D565" s="2">
        <f t="shared" si="16"/>
        <v>2.8973489431506152E-2</v>
      </c>
      <c r="E565" s="18" t="str">
        <f>IF('Goodness of fit'!B565&gt;0,('Goodness of fit'!A565-'Goodness of fit'!B565)^2/'Goodness of fit'!B565,"")</f>
        <v/>
      </c>
      <c r="F565" s="2"/>
      <c r="G565" s="2"/>
    </row>
    <row r="566" spans="1:7" x14ac:dyDescent="0.35">
      <c r="A566">
        <f>'Goodness of fit'!D$6/1000+A565</f>
        <v>9.0400000000000063</v>
      </c>
      <c r="B566">
        <f t="shared" si="17"/>
        <v>1.3061204306776915E-2</v>
      </c>
      <c r="C566">
        <f>IF(A566&gt;='Goodness of fit'!$D$3,B566,0)</f>
        <v>1.3061204306776915E-2</v>
      </c>
      <c r="D566" s="2">
        <f t="shared" si="16"/>
        <v>2.8763765002755987E-2</v>
      </c>
      <c r="E566" s="18" t="str">
        <f>IF('Goodness of fit'!B566&gt;0,('Goodness of fit'!A566-'Goodness of fit'!B566)^2/'Goodness of fit'!B566,"")</f>
        <v/>
      </c>
      <c r="F566" s="2"/>
      <c r="G566" s="2"/>
    </row>
    <row r="567" spans="1:7" x14ac:dyDescent="0.35">
      <c r="A567">
        <f>'Goodness of fit'!D$6/1000+A566</f>
        <v>9.0560000000000063</v>
      </c>
      <c r="B567">
        <f t="shared" si="17"/>
        <v>1.2968592937417183E-2</v>
      </c>
      <c r="C567">
        <f>IF(A567&gt;='Goodness of fit'!$D$3,B567,0)</f>
        <v>1.2968592937417183E-2</v>
      </c>
      <c r="D567" s="2">
        <f t="shared" si="16"/>
        <v>2.8555527476344884E-2</v>
      </c>
      <c r="E567" s="18" t="str">
        <f>IF('Goodness of fit'!B567&gt;0,('Goodness of fit'!A567-'Goodness of fit'!B567)^2/'Goodness of fit'!B567,"")</f>
        <v/>
      </c>
      <c r="F567" s="2"/>
      <c r="G567" s="2"/>
    </row>
    <row r="568" spans="1:7" x14ac:dyDescent="0.35">
      <c r="A568">
        <f>'Goodness of fit'!D$6/1000+A567</f>
        <v>9.0720000000000063</v>
      </c>
      <c r="B568">
        <f t="shared" si="17"/>
        <v>1.2876618137950404E-2</v>
      </c>
      <c r="C568">
        <f>IF(A568&gt;='Goodness of fit'!$D$3,B568,0)</f>
        <v>1.2876618137950404E-2</v>
      </c>
      <c r="D568" s="2">
        <f t="shared" si="16"/>
        <v>2.8348766633723609E-2</v>
      </c>
      <c r="E568" s="18" t="str">
        <f>IF('Goodness of fit'!B568&gt;0,('Goodness of fit'!A568-'Goodness of fit'!B568)^2/'Goodness of fit'!B568,"")</f>
        <v/>
      </c>
      <c r="F568" s="2"/>
      <c r="G568" s="2"/>
    </row>
    <row r="569" spans="1:7" x14ac:dyDescent="0.35">
      <c r="A569">
        <f>'Goodness of fit'!D$6/1000+A568</f>
        <v>9.0880000000000063</v>
      </c>
      <c r="B569">
        <f t="shared" si="17"/>
        <v>1.2785275750156812E-2</v>
      </c>
      <c r="C569">
        <f>IF(A569&gt;='Goodness of fit'!$D$3,B569,0)</f>
        <v>1.2785275750156812E-2</v>
      </c>
      <c r="D569" s="2">
        <f t="shared" si="16"/>
        <v>2.8143472323072592E-2</v>
      </c>
      <c r="E569" s="18" t="str">
        <f>IF('Goodness of fit'!B569&gt;0,('Goodness of fit'!A569-'Goodness of fit'!B569)^2/'Goodness of fit'!B569,"")</f>
        <v/>
      </c>
      <c r="F569" s="2"/>
      <c r="G569" s="2"/>
    </row>
    <row r="570" spans="1:7" x14ac:dyDescent="0.35">
      <c r="A570">
        <f>'Goodness of fit'!D$6/1000+A569</f>
        <v>9.1040000000000063</v>
      </c>
      <c r="B570">
        <f t="shared" si="17"/>
        <v>1.2694561640494564E-2</v>
      </c>
      <c r="C570">
        <f>IF(A570&gt;='Goodness of fit'!$D$3,B570,0)</f>
        <v>1.2694561640494564E-2</v>
      </c>
      <c r="D570" s="2">
        <f t="shared" si="16"/>
        <v>2.7939634458906244E-2</v>
      </c>
      <c r="E570" s="18" t="str">
        <f>IF('Goodness of fit'!B570&gt;0,('Goodness of fit'!A570-'Goodness of fit'!B570)^2/'Goodness of fit'!B570,"")</f>
        <v/>
      </c>
      <c r="F570" s="2"/>
      <c r="G570" s="2"/>
    </row>
    <row r="571" spans="1:7" x14ac:dyDescent="0.35">
      <c r="A571">
        <f>'Goodness of fit'!D$6/1000+A570</f>
        <v>9.1200000000000063</v>
      </c>
      <c r="B571">
        <f t="shared" si="17"/>
        <v>1.2604471699984059E-2</v>
      </c>
      <c r="C571">
        <f>IF(A571&gt;='Goodness of fit'!$D$3,B571,0)</f>
        <v>1.2604471699984059E-2</v>
      </c>
      <c r="D571" s="2">
        <f t="shared" si="16"/>
        <v>2.773724302167898E-2</v>
      </c>
      <c r="E571" s="18" t="str">
        <f>IF('Goodness of fit'!B571&gt;0,('Goodness of fit'!A571-'Goodness of fit'!B571)^2/'Goodness of fit'!B571,"")</f>
        <v/>
      </c>
      <c r="F571" s="2"/>
      <c r="G571" s="2"/>
    </row>
    <row r="572" spans="1:7" x14ac:dyDescent="0.35">
      <c r="A572">
        <f>'Goodness of fit'!D$6/1000+A571</f>
        <v>9.1360000000000063</v>
      </c>
      <c r="B572">
        <f t="shared" si="17"/>
        <v>1.251500184409229E-2</v>
      </c>
      <c r="C572">
        <f>IF(A572&gt;='Goodness of fit'!$D$3,B572,0)</f>
        <v>1.251500184409229E-2</v>
      </c>
      <c r="D572" s="2">
        <f t="shared" si="16"/>
        <v>2.7536288057393138E-2</v>
      </c>
      <c r="E572" s="18" t="str">
        <f>IF('Goodness of fit'!B572&gt;0,('Goodness of fit'!A572-'Goodness of fit'!B572)^2/'Goodness of fit'!B572,"")</f>
        <v/>
      </c>
      <c r="F572" s="2"/>
      <c r="G572" s="2"/>
    </row>
    <row r="573" spans="1:7" x14ac:dyDescent="0.35">
      <c r="A573">
        <f>'Goodness of fit'!D$6/1000+A572</f>
        <v>9.1520000000000064</v>
      </c>
      <c r="B573">
        <f t="shared" si="17"/>
        <v>1.2426148012617383E-2</v>
      </c>
      <c r="C573">
        <f>IF(A573&gt;='Goodness of fit'!$D$3,B573,0)</f>
        <v>1.2426148012617383E-2</v>
      </c>
      <c r="D573" s="2">
        <f t="shared" si="16"/>
        <v>2.7336759677208781E-2</v>
      </c>
      <c r="E573" s="18" t="str">
        <f>IF('Goodness of fit'!B573&gt;0,('Goodness of fit'!A573-'Goodness of fit'!B573)^2/'Goodness of fit'!B573,"")</f>
        <v/>
      </c>
      <c r="F573" s="2"/>
      <c r="G573" s="2"/>
    </row>
    <row r="574" spans="1:7" x14ac:dyDescent="0.35">
      <c r="A574">
        <f>'Goodness of fit'!D$6/1000+A573</f>
        <v>9.1680000000000064</v>
      </c>
      <c r="B574">
        <f t="shared" si="17"/>
        <v>1.2337906169573235E-2</v>
      </c>
      <c r="C574">
        <f>IF(A574&gt;='Goodness of fit'!$D$3,B574,0)</f>
        <v>1.2337906169573235E-2</v>
      </c>
      <c r="D574" s="2">
        <f t="shared" si="16"/>
        <v>2.7138648057055362E-2</v>
      </c>
      <c r="E574" s="18" t="str">
        <f>IF('Goodness of fit'!B574&gt;0,('Goodness of fit'!A574-'Goodness of fit'!B574)^2/'Goodness of fit'!B574,"")</f>
        <v/>
      </c>
      <c r="F574" s="2"/>
      <c r="G574" s="2"/>
    </row>
    <row r="575" spans="1:7" x14ac:dyDescent="0.35">
      <c r="A575">
        <f>'Goodness of fit'!D$6/1000+A574</f>
        <v>9.1840000000000064</v>
      </c>
      <c r="B575">
        <f t="shared" si="17"/>
        <v>1.2250272303074248E-2</v>
      </c>
      <c r="C575">
        <f>IF(A575&gt;='Goodness of fit'!$D$3,B575,0)</f>
        <v>1.2250272303074248E-2</v>
      </c>
      <c r="D575" s="2">
        <f t="shared" si="16"/>
        <v>2.6941943437245135E-2</v>
      </c>
      <c r="E575" s="18" t="str">
        <f>IF('Goodness of fit'!B575&gt;0,('Goodness of fit'!A575-'Goodness of fit'!B575)^2/'Goodness of fit'!B575,"")</f>
        <v/>
      </c>
      <c r="F575" s="2"/>
      <c r="G575" s="2"/>
    </row>
    <row r="576" spans="1:7" x14ac:dyDescent="0.35">
      <c r="A576">
        <f>'Goodness of fit'!D$6/1000+A575</f>
        <v>9.2000000000000064</v>
      </c>
      <c r="B576">
        <f t="shared" si="17"/>
        <v>1.2163242425220312E-2</v>
      </c>
      <c r="C576">
        <f>IF(A576&gt;='Goodness of fit'!$D$3,B576,0)</f>
        <v>1.2163242425220312E-2</v>
      </c>
      <c r="D576" s="2">
        <f t="shared" si="16"/>
        <v>2.6746636122088444E-2</v>
      </c>
      <c r="E576" s="18" t="str">
        <f>IF('Goodness of fit'!B576&gt;0,('Goodness of fit'!A576-'Goodness of fit'!B576)^2/'Goodness of fit'!B576,"")</f>
        <v/>
      </c>
      <c r="F576" s="2"/>
      <c r="G576" s="2"/>
    </row>
    <row r="577" spans="1:7" x14ac:dyDescent="0.35">
      <c r="A577">
        <f>'Goodness of fit'!D$6/1000+A576</f>
        <v>9.2160000000000064</v>
      </c>
      <c r="B577">
        <f t="shared" si="17"/>
        <v>1.2076812571981796E-2</v>
      </c>
      <c r="C577">
        <f>IF(A577&gt;='Goodness of fit'!$D$3,B577,0)</f>
        <v>1.2076812571981796E-2</v>
      </c>
      <c r="D577" s="2">
        <f t="shared" si="16"/>
        <v>2.6552716479511022E-2</v>
      </c>
      <c r="E577" s="18" t="str">
        <f>IF('Goodness of fit'!B577&gt;0,('Goodness of fit'!A577-'Goodness of fit'!B577)^2/'Goodness of fit'!B577,"")</f>
        <v/>
      </c>
      <c r="F577" s="2"/>
      <c r="G577" s="2"/>
    </row>
    <row r="578" spans="1:7" x14ac:dyDescent="0.35">
      <c r="A578">
        <f>'Goodness of fit'!D$6/1000+A577</f>
        <v>9.2320000000000064</v>
      </c>
      <c r="B578">
        <f t="shared" si="17"/>
        <v>1.1990978803084818E-2</v>
      </c>
      <c r="C578">
        <f>IF(A578&gt;='Goodness of fit'!$D$3,B578,0)</f>
        <v>1.1990978803084818E-2</v>
      </c>
      <c r="D578" s="2">
        <f t="shared" ref="D578:D641" si="18">CHIDIST(A578,F$1)</f>
        <v>2.6360174940672752E-2</v>
      </c>
      <c r="E578" s="18" t="str">
        <f>IF('Goodness of fit'!B578&gt;0,('Goodness of fit'!A578-'Goodness of fit'!B578)^2/'Goodness of fit'!B578,"")</f>
        <v/>
      </c>
      <c r="F578" s="2"/>
      <c r="G578" s="2"/>
    </row>
    <row r="579" spans="1:7" x14ac:dyDescent="0.35">
      <c r="A579">
        <f>'Goodness of fit'!D$6/1000+A578</f>
        <v>9.2480000000000064</v>
      </c>
      <c r="B579">
        <f t="shared" ref="B579:B642" si="19">_xlfn.CHISQ.DIST(A579,F$1,FALSE)</f>
        <v>1.1905737201896612E-2</v>
      </c>
      <c r="C579">
        <f>IF(A579&gt;='Goodness of fit'!$D$3,B579,0)</f>
        <v>1.1905737201896612E-2</v>
      </c>
      <c r="D579" s="2">
        <f t="shared" si="18"/>
        <v>2.6169001999588697E-2</v>
      </c>
      <c r="E579" s="18" t="str">
        <f>IF('Goodness of fit'!B579&gt;0,('Goodness of fit'!A579-'Goodness of fit'!B579)^2/'Goodness of fit'!B579,"")</f>
        <v/>
      </c>
      <c r="F579" s="2"/>
      <c r="G579" s="2"/>
    </row>
    <row r="580" spans="1:7" x14ac:dyDescent="0.35">
      <c r="A580">
        <f>'Goodness of fit'!D$6/1000+A579</f>
        <v>9.2640000000000065</v>
      </c>
      <c r="B580">
        <f t="shared" si="19"/>
        <v>1.182108387531107E-2</v>
      </c>
      <c r="C580">
        <f>IF(A580&gt;='Goodness of fit'!$D$3,B580,0)</f>
        <v>1.182108387531107E-2</v>
      </c>
      <c r="D580" s="2">
        <f t="shared" si="18"/>
        <v>2.5979188212751678E-2</v>
      </c>
      <c r="E580" s="18" t="str">
        <f>IF('Goodness of fit'!B580&gt;0,('Goodness of fit'!A580-'Goodness of fit'!B580)^2/'Goodness of fit'!B580,"")</f>
        <v/>
      </c>
      <c r="F580" s="2"/>
      <c r="G580" s="2"/>
    </row>
    <row r="581" spans="1:7" x14ac:dyDescent="0.35">
      <c r="A581">
        <f>'Goodness of fit'!D$6/1000+A580</f>
        <v>9.2800000000000065</v>
      </c>
      <c r="B581">
        <f t="shared" si="19"/>
        <v>1.1737014953634486E-2</v>
      </c>
      <c r="C581">
        <f>IF(A581&gt;='Goodness of fit'!$D$3,B581,0)</f>
        <v>1.1737014953634486E-2</v>
      </c>
      <c r="D581" s="2">
        <f t="shared" si="18"/>
        <v>2.5790724198756707E-2</v>
      </c>
      <c r="E581" s="18" t="str">
        <f>IF('Goodness of fit'!B581&gt;0,('Goodness of fit'!A581-'Goodness of fit'!B581)^2/'Goodness of fit'!B581,"")</f>
        <v/>
      </c>
      <c r="F581" s="2"/>
      <c r="G581" s="2"/>
    </row>
    <row r="582" spans="1:7" x14ac:dyDescent="0.35">
      <c r="A582">
        <f>'Goodness of fit'!D$6/1000+A581</f>
        <v>9.2960000000000065</v>
      </c>
      <c r="B582">
        <f t="shared" si="19"/>
        <v>1.1653526590471452E-2</v>
      </c>
      <c r="C582">
        <f>IF(A582&gt;='Goodness of fit'!$D$3,B582,0)</f>
        <v>1.1653526590471452E-2</v>
      </c>
      <c r="D582" s="2">
        <f t="shared" si="18"/>
        <v>2.5603600637927416E-2</v>
      </c>
      <c r="E582" s="18" t="str">
        <f>IF('Goodness of fit'!B582&gt;0,('Goodness of fit'!A582-'Goodness of fit'!B582)^2/'Goodness of fit'!B582,"")</f>
        <v/>
      </c>
      <c r="F582" s="2"/>
      <c r="G582" s="2"/>
    </row>
    <row r="583" spans="1:7" x14ac:dyDescent="0.35">
      <c r="A583">
        <f>'Goodness of fit'!D$6/1000+A582</f>
        <v>9.3120000000000065</v>
      </c>
      <c r="B583">
        <f t="shared" si="19"/>
        <v>1.1570614962610958E-2</v>
      </c>
      <c r="C583">
        <f>IF(A583&gt;='Goodness of fit'!$D$3,B583,0)</f>
        <v>1.1570614962610958E-2</v>
      </c>
      <c r="D583" s="2">
        <f t="shared" si="18"/>
        <v>2.5417808271944117E-2</v>
      </c>
      <c r="E583" s="18" t="str">
        <f>IF('Goodness of fit'!B583&gt;0,('Goodness of fit'!A583-'Goodness of fit'!B583)^2/'Goodness of fit'!B583,"")</f>
        <v/>
      </c>
      <c r="F583" s="2"/>
      <c r="G583" s="2"/>
    </row>
    <row r="584" spans="1:7" x14ac:dyDescent="0.35">
      <c r="A584">
        <f>'Goodness of fit'!D$6/1000+A583</f>
        <v>9.3280000000000065</v>
      </c>
      <c r="B584">
        <f t="shared" si="19"/>
        <v>1.1488276269912695E-2</v>
      </c>
      <c r="C584">
        <f>IF(A584&gt;='Goodness of fit'!$D$3,B584,0)</f>
        <v>1.1488276269912695E-2</v>
      </c>
      <c r="D584" s="2">
        <f t="shared" si="18"/>
        <v>2.5233337903473742E-2</v>
      </c>
      <c r="E584" s="18" t="str">
        <f>IF('Goodness of fit'!B584&gt;0,('Goodness of fit'!A584-'Goodness of fit'!B584)^2/'Goodness of fit'!B584,"")</f>
        <v/>
      </c>
      <c r="F584" s="2"/>
      <c r="G584" s="2"/>
    </row>
    <row r="585" spans="1:7" x14ac:dyDescent="0.35">
      <c r="A585">
        <f>'Goodness of fit'!D$6/1000+A584</f>
        <v>9.3440000000000065</v>
      </c>
      <c r="B585">
        <f t="shared" si="19"/>
        <v>1.1406506735193537E-2</v>
      </c>
      <c r="C585">
        <f>IF(A585&gt;='Goodness of fit'!$D$3,B585,0)</f>
        <v>1.1406506735193537E-2</v>
      </c>
      <c r="D585" s="2">
        <f t="shared" si="18"/>
        <v>2.5050180395801744E-2</v>
      </c>
      <c r="E585" s="18" t="str">
        <f>IF('Goodness of fit'!B585&gt;0,('Goodness of fit'!A585-'Goodness of fit'!B585)^2/'Goodness of fit'!B585,"")</f>
        <v/>
      </c>
      <c r="F585" s="2"/>
      <c r="G585" s="2"/>
    </row>
    <row r="586" spans="1:7" x14ac:dyDescent="0.35">
      <c r="A586">
        <f>'Goodness of fit'!D$6/1000+A585</f>
        <v>9.3600000000000065</v>
      </c>
      <c r="B586">
        <f t="shared" si="19"/>
        <v>1.1325302604114244E-2</v>
      </c>
      <c r="C586">
        <f>IF(A586&gt;='Goodness of fit'!$D$3,B586,0)</f>
        <v>1.1325302604114244E-2</v>
      </c>
      <c r="D586" s="2">
        <f t="shared" si="18"/>
        <v>2.4868326672465524E-2</v>
      </c>
      <c r="E586" s="18" t="str">
        <f>IF('Goodness of fit'!B586&gt;0,('Goodness of fit'!A586-'Goodness of fit'!B586)^2/'Goodness of fit'!B586,"")</f>
        <v/>
      </c>
      <c r="F586" s="2"/>
      <c r="G586" s="2"/>
    </row>
    <row r="587" spans="1:7" x14ac:dyDescent="0.35">
      <c r="A587">
        <f>'Goodness of fit'!D$6/1000+A586</f>
        <v>9.3760000000000066</v>
      </c>
      <c r="B587">
        <f t="shared" si="19"/>
        <v>1.1244660145066362E-2</v>
      </c>
      <c r="C587">
        <f>IF(A587&gt;='Goodness of fit'!$D$3,B587,0)</f>
        <v>1.1244660145066362E-2</v>
      </c>
      <c r="D587" s="2">
        <f t="shared" si="18"/>
        <v>2.4687767716889946E-2</v>
      </c>
      <c r="E587" s="18" t="str">
        <f>IF('Goodness of fit'!B587&gt;0,('Goodness of fit'!A587-'Goodness of fit'!B587)^2/'Goodness of fit'!B587,"")</f>
        <v/>
      </c>
      <c r="F587" s="2"/>
      <c r="G587" s="2"/>
    </row>
    <row r="588" spans="1:7" x14ac:dyDescent="0.35">
      <c r="A588">
        <f>'Goodness of fit'!D$6/1000+A587</f>
        <v>9.3920000000000066</v>
      </c>
      <c r="B588">
        <f t="shared" si="19"/>
        <v>1.1164575649059384E-2</v>
      </c>
      <c r="C588">
        <f>IF(A588&gt;='Goodness of fit'!$D$3,B588,0)</f>
        <v>1.1164575649059384E-2</v>
      </c>
      <c r="D588" s="2">
        <f t="shared" si="18"/>
        <v>2.4508494572024506E-2</v>
      </c>
      <c r="E588" s="18" t="str">
        <f>IF('Goodness of fit'!B588&gt;0,('Goodness of fit'!A588-'Goodness of fit'!B588)^2/'Goodness of fit'!B588,"")</f>
        <v/>
      </c>
      <c r="F588" s="2"/>
      <c r="G588" s="2"/>
    </row>
    <row r="589" spans="1:7" x14ac:dyDescent="0.35">
      <c r="A589">
        <f>'Goodness of fit'!D$6/1000+A588</f>
        <v>9.4080000000000066</v>
      </c>
      <c r="B589">
        <f t="shared" si="19"/>
        <v>1.1085045429608059E-2</v>
      </c>
      <c r="C589">
        <f>IF(A589&gt;='Goodness of fit'!$D$3,B589,0)</f>
        <v>1.1085045429608059E-2</v>
      </c>
      <c r="D589" s="2">
        <f t="shared" si="18"/>
        <v>2.4330498339982392E-2</v>
      </c>
      <c r="E589" s="18" t="str">
        <f>IF('Goodness of fit'!B589&gt;0,('Goodness of fit'!A589-'Goodness of fit'!B589)^2/'Goodness of fit'!B589,"")</f>
        <v/>
      </c>
      <c r="F589" s="2"/>
      <c r="G589" s="2"/>
    </row>
    <row r="590" spans="1:7" x14ac:dyDescent="0.35">
      <c r="A590">
        <f>'Goodness of fit'!D$6/1000+A589</f>
        <v>9.4240000000000066</v>
      </c>
      <c r="B590">
        <f t="shared" si="19"/>
        <v>1.1006065822620006E-2</v>
      </c>
      <c r="C590">
        <f>IF(A590&gt;='Goodness of fit'!$D$3,B590,0)</f>
        <v>1.1006065822620006E-2</v>
      </c>
      <c r="D590" s="2">
        <f t="shared" si="18"/>
        <v>2.4153770181681196E-2</v>
      </c>
      <c r="E590" s="18" t="str">
        <f>IF('Goodness of fit'!B590&gt;0,('Goodness of fit'!A590-'Goodness of fit'!B590)^2/'Goodness of fit'!B590,"")</f>
        <v/>
      </c>
      <c r="F590" s="2"/>
      <c r="G590" s="2"/>
    </row>
    <row r="591" spans="1:7" x14ac:dyDescent="0.35">
      <c r="A591">
        <f>'Goodness of fit'!D$6/1000+A590</f>
        <v>9.4400000000000066</v>
      </c>
      <c r="B591">
        <f t="shared" si="19"/>
        <v>1.0927633186283503E-2</v>
      </c>
      <c r="C591">
        <f>IF(A591&gt;='Goodness of fit'!$D$3,B591,0)</f>
        <v>1.0927633186283503E-2</v>
      </c>
      <c r="D591" s="2">
        <f t="shared" si="18"/>
        <v>2.3978301316485671E-2</v>
      </c>
      <c r="E591" s="18" t="str">
        <f>IF('Goodness of fit'!B591&gt;0,('Goodness of fit'!A591-'Goodness of fit'!B591)^2/'Goodness of fit'!B591,"")</f>
        <v/>
      </c>
      <c r="F591" s="2"/>
      <c r="G591" s="2"/>
    </row>
    <row r="592" spans="1:7" x14ac:dyDescent="0.35">
      <c r="A592">
        <f>'Goodness of fit'!D$6/1000+A591</f>
        <v>9.4560000000000066</v>
      </c>
      <c r="B592">
        <f t="shared" si="19"/>
        <v>1.0849743900955553E-2</v>
      </c>
      <c r="C592">
        <f>IF(A592&gt;='Goodness of fit'!$D$3,B592,0)</f>
        <v>1.0849743900955553E-2</v>
      </c>
      <c r="D592" s="2">
        <f t="shared" si="18"/>
        <v>2.3804083021852007E-2</v>
      </c>
      <c r="E592" s="18" t="str">
        <f>IF('Goodness of fit'!B592&gt;0,('Goodness of fit'!A592-'Goodness of fit'!B592)^2/'Goodness of fit'!B592,"")</f>
        <v/>
      </c>
      <c r="F592" s="2"/>
      <c r="G592" s="2"/>
    </row>
    <row r="593" spans="1:7" x14ac:dyDescent="0.35">
      <c r="A593">
        <f>'Goodness of fit'!D$6/1000+A592</f>
        <v>9.4720000000000066</v>
      </c>
      <c r="B593">
        <f t="shared" si="19"/>
        <v>1.077239436905018E-2</v>
      </c>
      <c r="C593">
        <f>IF(A593&gt;='Goodness of fit'!$D$3,B593,0)</f>
        <v>1.077239436905018E-2</v>
      </c>
      <c r="D593" s="2">
        <f t="shared" si="18"/>
        <v>2.3631106632974089E-2</v>
      </c>
      <c r="E593" s="18" t="str">
        <f>IF('Goodness of fit'!B593&gt;0,('Goodness of fit'!A593-'Goodness of fit'!B593)^2/'Goodness of fit'!B593,"")</f>
        <v/>
      </c>
      <c r="F593" s="2"/>
      <c r="G593" s="2"/>
    </row>
    <row r="594" spans="1:7" x14ac:dyDescent="0.35">
      <c r="A594">
        <f>'Goodness of fit'!D$6/1000+A593</f>
        <v>9.4880000000000067</v>
      </c>
      <c r="B594">
        <f t="shared" si="19"/>
        <v>1.0695581014926958E-2</v>
      </c>
      <c r="C594">
        <f>IF(A594&gt;='Goodness of fit'!$D$3,B594,0)</f>
        <v>1.0695581014926958E-2</v>
      </c>
      <c r="D594" s="2">
        <f t="shared" si="18"/>
        <v>2.3459363542431447E-2</v>
      </c>
      <c r="E594" s="18" t="str">
        <f>IF('Goodness of fit'!B594&gt;0,('Goodness of fit'!A594-'Goodness of fit'!B594)^2/'Goodness of fit'!B594,"")</f>
        <v/>
      </c>
      <c r="F594" s="2"/>
      <c r="G594" s="2"/>
    </row>
    <row r="595" spans="1:7" x14ac:dyDescent="0.35">
      <c r="A595">
        <f>'Goodness of fit'!D$6/1000+A594</f>
        <v>9.5040000000000067</v>
      </c>
      <c r="B595">
        <f t="shared" si="19"/>
        <v>1.0619300284779826E-2</v>
      </c>
      <c r="C595">
        <f>IF(A595&gt;='Goodness of fit'!$D$3,B595,0)</f>
        <v>1.0619300284779826E-2</v>
      </c>
      <c r="D595" s="2">
        <f t="shared" si="18"/>
        <v>2.3288845199839075E-2</v>
      </c>
      <c r="E595" s="18" t="str">
        <f>IF('Goodness of fit'!B595&gt;0,('Goodness of fit'!A595-'Goodness of fit'!B595)^2/'Goodness of fit'!B595,"")</f>
        <v/>
      </c>
      <c r="F595" s="2"/>
      <c r="G595" s="2"/>
    </row>
    <row r="596" spans="1:7" x14ac:dyDescent="0.35">
      <c r="A596">
        <f>'Goodness of fit'!D$6/1000+A595</f>
        <v>9.5200000000000067</v>
      </c>
      <c r="B596">
        <f t="shared" si="19"/>
        <v>1.0543548646526122E-2</v>
      </c>
      <c r="C596">
        <f>IF(A596&gt;='Goodness of fit'!$D$3,B596,0)</f>
        <v>1.0543548646526122E-2</v>
      </c>
      <c r="D596" s="2">
        <f t="shared" si="18"/>
        <v>2.31195431114989E-2</v>
      </c>
      <c r="E596" s="18" t="str">
        <f>IF('Goodness of fit'!B596&gt;0,('Goodness of fit'!A596-'Goodness of fit'!B596)^2/'Goodness of fit'!B596,"")</f>
        <v/>
      </c>
      <c r="F596" s="2"/>
      <c r="G596" s="2"/>
    </row>
    <row r="597" spans="1:7" x14ac:dyDescent="0.35">
      <c r="A597">
        <f>'Goodness of fit'!D$6/1000+A596</f>
        <v>9.5360000000000067</v>
      </c>
      <c r="B597">
        <f t="shared" si="19"/>
        <v>1.046832258969593E-2</v>
      </c>
      <c r="C597">
        <f>IF(A597&gt;='Goodness of fit'!$D$3,B597,0)</f>
        <v>1.046832258969593E-2</v>
      </c>
      <c r="D597" s="2">
        <f t="shared" si="18"/>
        <v>2.2951448840053148E-2</v>
      </c>
      <c r="E597" s="18" t="str">
        <f>IF('Goodness of fit'!B597&gt;0,('Goodness of fit'!A597-'Goodness of fit'!B597)^2/'Goodness of fit'!B597,"")</f>
        <v/>
      </c>
      <c r="F597" s="2"/>
      <c r="G597" s="2"/>
    </row>
    <row r="598" spans="1:7" x14ac:dyDescent="0.35">
      <c r="A598">
        <f>'Goodness of fit'!D$6/1000+A597</f>
        <v>9.5520000000000067</v>
      </c>
      <c r="B598">
        <f t="shared" si="19"/>
        <v>1.0393618625321618E-2</v>
      </c>
      <c r="C598">
        <f>IF(A598&gt;='Goodness of fit'!$D$3,B598,0)</f>
        <v>1.0393618625321618E-2</v>
      </c>
      <c r="D598" s="2">
        <f t="shared" si="18"/>
        <v>2.278455400413933E-2</v>
      </c>
      <c r="E598" s="18" t="str">
        <f>IF('Goodness of fit'!B598&gt;0,('Goodness of fit'!A598-'Goodness of fit'!B598)^2/'Goodness of fit'!B598,"")</f>
        <v/>
      </c>
      <c r="F598" s="2"/>
      <c r="G598" s="2"/>
    </row>
    <row r="599" spans="1:7" x14ac:dyDescent="0.35">
      <c r="A599">
        <f>'Goodness of fit'!D$6/1000+A598</f>
        <v>9.5680000000000067</v>
      </c>
      <c r="B599">
        <f t="shared" si="19"/>
        <v>1.0319433285827732E-2</v>
      </c>
      <c r="C599">
        <f>IF(A599&gt;='Goodness of fit'!$D$3,B599,0)</f>
        <v>1.0319433285827732E-2</v>
      </c>
      <c r="D599" s="2">
        <f t="shared" si="18"/>
        <v>2.2618850278047276E-2</v>
      </c>
      <c r="E599" s="18" t="str">
        <f>IF('Goodness of fit'!B599&gt;0,('Goodness of fit'!A599-'Goodness of fit'!B599)^2/'Goodness of fit'!B599,"")</f>
        <v/>
      </c>
      <c r="F599" s="2"/>
      <c r="G599" s="2"/>
    </row>
    <row r="600" spans="1:7" x14ac:dyDescent="0.35">
      <c r="A600">
        <f>'Goodness of fit'!D$6/1000+A599</f>
        <v>9.5840000000000067</v>
      </c>
      <c r="B600">
        <f t="shared" si="19"/>
        <v>1.0245763124921115E-2</v>
      </c>
      <c r="C600">
        <f>IF(A600&gt;='Goodness of fit'!$D$3,B600,0)</f>
        <v>1.0245763124921115E-2</v>
      </c>
      <c r="D600" s="2">
        <f t="shared" si="18"/>
        <v>2.2454329391377474E-2</v>
      </c>
      <c r="E600" s="18" t="str">
        <f>IF('Goodness of fit'!B600&gt;0,('Goodness of fit'!A600-'Goodness of fit'!B600)^2/'Goodness of fit'!B600,"")</f>
        <v/>
      </c>
      <c r="F600" s="2"/>
      <c r="G600" s="2"/>
    </row>
    <row r="601" spans="1:7" x14ac:dyDescent="0.35">
      <c r="A601">
        <f>'Goodness of fit'!D$6/1000+A600</f>
        <v>9.6000000000000068</v>
      </c>
      <c r="B601">
        <f t="shared" si="19"/>
        <v>1.0172604717481288E-2</v>
      </c>
      <c r="C601">
        <f>IF(A601&gt;='Goodness of fit'!$D$3,B601,0)</f>
        <v>1.0172604717481288E-2</v>
      </c>
      <c r="D601" s="2">
        <f t="shared" si="18"/>
        <v>2.2290983128701713E-2</v>
      </c>
      <c r="E601" s="18" t="str">
        <f>IF('Goodness of fit'!B601&gt;0,('Goodness of fit'!A601-'Goodness of fit'!B601)^2/'Goodness of fit'!B601,"")</f>
        <v/>
      </c>
      <c r="F601" s="2"/>
      <c r="G601" s="2"/>
    </row>
    <row r="602" spans="1:7" x14ac:dyDescent="0.35">
      <c r="A602">
        <f>'Goodness of fit'!D$6/1000+A601</f>
        <v>9.6160000000000068</v>
      </c>
      <c r="B602">
        <f t="shared" si="19"/>
        <v>1.0099954659451175E-2</v>
      </c>
      <c r="C602">
        <f>IF(A602&gt;='Goodness of fit'!$D$3,B602,0)</f>
        <v>1.0099954659451175E-2</v>
      </c>
      <c r="D602" s="2">
        <f t="shared" si="18"/>
        <v>2.2128803329224955E-2</v>
      </c>
      <c r="E602" s="18" t="str">
        <f>IF('Goodness of fit'!B602&gt;0,('Goodness of fit'!A602-'Goodness of fit'!B602)^2/'Goodness of fit'!B602,"")</f>
        <v/>
      </c>
      <c r="F602" s="2"/>
      <c r="G602" s="2"/>
    </row>
    <row r="603" spans="1:7" x14ac:dyDescent="0.35">
      <c r="A603">
        <f>'Goodness of fit'!D$6/1000+A602</f>
        <v>9.6320000000000068</v>
      </c>
      <c r="B603">
        <f t="shared" si="19"/>
        <v>1.0027809567728063E-2</v>
      </c>
      <c r="C603">
        <f>IF(A603&gt;='Goodness of fit'!$D$3,B603,0)</f>
        <v>1.0027809567728063E-2</v>
      </c>
      <c r="D603" s="2">
        <f t="shared" si="18"/>
        <v>2.196778188644935E-2</v>
      </c>
      <c r="E603" s="18" t="str">
        <f>IF('Goodness of fit'!B603&gt;0,('Goodness of fit'!A603-'Goodness of fit'!B603)^2/'Goodness of fit'!B603,"")</f>
        <v/>
      </c>
      <c r="F603" s="2"/>
      <c r="G603" s="2"/>
    </row>
    <row r="604" spans="1:7" x14ac:dyDescent="0.35">
      <c r="A604">
        <f>'Goodness of fit'!D$6/1000+A603</f>
        <v>9.6480000000000068</v>
      </c>
      <c r="B604">
        <f t="shared" si="19"/>
        <v>9.9561660800548766E-3</v>
      </c>
      <c r="C604">
        <f>IF(A604&gt;='Goodness of fit'!$D$3,B604,0)</f>
        <v>9.9561660800548766E-3</v>
      </c>
      <c r="D604" s="2">
        <f t="shared" si="18"/>
        <v>2.1807910747839752E-2</v>
      </c>
      <c r="E604" s="18" t="str">
        <f>IF('Goodness of fit'!B604&gt;0,('Goodness of fit'!A604-'Goodness of fit'!B604)^2/'Goodness of fit'!B604,"")</f>
        <v/>
      </c>
      <c r="F604" s="2"/>
      <c r="G604" s="2"/>
    </row>
    <row r="605" spans="1:7" x14ac:dyDescent="0.35">
      <c r="A605">
        <f>'Goodness of fit'!D$6/1000+A604</f>
        <v>9.6640000000000068</v>
      </c>
      <c r="B605">
        <f t="shared" si="19"/>
        <v>9.8850208549117295E-3</v>
      </c>
      <c r="C605">
        <f>IF(A605&gt;='Goodness of fit'!$D$3,B605,0)</f>
        <v>9.8850208549117295E-3</v>
      </c>
      <c r="D605" s="2">
        <f t="shared" si="18"/>
        <v>2.1649181914491087E-2</v>
      </c>
      <c r="E605" s="18" t="str">
        <f>IF('Goodness of fit'!B605&gt;0,('Goodness of fit'!A605-'Goodness of fit'!B605)^2/'Goodness of fit'!B605,"")</f>
        <v/>
      </c>
      <c r="F605" s="2"/>
      <c r="G605" s="2"/>
    </row>
    <row r="606" spans="1:7" x14ac:dyDescent="0.35">
      <c r="A606">
        <f>'Goodness of fit'!D$6/1000+A605</f>
        <v>9.6800000000000068</v>
      </c>
      <c r="B606">
        <f t="shared" si="19"/>
        <v>9.8143705714077972E-3</v>
      </c>
      <c r="C606">
        <f>IF(A606&gt;='Goodness of fit'!$D$3,B606,0)</f>
        <v>9.8143705714077972E-3</v>
      </c>
      <c r="D606" s="2">
        <f t="shared" si="18"/>
        <v>2.1491587440797485E-2</v>
      </c>
      <c r="E606" s="18" t="str">
        <f>IF('Goodness of fit'!B606&gt;0,('Goodness of fit'!A606-'Goodness of fit'!B606)^2/'Goodness of fit'!B606,"")</f>
        <v/>
      </c>
      <c r="F606" s="2"/>
      <c r="G606" s="2"/>
    </row>
    <row r="607" spans="1:7" x14ac:dyDescent="0.35">
      <c r="A607">
        <f>'Goodness of fit'!D$6/1000+A606</f>
        <v>9.6960000000000068</v>
      </c>
      <c r="B607">
        <f t="shared" si="19"/>
        <v>9.7442119291734717E-3</v>
      </c>
      <c r="C607">
        <f>IF(A607&gt;='Goodness of fit'!$D$3,B607,0)</f>
        <v>9.7442119291734717E-3</v>
      </c>
      <c r="D607" s="2">
        <f t="shared" si="18"/>
        <v>2.13351194341229E-2</v>
      </c>
      <c r="E607" s="18" t="str">
        <f>IF('Goodness of fit'!B607&gt;0,('Goodness of fit'!A607-'Goodness of fit'!B607)^2/'Goodness of fit'!B607,"")</f>
        <v/>
      </c>
      <c r="F607" s="2"/>
      <c r="G607" s="2"/>
    </row>
    <row r="608" spans="1:7" x14ac:dyDescent="0.35">
      <c r="A608">
        <f>'Goodness of fit'!D$6/1000+A607</f>
        <v>9.7120000000000068</v>
      </c>
      <c r="B608">
        <f t="shared" si="19"/>
        <v>9.6745416482528299E-3</v>
      </c>
      <c r="C608">
        <f>IF(A608&gt;='Goodness of fit'!$D$3,B608,0)</f>
        <v>9.6745416482528299E-3</v>
      </c>
      <c r="D608" s="2">
        <f t="shared" si="18"/>
        <v>2.1179770054473853E-2</v>
      </c>
      <c r="E608" s="18" t="str">
        <f>IF('Goodness of fit'!B608&gt;0,('Goodness of fit'!A608-'Goodness of fit'!B608)^2/'Goodness of fit'!B608,"")</f>
        <v/>
      </c>
      <c r="F608" s="2"/>
      <c r="G608" s="2"/>
    </row>
    <row r="609" spans="1:7" x14ac:dyDescent="0.35">
      <c r="A609">
        <f>'Goodness of fit'!D$6/1000+A608</f>
        <v>9.7280000000000069</v>
      </c>
      <c r="B609">
        <f t="shared" si="19"/>
        <v>9.6053564689964066E-3</v>
      </c>
      <c r="C609">
        <f>IF(A609&gt;='Goodness of fit'!$D$3,B609,0)</f>
        <v>9.6053564689964066E-3</v>
      </c>
      <c r="D609" s="2">
        <f t="shared" si="18"/>
        <v>2.1025531514173523E-2</v>
      </c>
      <c r="E609" s="18" t="str">
        <f>IF('Goodness of fit'!B609&gt;0,('Goodness of fit'!A609-'Goodness of fit'!B609)^2/'Goodness of fit'!B609,"")</f>
        <v/>
      </c>
      <c r="F609" s="2"/>
      <c r="G609" s="2"/>
    </row>
    <row r="610" spans="1:7" x14ac:dyDescent="0.35">
      <c r="A610">
        <f>'Goodness of fit'!D$6/1000+A609</f>
        <v>9.7440000000000069</v>
      </c>
      <c r="B610">
        <f t="shared" si="19"/>
        <v>9.5366531519542799E-3</v>
      </c>
      <c r="C610">
        <f>IF(A610&gt;='Goodness of fit'!$D$3,B610,0)</f>
        <v>9.5366531519542799E-3</v>
      </c>
      <c r="D610" s="2">
        <f t="shared" si="18"/>
        <v>2.0872396077537738E-2</v>
      </c>
      <c r="E610" s="18" t="str">
        <f>IF('Goodness of fit'!B610&gt;0,('Goodness of fit'!A610-'Goodness of fit'!B610)^2/'Goodness of fit'!B610,"")</f>
        <v/>
      </c>
      <c r="F610" s="2"/>
      <c r="G610" s="2"/>
    </row>
    <row r="611" spans="1:7" x14ac:dyDescent="0.35">
      <c r="A611">
        <f>'Goodness of fit'!D$6/1000+A610</f>
        <v>9.7600000000000069</v>
      </c>
      <c r="B611">
        <f t="shared" si="19"/>
        <v>9.4684284777694742E-3</v>
      </c>
      <c r="C611">
        <f>IF(A611&gt;='Goodness of fit'!$D$3,B611,0)</f>
        <v>9.4684284777694742E-3</v>
      </c>
      <c r="D611" s="2">
        <f t="shared" si="18"/>
        <v>2.0720356060552635E-2</v>
      </c>
      <c r="E611" s="18" t="str">
        <f>IF('Goodness of fit'!B611&gt;0,('Goodness of fit'!A611-'Goodness of fit'!B611)^2/'Goodness of fit'!B611,"")</f>
        <v/>
      </c>
      <c r="F611" s="2"/>
      <c r="G611" s="2"/>
    </row>
    <row r="612" spans="1:7" x14ac:dyDescent="0.35">
      <c r="A612">
        <f>'Goodness of fit'!D$6/1000+A611</f>
        <v>9.7760000000000069</v>
      </c>
      <c r="B612">
        <f t="shared" si="19"/>
        <v>9.4006792470716811E-3</v>
      </c>
      <c r="C612">
        <f>IF(A612&gt;='Goodness of fit'!$D$3,B612,0)</f>
        <v>9.4006792470716811E-3</v>
      </c>
      <c r="D612" s="2">
        <f t="shared" si="18"/>
        <v>2.0569403830554053E-2</v>
      </c>
      <c r="E612" s="18" t="str">
        <f>IF('Goodness of fit'!B612&gt;0,('Goodness of fit'!A612-'Goodness of fit'!B612)^2/'Goodness of fit'!B612,"")</f>
        <v/>
      </c>
      <c r="F612" s="2"/>
      <c r="G612" s="2"/>
    </row>
    <row r="613" spans="1:7" x14ac:dyDescent="0.35">
      <c r="A613">
        <f>'Goodness of fit'!D$6/1000+A612</f>
        <v>9.7920000000000069</v>
      </c>
      <c r="B613">
        <f t="shared" si="19"/>
        <v>9.3334022803712845E-3</v>
      </c>
      <c r="C613">
        <f>IF(A613&gt;='Goodness of fit'!$D$3,B613,0)</f>
        <v>9.3334022803712845E-3</v>
      </c>
      <c r="D613" s="2">
        <f t="shared" si="18"/>
        <v>2.0419531805908539E-2</v>
      </c>
      <c r="E613" s="18" t="str">
        <f>IF('Goodness of fit'!B613&gt;0,('Goodness of fit'!A613-'Goodness of fit'!B613)^2/'Goodness of fit'!B613,"")</f>
        <v/>
      </c>
      <c r="F613" s="2"/>
      <c r="G613" s="2"/>
    </row>
    <row r="614" spans="1:7" x14ac:dyDescent="0.35">
      <c r="A614">
        <f>'Goodness of fit'!D$6/1000+A613</f>
        <v>9.8080000000000069</v>
      </c>
      <c r="B614">
        <f t="shared" si="19"/>
        <v>9.2665944179537284E-3</v>
      </c>
      <c r="C614">
        <f>IF(A614&gt;='Goodness of fit'!$D$3,B614,0)</f>
        <v>9.2665944179537284E-3</v>
      </c>
      <c r="D614" s="2">
        <f t="shared" si="18"/>
        <v>2.0270732455696151E-2</v>
      </c>
      <c r="E614" s="18" t="str">
        <f>IF('Goodness of fit'!B614&gt;0,('Goodness of fit'!A614-'Goodness of fit'!B614)^2/'Goodness of fit'!B614,"")</f>
        <v/>
      </c>
      <c r="F614" s="2"/>
      <c r="G614" s="2"/>
    </row>
    <row r="615" spans="1:7" x14ac:dyDescent="0.35">
      <c r="A615">
        <f>'Goodness of fit'!D$6/1000+A614</f>
        <v>9.8240000000000069</v>
      </c>
      <c r="B615">
        <f t="shared" si="19"/>
        <v>9.2002525197742071E-3</v>
      </c>
      <c r="C615">
        <f>IF(A615&gt;='Goodness of fit'!$D$3,B615,0)</f>
        <v>9.2002525197742071E-3</v>
      </c>
      <c r="D615" s="2">
        <f t="shared" si="18"/>
        <v>2.0122998299394901E-2</v>
      </c>
      <c r="E615" s="18" t="str">
        <f>IF('Goodness of fit'!B615&gt;0,('Goodness of fit'!A615-'Goodness of fit'!B615)^2/'Goodness of fit'!B615,"")</f>
        <v/>
      </c>
      <c r="F615" s="2"/>
      <c r="G615" s="2"/>
    </row>
    <row r="616" spans="1:7" x14ac:dyDescent="0.35">
      <c r="A616">
        <f>'Goodness of fit'!D$6/1000+A615</f>
        <v>9.840000000000007</v>
      </c>
      <c r="B616">
        <f t="shared" si="19"/>
        <v>9.1343734653526795E-3</v>
      </c>
      <c r="C616">
        <f>IF(A616&gt;='Goodness of fit'!$D$3,B616,0)</f>
        <v>9.1343734653526795E-3</v>
      </c>
      <c r="D616" s="2">
        <f t="shared" si="18"/>
        <v>1.9976321906566803E-2</v>
      </c>
      <c r="E616" s="18" t="str">
        <f>IF('Goodness of fit'!B616&gt;0,('Goodness of fit'!A616-'Goodness of fit'!B616)^2/'Goodness of fit'!B616,"")</f>
        <v/>
      </c>
      <c r="F616" s="2"/>
      <c r="G616" s="2"/>
    </row>
    <row r="617" spans="1:7" x14ac:dyDescent="0.35">
      <c r="A617">
        <f>'Goodness of fit'!D$6/1000+A616</f>
        <v>9.856000000000007</v>
      </c>
      <c r="B617">
        <f t="shared" si="19"/>
        <v>9.0689541536692255E-3</v>
      </c>
      <c r="C617">
        <f>IF(A617&gt;='Goodness of fit'!$D$3,B617,0)</f>
        <v>9.0689541536692255E-3</v>
      </c>
      <c r="D617" s="2">
        <f t="shared" si="18"/>
        <v>1.9830695896545781E-2</v>
      </c>
      <c r="E617" s="18" t="str">
        <f>IF('Goodness of fit'!B617&gt;0,('Goodness of fit'!A617-'Goodness of fit'!B617)^2/'Goodness of fit'!B617,"")</f>
        <v/>
      </c>
      <c r="F617" s="2"/>
      <c r="G617" s="2"/>
    </row>
    <row r="618" spans="1:7" x14ac:dyDescent="0.35">
      <c r="A618">
        <f>'Goodness of fit'!D$6/1000+A617</f>
        <v>9.872000000000007</v>
      </c>
      <c r="B618">
        <f t="shared" si="19"/>
        <v>9.0039915030596922E-3</v>
      </c>
      <c r="C618">
        <f>IF(A618&gt;='Goodness of fit'!$D$3,B618,0)</f>
        <v>9.0039915030596922E-3</v>
      </c>
      <c r="D618" s="2">
        <f t="shared" si="18"/>
        <v>1.9686112938127075E-2</v>
      </c>
      <c r="E618" s="18" t="str">
        <f>IF('Goodness of fit'!B618&gt;0,('Goodness of fit'!A618-'Goodness of fit'!B618)^2/'Goodness of fit'!B618,"")</f>
        <v/>
      </c>
      <c r="F618" s="2"/>
      <c r="G618" s="2"/>
    </row>
    <row r="619" spans="1:7" x14ac:dyDescent="0.35">
      <c r="A619">
        <f>'Goodness of fit'!D$6/1000+A618</f>
        <v>9.888000000000007</v>
      </c>
      <c r="B619">
        <f t="shared" si="19"/>
        <v>8.9394824511117577E-3</v>
      </c>
      <c r="C619">
        <f>IF(A619&gt;='Goodness of fit'!$D$3,B619,0)</f>
        <v>8.9394824511117577E-3</v>
      </c>
      <c r="D619" s="2">
        <f t="shared" si="18"/>
        <v>1.9542565749258417E-2</v>
      </c>
      <c r="E619" s="18" t="str">
        <f>IF('Goodness of fit'!B619&gt;0,('Goodness of fit'!A619-'Goodness of fit'!B619)^2/'Goodness of fit'!B619,"")</f>
        <v/>
      </c>
      <c r="F619" s="2"/>
      <c r="G619" s="2"/>
    </row>
    <row r="620" spans="1:7" x14ac:dyDescent="0.35">
      <c r="A620">
        <f>'Goodness of fit'!D$6/1000+A619</f>
        <v>9.904000000000007</v>
      </c>
      <c r="B620">
        <f t="shared" si="19"/>
        <v>8.8754239545612637E-3</v>
      </c>
      <c r="C620">
        <f>IF(A620&gt;='Goodness of fit'!$D$3,B620,0)</f>
        <v>8.8754239545612637E-3</v>
      </c>
      <c r="D620" s="2">
        <f t="shared" si="18"/>
        <v>1.9400047096732761E-2</v>
      </c>
      <c r="E620" s="18" t="str">
        <f>IF('Goodness of fit'!B620&gt;0,('Goodness of fit'!A620-'Goodness of fit'!B620)^2/'Goodness of fit'!B620,"")</f>
        <v/>
      </c>
      <c r="F620" s="2"/>
      <c r="G620" s="2"/>
    </row>
    <row r="621" spans="1:7" x14ac:dyDescent="0.35">
      <c r="A621">
        <f>'Goodness of fit'!D$6/1000+A620</f>
        <v>9.920000000000007</v>
      </c>
      <c r="B621">
        <f t="shared" si="19"/>
        <v>8.8118129891889031E-3</v>
      </c>
      <c r="C621">
        <f>IF(A621&gt;='Goodness of fit'!$D$3,B621,0)</f>
        <v>8.8118129891889031E-3</v>
      </c>
      <c r="D621" s="2">
        <f t="shared" si="18"/>
        <v>1.9258549795882863E-2</v>
      </c>
      <c r="E621" s="18" t="str">
        <f>IF('Goodness of fit'!B621&gt;0,('Goodness of fit'!A621-'Goodness of fit'!B621)^2/'Goodness of fit'!B621,"")</f>
        <v/>
      </c>
      <c r="F621" s="2"/>
      <c r="G621" s="2"/>
    </row>
    <row r="622" spans="1:7" x14ac:dyDescent="0.35">
      <c r="A622">
        <f>'Goodness of fit'!D$6/1000+A621</f>
        <v>9.936000000000007</v>
      </c>
      <c r="B622">
        <f t="shared" si="19"/>
        <v>8.7486465497172879E-3</v>
      </c>
      <c r="C622">
        <f>IF(A622&gt;='Goodness of fit'!$D$3,B622,0)</f>
        <v>8.7486465497172879E-3</v>
      </c>
      <c r="D622" s="2">
        <f t="shared" si="18"/>
        <v>1.9118066710277271E-2</v>
      </c>
      <c r="E622" s="18" t="str">
        <f>IF('Goodness of fit'!B622&gt;0,('Goodness of fit'!A622-'Goodness of fit'!B622)^2/'Goodness of fit'!B622,"")</f>
        <v/>
      </c>
      <c r="F622" s="2"/>
      <c r="G622" s="2"/>
    </row>
    <row r="623" spans="1:7" x14ac:dyDescent="0.35">
      <c r="A623">
        <f>'Goodness of fit'!D$6/1000+A622</f>
        <v>9.9520000000000071</v>
      </c>
      <c r="B623">
        <f t="shared" si="19"/>
        <v>8.6859216497083037E-3</v>
      </c>
      <c r="C623">
        <f>IF(A623&gt;='Goodness of fit'!$D$3,B623,0)</f>
        <v>8.6859216497083037E-3</v>
      </c>
      <c r="D623" s="2">
        <f t="shared" si="18"/>
        <v>1.8978590751418108E-2</v>
      </c>
      <c r="E623" s="18" t="str">
        <f>IF('Goodness of fit'!B623&gt;0,('Goodness of fit'!A623-'Goodness of fit'!B623)^2/'Goodness of fit'!B623,"")</f>
        <v/>
      </c>
      <c r="F623" s="2"/>
      <c r="G623" s="2"/>
    </row>
    <row r="624" spans="1:7" x14ac:dyDescent="0.35">
      <c r="A624">
        <f>'Goodness of fit'!D$6/1000+A623</f>
        <v>9.9680000000000071</v>
      </c>
      <c r="B624">
        <f t="shared" si="19"/>
        <v>8.6236353214608746E-3</v>
      </c>
      <c r="C624">
        <f>IF(A624&gt;='Goodness of fit'!$D$3,B624,0)</f>
        <v>8.6236353214608746E-3</v>
      </c>
      <c r="D624" s="2">
        <f t="shared" si="18"/>
        <v>1.8840114878440523E-2</v>
      </c>
      <c r="E624" s="18" t="str">
        <f>IF('Goodness of fit'!B624&gt;0,('Goodness of fit'!A624-'Goodness of fit'!B624)^2/'Goodness of fit'!B624,"")</f>
        <v/>
      </c>
      <c r="F624" s="2"/>
      <c r="G624" s="2"/>
    </row>
    <row r="625" spans="1:7" x14ac:dyDescent="0.35">
      <c r="A625">
        <f>'Goodness of fit'!D$6/1000+A624</f>
        <v>9.9840000000000071</v>
      </c>
      <c r="B625">
        <f t="shared" si="19"/>
        <v>8.5617846159090245E-3</v>
      </c>
      <c r="C625">
        <f>IF(A625&gt;='Goodness of fit'!$D$3,B625,0)</f>
        <v>8.5617846159090245E-3</v>
      </c>
      <c r="D625" s="2">
        <f t="shared" si="18"/>
        <v>1.8702632097813605E-2</v>
      </c>
      <c r="E625" s="18" t="str">
        <f>IF('Goodness of fit'!B625&gt;0,('Goodness of fit'!A625-'Goodness of fit'!B625)^2/'Goodness of fit'!B625,"")</f>
        <v/>
      </c>
      <c r="F625" s="2"/>
      <c r="G625" s="2"/>
    </row>
    <row r="626" spans="1:7" x14ac:dyDescent="0.35">
      <c r="A626">
        <f>'Goodness of fit'!D$6/1000+A625</f>
        <v>10.000000000000007</v>
      </c>
      <c r="B626">
        <f t="shared" si="19"/>
        <v>8.5003666025203189E-3</v>
      </c>
      <c r="C626">
        <f>IF(A626&gt;='Goodness of fit'!$D$3,B626,0)</f>
        <v>8.5003666025203189E-3</v>
      </c>
      <c r="D626" s="2">
        <f t="shared" si="18"/>
        <v>1.8566135463043167E-2</v>
      </c>
      <c r="E626" s="18" t="str">
        <f>IF('Goodness of fit'!B626&gt;0,('Goodness of fit'!A626-'Goodness of fit'!B626)^2/'Goodness of fit'!B626,"")</f>
        <v/>
      </c>
      <c r="F626" s="2"/>
      <c r="G626" s="2"/>
    </row>
    <row r="627" spans="1:7" x14ac:dyDescent="0.35">
      <c r="A627">
        <f>'Goodness of fit'!D$6/1000+A626</f>
        <v>10.016000000000007</v>
      </c>
      <c r="B627">
        <f t="shared" si="19"/>
        <v>8.4393783691946514E-3</v>
      </c>
      <c r="C627">
        <f>IF(A627&gt;='Goodness of fit'!$D$3,B627,0)</f>
        <v>8.4393783691946514E-3</v>
      </c>
      <c r="D627" s="2">
        <f t="shared" si="18"/>
        <v>1.8430618074375883E-2</v>
      </c>
      <c r="E627" s="18" t="str">
        <f>IF('Goodness of fit'!B627&gt;0,('Goodness of fit'!A627-'Goodness of fit'!B627)^2/'Goodness of fit'!B627,"")</f>
        <v/>
      </c>
      <c r="F627" s="2"/>
      <c r="G627" s="2"/>
    </row>
    <row r="628" spans="1:7" x14ac:dyDescent="0.35">
      <c r="A628">
        <f>'Goodness of fit'!D$6/1000+A627</f>
        <v>10.032000000000007</v>
      </c>
      <c r="B628">
        <f t="shared" si="19"/>
        <v>8.378817022163405E-3</v>
      </c>
      <c r="C628">
        <f>IF(A628&gt;='Goodness of fit'!$D$3,B628,0)</f>
        <v>8.378817022163405E-3</v>
      </c>
      <c r="D628" s="2">
        <f t="shared" si="18"/>
        <v>1.8296073078505289E-2</v>
      </c>
      <c r="E628" s="18" t="str">
        <f>IF('Goodness of fit'!B628&gt;0,('Goodness of fit'!A628-'Goodness of fit'!B628)^2/'Goodness of fit'!B628,"")</f>
        <v/>
      </c>
      <c r="F628" s="2"/>
      <c r="G628" s="2"/>
    </row>
    <row r="629" spans="1:7" x14ac:dyDescent="0.35">
      <c r="A629">
        <f>'Goodness of fit'!D$6/1000+A628</f>
        <v>10.048000000000007</v>
      </c>
      <c r="B629">
        <f t="shared" si="19"/>
        <v>8.3186796858889123E-3</v>
      </c>
      <c r="C629">
        <f>IF(A629&gt;='Goodness of fit'!$D$3,B629,0)</f>
        <v>8.3186796858889123E-3</v>
      </c>
      <c r="D629" s="2">
        <f t="shared" si="18"/>
        <v>1.8162493668279184E-2</v>
      </c>
      <c r="E629" s="18" t="str">
        <f>IF('Goodness of fit'!B629&gt;0,('Goodness of fit'!A629-'Goodness of fit'!B629)^2/'Goodness of fit'!B629,"")</f>
        <v/>
      </c>
      <c r="F629" s="2"/>
      <c r="G629" s="2"/>
    </row>
    <row r="630" spans="1:7" x14ac:dyDescent="0.35">
      <c r="A630">
        <f>'Goodness of fit'!D$6/1000+A629</f>
        <v>10.064000000000007</v>
      </c>
      <c r="B630">
        <f t="shared" si="19"/>
        <v>8.2589635029643657E-3</v>
      </c>
      <c r="C630">
        <f>IF(A630&gt;='Goodness of fit'!$D$3,B630,0)</f>
        <v>8.2589635029643657E-3</v>
      </c>
      <c r="D630" s="2">
        <f t="shared" si="18"/>
        <v>1.8029873082408839E-2</v>
      </c>
      <c r="E630" s="18" t="str">
        <f>IF('Goodness of fit'!B630&gt;0,('Goodness of fit'!A630-'Goodness of fit'!B630)^2/'Goodness of fit'!B630,"")</f>
        <v/>
      </c>
      <c r="F630" s="2"/>
      <c r="G630" s="2"/>
    </row>
    <row r="631" spans="1:7" x14ac:dyDescent="0.35">
      <c r="A631">
        <f>'Goodness of fit'!D$6/1000+A630</f>
        <v>10.080000000000007</v>
      </c>
      <c r="B631">
        <f t="shared" si="19"/>
        <v>8.1996656340139907E-3</v>
      </c>
      <c r="C631">
        <f>IF(A631&gt;='Goodness of fit'!$D$3,B631,0)</f>
        <v>8.1996656340139907E-3</v>
      </c>
      <c r="D631" s="2">
        <f t="shared" si="18"/>
        <v>1.7898204605179647E-2</v>
      </c>
      <c r="E631" s="18" t="str">
        <f>IF('Goodness of fit'!B631&gt;0,('Goodness of fit'!A631-'Goodness of fit'!B631)^2/'Goodness of fit'!B631,"")</f>
        <v/>
      </c>
      <c r="F631" s="2"/>
      <c r="G631" s="2"/>
    </row>
    <row r="632" spans="1:7" x14ac:dyDescent="0.35">
      <c r="A632">
        <f>'Goodness of fit'!D$6/1000+A631</f>
        <v>10.096000000000007</v>
      </c>
      <c r="B632">
        <f t="shared" si="19"/>
        <v>8.1407832575936655E-3</v>
      </c>
      <c r="C632">
        <f>IF(A632&gt;='Goodness of fit'!$D$3,B632,0)</f>
        <v>8.1407832575936655E-3</v>
      </c>
      <c r="D632" s="2">
        <f t="shared" si="18"/>
        <v>1.7767481566163399E-2</v>
      </c>
      <c r="E632" s="18" t="str">
        <f>IF('Goodness of fit'!B632&gt;0,('Goodness of fit'!A632-'Goodness of fit'!B632)^2/'Goodness of fit'!B632,"")</f>
        <v/>
      </c>
      <c r="F632" s="2"/>
      <c r="G632" s="2"/>
    </row>
    <row r="633" spans="1:7" x14ac:dyDescent="0.35">
      <c r="A633">
        <f>'Goodness of fit'!D$6/1000+A632</f>
        <v>10.112000000000007</v>
      </c>
      <c r="B633">
        <f t="shared" si="19"/>
        <v>8.0823135700918442E-3</v>
      </c>
      <c r="C633">
        <f>IF(A633&gt;='Goodness of fit'!$D$3,B633,0)</f>
        <v>8.0823135700918442E-3</v>
      </c>
      <c r="D633" s="2">
        <f t="shared" si="18"/>
        <v>1.7637697339932243E-2</v>
      </c>
      <c r="E633" s="18" t="str">
        <f>IF('Goodness of fit'!B633&gt;0,('Goodness of fit'!A633-'Goodness of fit'!B633)^2/'Goodness of fit'!B633,"")</f>
        <v/>
      </c>
      <c r="F633" s="2"/>
      <c r="G633" s="2"/>
    </row>
    <row r="634" spans="1:7" x14ac:dyDescent="0.35">
      <c r="A634">
        <f>'Goodness of fit'!D$6/1000+A633</f>
        <v>10.128000000000007</v>
      </c>
      <c r="B634">
        <f t="shared" si="19"/>
        <v>8.0242537856308697E-3</v>
      </c>
      <c r="C634">
        <f>IF(A634&gt;='Goodness of fit'!$D$3,B634,0)</f>
        <v>8.0242537856308697E-3</v>
      </c>
      <c r="D634" s="2">
        <f t="shared" si="18"/>
        <v>1.750884534577405E-2</v>
      </c>
      <c r="E634" s="18" t="str">
        <f>IF('Goodness of fit'!B634&gt;0,('Goodness of fit'!A634-'Goodness of fit'!B634)^2/'Goodness of fit'!B634,"")</f>
        <v/>
      </c>
      <c r="F634" s="2"/>
      <c r="G634" s="2"/>
    </row>
    <row r="635" spans="1:7" x14ac:dyDescent="0.35">
      <c r="A635">
        <f>'Goodness of fit'!D$6/1000+A634</f>
        <v>10.144000000000007</v>
      </c>
      <c r="B635">
        <f t="shared" si="19"/>
        <v>7.9666011359686602E-3</v>
      </c>
      <c r="C635">
        <f>IF(A635&gt;='Goodness of fit'!$D$3,B635,0)</f>
        <v>7.9666011359686602E-3</v>
      </c>
      <c r="D635" s="2">
        <f t="shared" si="18"/>
        <v>1.7380919047409574E-2</v>
      </c>
      <c r="E635" s="18" t="str">
        <f>IF('Goodness of fit'!B635&gt;0,('Goodness of fit'!A635-'Goodness of fit'!B635)^2/'Goodness of fit'!B635,"")</f>
        <v/>
      </c>
      <c r="F635" s="2"/>
      <c r="G635" s="2"/>
    </row>
    <row r="636" spans="1:7" x14ac:dyDescent="0.35">
      <c r="A636">
        <f>'Goodness of fit'!D$6/1000+A635</f>
        <v>10.160000000000007</v>
      </c>
      <c r="B636">
        <f t="shared" si="19"/>
        <v>7.9093528704007494E-3</v>
      </c>
      <c r="C636">
        <f>IF(A636&gt;='Goodness of fit'!$D$3,B636,0)</f>
        <v>7.9093528704007494E-3</v>
      </c>
      <c r="D636" s="2">
        <f t="shared" si="18"/>
        <v>1.7253911952710976E-2</v>
      </c>
      <c r="E636" s="18" t="str">
        <f>IF('Goodness of fit'!B636&gt;0,('Goodness of fit'!A636-'Goodness of fit'!B636)^2/'Goodness of fit'!B636,"")</f>
        <v/>
      </c>
      <c r="F636" s="2"/>
      <c r="G636" s="2"/>
    </row>
    <row r="637" spans="1:7" x14ac:dyDescent="0.35">
      <c r="A637">
        <f>'Goodness of fit'!D$6/1000+A636</f>
        <v>10.176000000000007</v>
      </c>
      <c r="B637">
        <f t="shared" si="19"/>
        <v>7.8525062556626946E-3</v>
      </c>
      <c r="C637">
        <f>IF(A637&gt;='Goodness of fit'!$D$3,B637,0)</f>
        <v>7.8525062556626946E-3</v>
      </c>
      <c r="D637" s="2">
        <f t="shared" si="18"/>
        <v>1.7127817613422074E-2</v>
      </c>
      <c r="E637" s="18" t="str">
        <f>IF('Goodness of fit'!B637&gt;0,('Goodness of fit'!A637-'Goodness of fit'!B637)^2/'Goodness of fit'!B637,"")</f>
        <v/>
      </c>
      <c r="F637" s="2"/>
      <c r="G637" s="2"/>
    </row>
    <row r="638" spans="1:7" x14ac:dyDescent="0.35">
      <c r="A638">
        <f>'Goodness of fit'!D$6/1000+A637</f>
        <v>10.192000000000007</v>
      </c>
      <c r="B638">
        <f t="shared" si="19"/>
        <v>7.796058575832863E-3</v>
      </c>
      <c r="C638">
        <f>IF(A638&gt;='Goodness of fit'!$D$3,B638,0)</f>
        <v>7.796058575832863E-3</v>
      </c>
      <c r="D638" s="2">
        <f t="shared" si="18"/>
        <v>1.700262962488E-2</v>
      </c>
      <c r="E638" s="18" t="str">
        <f>IF('Goodness of fit'!B638&gt;0,('Goodness of fit'!A638-'Goodness of fit'!B638)^2/'Goodness of fit'!B638,"")</f>
        <v/>
      </c>
      <c r="F638" s="2"/>
      <c r="G638" s="2"/>
    </row>
    <row r="639" spans="1:7" x14ac:dyDescent="0.35">
      <c r="A639">
        <f>'Goodness of fit'!D$6/1000+A638</f>
        <v>10.208000000000007</v>
      </c>
      <c r="B639">
        <f t="shared" si="19"/>
        <v>7.7400071322355967E-3</v>
      </c>
      <c r="C639">
        <f>IF(A639&gt;='Goodness of fit'!$D$3,B639,0)</f>
        <v>7.7400071322355967E-3</v>
      </c>
      <c r="D639" s="2">
        <f t="shared" si="18"/>
        <v>1.687834162573856E-2</v>
      </c>
      <c r="E639" s="18" t="str">
        <f>IF('Goodness of fit'!B639&gt;0,('Goodness of fit'!A639-'Goodness of fit'!B639)^2/'Goodness of fit'!B639,"")</f>
        <v/>
      </c>
      <c r="F639" s="2"/>
      <c r="G639" s="2"/>
    </row>
    <row r="640" spans="1:7" x14ac:dyDescent="0.35">
      <c r="A640">
        <f>'Goodness of fit'!D$6/1000+A639</f>
        <v>10.224000000000007</v>
      </c>
      <c r="B640">
        <f t="shared" si="19"/>
        <v>7.6843492433447229E-3</v>
      </c>
      <c r="C640">
        <f>IF(A640&gt;='Goodness of fit'!$D$3,B640,0)</f>
        <v>7.6843492433447229E-3</v>
      </c>
      <c r="D640" s="2">
        <f t="shared" si="18"/>
        <v>1.675494729769306E-2</v>
      </c>
      <c r="E640" s="18" t="str">
        <f>IF('Goodness of fit'!B640&gt;0,('Goodness of fit'!A640-'Goodness of fit'!B640)^2/'Goodness of fit'!B640,"")</f>
        <v/>
      </c>
      <c r="F640" s="2"/>
      <c r="G640" s="2"/>
    </row>
    <row r="641" spans="1:7" x14ac:dyDescent="0.35">
      <c r="A641">
        <f>'Goodness of fit'!D$6/1000+A640</f>
        <v>10.240000000000007</v>
      </c>
      <c r="B641">
        <f t="shared" si="19"/>
        <v>7.6290822446874731E-3</v>
      </c>
      <c r="C641">
        <f>IF(A641&gt;='Goodness of fit'!$D$3,B641,0)</f>
        <v>7.6290822446874731E-3</v>
      </c>
      <c r="D641" s="2">
        <f t="shared" si="18"/>
        <v>1.6632440365206638E-2</v>
      </c>
      <c r="E641" s="18" t="str">
        <f>IF('Goodness of fit'!B641&gt;0,('Goodness of fit'!A641-'Goodness of fit'!B641)^2/'Goodness of fit'!B641,"")</f>
        <v/>
      </c>
      <c r="F641" s="2"/>
      <c r="G641" s="2"/>
    </row>
    <row r="642" spans="1:7" x14ac:dyDescent="0.35">
      <c r="A642">
        <f>'Goodness of fit'!D$6/1000+A641</f>
        <v>10.256000000000007</v>
      </c>
      <c r="B642">
        <f t="shared" si="19"/>
        <v>7.5742034887487453E-3</v>
      </c>
      <c r="C642">
        <f>IF(A642&gt;='Goodness of fit'!$D$3,B642,0)</f>
        <v>7.5742034887487453E-3</v>
      </c>
      <c r="D642" s="2">
        <f t="shared" ref="D642:D705" si="20">CHIDIST(A642,F$1)</f>
        <v>1.6510814595238218E-2</v>
      </c>
      <c r="E642" s="18" t="str">
        <f>IF('Goodness of fit'!B642&gt;0,('Goodness of fit'!A642-'Goodness of fit'!B642)^2/'Goodness of fit'!B642,"")</f>
        <v/>
      </c>
      <c r="F642" s="2"/>
      <c r="G642" s="2"/>
    </row>
    <row r="643" spans="1:7" x14ac:dyDescent="0.35">
      <c r="A643">
        <f>'Goodness of fit'!D$6/1000+A642</f>
        <v>10.272000000000007</v>
      </c>
      <c r="B643">
        <f t="shared" ref="B643:B706" si="21">_xlfn.CHISQ.DIST(A643,F$1,FALSE)</f>
        <v>7.519710344875764E-3</v>
      </c>
      <c r="C643">
        <f>IF(A643&gt;='Goodness of fit'!$D$3,B643,0)</f>
        <v>7.519710344875764E-3</v>
      </c>
      <c r="D643" s="2">
        <f t="shared" si="20"/>
        <v>1.6390063796971971E-2</v>
      </c>
      <c r="E643" s="18" t="str">
        <f>IF('Goodness of fit'!B643&gt;0,('Goodness of fit'!A643-'Goodness of fit'!B643)^2/'Goodness of fit'!B643,"")</f>
        <v/>
      </c>
      <c r="F643" s="2"/>
      <c r="G643" s="2"/>
    </row>
    <row r="644" spans="1:7" x14ac:dyDescent="0.35">
      <c r="A644">
        <f>'Goodness of fit'!D$6/1000+A643</f>
        <v>10.288000000000007</v>
      </c>
      <c r="B644">
        <f t="shared" si="21"/>
        <v>7.4656001991831025E-3</v>
      </c>
      <c r="C644">
        <f>IF(A644&gt;='Goodness of fit'!$D$3,B644,0)</f>
        <v>7.4656001991831025E-3</v>
      </c>
      <c r="D644" s="2">
        <f t="shared" si="20"/>
        <v>1.6270181821548203E-2</v>
      </c>
      <c r="E644" s="18" t="str">
        <f>IF('Goodness of fit'!B644&gt;0,('Goodness of fit'!A644-'Goodness of fit'!B644)^2/'Goodness of fit'!B644,"")</f>
        <v/>
      </c>
      <c r="F644" s="2"/>
      <c r="G644" s="2"/>
    </row>
    <row r="645" spans="1:7" x14ac:dyDescent="0.35">
      <c r="A645">
        <f>'Goodness of fit'!D$6/1000+A644</f>
        <v>10.304000000000007</v>
      </c>
      <c r="B645">
        <f t="shared" si="21"/>
        <v>7.4118704544580928E-3</v>
      </c>
      <c r="C645">
        <f>IF(A645&gt;='Goodness of fit'!$D$3,B645,0)</f>
        <v>7.4118704544580928E-3</v>
      </c>
      <c r="D645" s="2">
        <f t="shared" si="20"/>
        <v>1.6151162561795898E-2</v>
      </c>
      <c r="E645" s="18" t="str">
        <f>IF('Goodness of fit'!B645&gt;0,('Goodness of fit'!A645-'Goodness of fit'!B645)^2/'Goodness of fit'!B645,"")</f>
        <v/>
      </c>
      <c r="F645" s="2"/>
      <c r="G645" s="2"/>
    </row>
    <row r="646" spans="1:7" x14ac:dyDescent="0.35">
      <c r="A646">
        <f>'Goodness of fit'!D$6/1000+A645</f>
        <v>10.320000000000007</v>
      </c>
      <c r="B646">
        <f t="shared" si="21"/>
        <v>7.3585185300666022E-3</v>
      </c>
      <c r="C646">
        <f>IF(A646&gt;='Goodness of fit'!$D$3,B646,0)</f>
        <v>7.3585185300666022E-3</v>
      </c>
      <c r="D646" s="2">
        <f t="shared" si="20"/>
        <v>1.6032999951966696E-2</v>
      </c>
      <c r="E646" s="18" t="str">
        <f>IF('Goodness of fit'!B646&gt;0,('Goodness of fit'!A646-'Goodness of fit'!B646)^2/'Goodness of fit'!B646,"")</f>
        <v/>
      </c>
      <c r="F646" s="2"/>
      <c r="G646" s="2"/>
    </row>
    <row r="647" spans="1:7" x14ac:dyDescent="0.35">
      <c r="A647">
        <f>'Goodness of fit'!D$6/1000+A646</f>
        <v>10.336000000000007</v>
      </c>
      <c r="B647">
        <f t="shared" si="21"/>
        <v>7.3055418618592095E-3</v>
      </c>
      <c r="C647">
        <f>IF(A647&gt;='Goodness of fit'!$D$3,B647,0)</f>
        <v>7.3055418618592095E-3</v>
      </c>
      <c r="D647" s="2">
        <f t="shared" si="20"/>
        <v>1.5915687967470362E-2</v>
      </c>
      <c r="E647" s="18" t="str">
        <f>IF('Goodness of fit'!B647&gt;0,('Goodness of fit'!A647-'Goodness of fit'!B647)^2/'Goodness of fit'!B647,"")</f>
        <v/>
      </c>
      <c r="F647" s="2"/>
      <c r="G647" s="2"/>
    </row>
    <row r="648" spans="1:7" x14ac:dyDescent="0.35">
      <c r="A648">
        <f>'Goodness of fit'!D$6/1000+A647</f>
        <v>10.352000000000007</v>
      </c>
      <c r="B648">
        <f t="shared" si="21"/>
        <v>7.2529379020777312E-3</v>
      </c>
      <c r="C648">
        <f>IF(A648&gt;='Goodness of fit'!$D$3,B648,0)</f>
        <v>7.2529379020777312E-3</v>
      </c>
      <c r="D648" s="2">
        <f t="shared" si="20"/>
        <v>1.579922062461183E-2</v>
      </c>
      <c r="E648" s="18" t="str">
        <f>IF('Goodness of fit'!B648&gt;0,('Goodness of fit'!A648-'Goodness of fit'!B648)^2/'Goodness of fit'!B648,"")</f>
        <v/>
      </c>
      <c r="F648" s="2"/>
      <c r="G648" s="2"/>
    </row>
    <row r="649" spans="1:7" x14ac:dyDescent="0.35">
      <c r="A649">
        <f>'Goodness of fit'!D$6/1000+A648</f>
        <v>10.368000000000007</v>
      </c>
      <c r="B649">
        <f t="shared" si="21"/>
        <v>7.2007041192621545E-3</v>
      </c>
      <c r="C649">
        <f>IF(A649&gt;='Goodness of fit'!$D$3,B649,0)</f>
        <v>7.2007041192621545E-3</v>
      </c>
      <c r="D649" s="2">
        <f t="shared" si="20"/>
        <v>1.5683591980329609E-2</v>
      </c>
      <c r="E649" s="18" t="str">
        <f>IF('Goodness of fit'!B649&gt;0,('Goodness of fit'!A649-'Goodness of fit'!B649)^2/'Goodness of fit'!B649,"")</f>
        <v/>
      </c>
      <c r="F649" s="2"/>
      <c r="G649" s="2"/>
    </row>
    <row r="650" spans="1:7" x14ac:dyDescent="0.35">
      <c r="A650">
        <f>'Goodness of fit'!D$6/1000+A649</f>
        <v>10.384000000000007</v>
      </c>
      <c r="B650">
        <f t="shared" si="21"/>
        <v>7.1488379981579338E-3</v>
      </c>
      <c r="C650">
        <f>IF(A650&gt;='Goodness of fit'!$D$3,B650,0)</f>
        <v>7.1488379981579338E-3</v>
      </c>
      <c r="D650" s="2">
        <f t="shared" si="20"/>
        <v>1.5568796131935845E-2</v>
      </c>
      <c r="E650" s="18" t="str">
        <f>IF('Goodness of fit'!B650&gt;0,('Goodness of fit'!A650-'Goodness of fit'!B650)^2/'Goodness of fit'!B650,"")</f>
        <v/>
      </c>
      <c r="F650" s="2"/>
      <c r="G650" s="2"/>
    </row>
    <row r="651" spans="1:7" x14ac:dyDescent="0.35">
      <c r="A651">
        <f>'Goodness of fit'!D$6/1000+A650</f>
        <v>10.400000000000007</v>
      </c>
      <c r="B651">
        <f t="shared" si="21"/>
        <v>7.0973370396236815E-3</v>
      </c>
      <c r="C651">
        <f>IF(A651&gt;='Goodness of fit'!$D$3,B651,0)</f>
        <v>7.0973370396236815E-3</v>
      </c>
      <c r="D651" s="2">
        <f t="shared" si="20"/>
        <v>1.5454827216857694E-2</v>
      </c>
      <c r="E651" s="18" t="str">
        <f>IF('Goodness of fit'!B651&gt;0,('Goodness of fit'!A651-'Goodness of fit'!B651)^2/'Goodness of fit'!B651,"")</f>
        <v/>
      </c>
      <c r="F651" s="2"/>
      <c r="G651" s="2"/>
    </row>
    <row r="652" spans="1:7" x14ac:dyDescent="0.35">
      <c r="A652">
        <f>'Goodness of fit'!D$6/1000+A651</f>
        <v>10.416000000000007</v>
      </c>
      <c r="B652">
        <f t="shared" si="21"/>
        <v>7.0461987605392289E-3</v>
      </c>
      <c r="C652">
        <f>IF(A652&gt;='Goodness of fit'!$D$3,B652,0)</f>
        <v>7.0461987605392289E-3</v>
      </c>
      <c r="D652" s="2">
        <f t="shared" si="20"/>
        <v>1.5341679412380311E-2</v>
      </c>
      <c r="E652" s="18" t="str">
        <f>IF('Goodness of fit'!B652&gt;0,('Goodness of fit'!A652-'Goodness of fit'!B652)^2/'Goodness of fit'!B652,"")</f>
        <v/>
      </c>
      <c r="F652" s="2"/>
      <c r="G652" s="2"/>
    </row>
    <row r="653" spans="1:7" x14ac:dyDescent="0.35">
      <c r="A653">
        <f>'Goodness of fit'!D$6/1000+A652</f>
        <v>10.432000000000007</v>
      </c>
      <c r="B653">
        <f t="shared" si="21"/>
        <v>6.9954206937140823E-3</v>
      </c>
      <c r="C653">
        <f>IF(A653&gt;='Goodness of fit'!$D$3,B653,0)</f>
        <v>6.9954206937140823E-3</v>
      </c>
      <c r="D653" s="2">
        <f t="shared" si="20"/>
        <v>1.5229346935391198E-2</v>
      </c>
      <c r="E653" s="18" t="str">
        <f>IF('Goodness of fit'!B653&gt;0,('Goodness of fit'!A653-'Goodness of fit'!B653)^2/'Goodness of fit'!B653,"")</f>
        <v/>
      </c>
      <c r="F653" s="2"/>
      <c r="G653" s="2"/>
    </row>
    <row r="654" spans="1:7" x14ac:dyDescent="0.35">
      <c r="A654">
        <f>'Goodness of fit'!D$6/1000+A653</f>
        <v>10.448000000000008</v>
      </c>
      <c r="B654">
        <f t="shared" si="21"/>
        <v>6.9450003877962524E-3</v>
      </c>
      <c r="C654">
        <f>IF(A654&gt;='Goodness of fit'!$D$3,B654,0)</f>
        <v>6.9450003877962524E-3</v>
      </c>
      <c r="D654" s="2">
        <f t="shared" si="20"/>
        <v>1.5117824042126093E-2</v>
      </c>
      <c r="E654" s="18" t="str">
        <f>IF('Goodness of fit'!B654&gt;0,('Goodness of fit'!A654-'Goodness of fit'!B654)^2/'Goodness of fit'!B654,"")</f>
        <v/>
      </c>
      <c r="F654" s="2"/>
      <c r="G654" s="2"/>
    </row>
    <row r="655" spans="1:7" x14ac:dyDescent="0.35">
      <c r="A655">
        <f>'Goodness of fit'!D$6/1000+A654</f>
        <v>10.464000000000008</v>
      </c>
      <c r="B655">
        <f t="shared" si="21"/>
        <v>6.8949354071814704E-3</v>
      </c>
      <c r="C655">
        <f>IF(A655&gt;='Goodness of fit'!$D$3,B655,0)</f>
        <v>6.8949354071814704E-3</v>
      </c>
      <c r="D655" s="2">
        <f t="shared" si="20"/>
        <v>1.5007105027916219E-2</v>
      </c>
      <c r="E655" s="18" t="str">
        <f>IF('Goodness of fit'!B655&gt;0,('Goodness of fit'!A655-'Goodness of fit'!B655)^2/'Goodness of fit'!B655,"")</f>
        <v/>
      </c>
      <c r="F655" s="2"/>
      <c r="G655" s="2"/>
    </row>
    <row r="656" spans="1:7" x14ac:dyDescent="0.35">
      <c r="A656">
        <f>'Goodness of fit'!D$6/1000+A655</f>
        <v>10.480000000000008</v>
      </c>
      <c r="B656">
        <f t="shared" si="21"/>
        <v>6.8452233319227836E-3</v>
      </c>
      <c r="C656">
        <f>IF(A656&gt;='Goodness of fit'!$D$3,B656,0)</f>
        <v>6.8452233319227836E-3</v>
      </c>
      <c r="D656" s="2">
        <f t="shared" si="20"/>
        <v>1.489718422693715E-2</v>
      </c>
      <c r="E656" s="18" t="str">
        <f>IF('Goodness of fit'!B656&gt;0,('Goodness of fit'!A656-'Goodness of fit'!B656)^2/'Goodness of fit'!B656,"")</f>
        <v/>
      </c>
      <c r="F656" s="2"/>
      <c r="G656" s="2"/>
    </row>
    <row r="657" spans="1:7" x14ac:dyDescent="0.35">
      <c r="A657">
        <f>'Goodness of fit'!D$6/1000+A656</f>
        <v>10.496000000000008</v>
      </c>
      <c r="B657">
        <f t="shared" si="21"/>
        <v>6.7958617576405565E-3</v>
      </c>
      <c r="C657">
        <f>IF(A657&gt;='Goodness of fit'!$D$3,B657,0)</f>
        <v>6.7958617576405565E-3</v>
      </c>
      <c r="D657" s="2">
        <f t="shared" si="20"/>
        <v>1.4788056011958909E-2</v>
      </c>
      <c r="E657" s="18" t="str">
        <f>IF('Goodness of fit'!B657&gt;0,('Goodness of fit'!A657-'Goodness of fit'!B657)^2/'Goodness of fit'!B657,"")</f>
        <v/>
      </c>
      <c r="F657" s="2"/>
      <c r="G657" s="2"/>
    </row>
    <row r="658" spans="1:7" x14ac:dyDescent="0.35">
      <c r="A658">
        <f>'Goodness of fit'!D$6/1000+A657</f>
        <v>10.512000000000008</v>
      </c>
      <c r="B658">
        <f t="shared" si="21"/>
        <v>6.7468482954328116E-3</v>
      </c>
      <c r="C658">
        <f>IF(A658&gt;='Goodness of fit'!$D$3,B658,0)</f>
        <v>6.7468482954328116E-3</v>
      </c>
      <c r="D658" s="2">
        <f t="shared" si="20"/>
        <v>1.4679714794097659E-2</v>
      </c>
      <c r="E658" s="18" t="str">
        <f>IF('Goodness of fit'!B658&gt;0,('Goodness of fit'!A658-'Goodness of fit'!B658)^2/'Goodness of fit'!B658,"")</f>
        <v/>
      </c>
      <c r="F658" s="2"/>
      <c r="G658" s="2"/>
    </row>
    <row r="659" spans="1:7" x14ac:dyDescent="0.35">
      <c r="A659">
        <f>'Goodness of fit'!D$6/1000+A658</f>
        <v>10.528000000000008</v>
      </c>
      <c r="B659">
        <f t="shared" si="21"/>
        <v>6.6981805717860098E-3</v>
      </c>
      <c r="C659">
        <f>IF(A659&gt;='Goodness of fit'!$D$3,B659,0)</f>
        <v>6.6981805717860098E-3</v>
      </c>
      <c r="D659" s="2">
        <f t="shared" si="20"/>
        <v>1.4572155022568777E-2</v>
      </c>
      <c r="E659" s="18" t="str">
        <f>IF('Goodness of fit'!B659&gt;0,('Goodness of fit'!A659-'Goodness of fit'!B659)^2/'Goodness of fit'!B659,"")</f>
        <v/>
      </c>
      <c r="F659" s="2"/>
      <c r="G659" s="2"/>
    </row>
    <row r="660" spans="1:7" x14ac:dyDescent="0.35">
      <c r="A660">
        <f>'Goodness of fit'!D$6/1000+A659</f>
        <v>10.544000000000008</v>
      </c>
      <c r="B660">
        <f t="shared" si="21"/>
        <v>6.6498562284861744E-3</v>
      </c>
      <c r="C660">
        <f>IF(A660&gt;='Goodness of fit'!$D$3,B660,0)</f>
        <v>6.6498562284861744E-3</v>
      </c>
      <c r="D660" s="2">
        <f t="shared" si="20"/>
        <v>1.4465371184441359E-2</v>
      </c>
      <c r="E660" s="18" t="str">
        <f>IF('Goodness of fit'!B660&gt;0,('Goodness of fit'!A660-'Goodness of fit'!B660)^2/'Goodness of fit'!B660,"")</f>
        <v/>
      </c>
      <c r="F660" s="2"/>
      <c r="G660" s="2"/>
    </row>
    <row r="661" spans="1:7" x14ac:dyDescent="0.35">
      <c r="A661">
        <f>'Goodness of fit'!D$6/1000+A660</f>
        <v>10.560000000000008</v>
      </c>
      <c r="B661">
        <f t="shared" si="21"/>
        <v>6.6018729225304183E-3</v>
      </c>
      <c r="C661">
        <f>IF(A661&gt;='Goodness of fit'!$D$3,B661,0)</f>
        <v>6.6018729225304183E-3</v>
      </c>
      <c r="D661" s="2">
        <f t="shared" si="20"/>
        <v>1.4359357804394075E-2</v>
      </c>
      <c r="E661" s="18" t="str">
        <f>IF('Goodness of fit'!B661&gt;0,('Goodness of fit'!A661-'Goodness of fit'!B661)^2/'Goodness of fit'!B661,"")</f>
        <v/>
      </c>
      <c r="F661" s="2"/>
      <c r="G661" s="2"/>
    </row>
    <row r="662" spans="1:7" x14ac:dyDescent="0.35">
      <c r="A662">
        <f>'Goodness of fit'!D$6/1000+A661</f>
        <v>10.576000000000008</v>
      </c>
      <c r="B662">
        <f t="shared" si="21"/>
        <v>6.5542283260388509E-3</v>
      </c>
      <c r="C662">
        <f>IF(A662&gt;='Goodness of fit'!$D$3,B662,0)</f>
        <v>6.5542283260388509E-3</v>
      </c>
      <c r="D662" s="2">
        <f t="shared" si="20"/>
        <v>1.4254109444472581E-2</v>
      </c>
      <c r="E662" s="18" t="str">
        <f>IF('Goodness of fit'!B662&gt;0,('Goodness of fit'!A662-'Goodness of fit'!B662)^2/'Goodness of fit'!B662,"")</f>
        <v/>
      </c>
      <c r="F662" s="2"/>
      <c r="G662" s="2"/>
    </row>
    <row r="663" spans="1:7" x14ac:dyDescent="0.35">
      <c r="A663">
        <f>'Goodness of fit'!D$6/1000+A662</f>
        <v>10.592000000000008</v>
      </c>
      <c r="B663">
        <f t="shared" si="21"/>
        <v>6.5069201261668784E-3</v>
      </c>
      <c r="C663">
        <f>IF(A663&gt;='Goodness of fit'!$D$3,B663,0)</f>
        <v>6.5069201261668784E-3</v>
      </c>
      <c r="D663" s="2">
        <f t="shared" si="20"/>
        <v>1.4149620703848191E-2</v>
      </c>
      <c r="E663" s="18" t="str">
        <f>IF('Goodness of fit'!B663&gt;0,('Goodness of fit'!A663-'Goodness of fit'!B663)^2/'Goodness of fit'!B663,"")</f>
        <v/>
      </c>
      <c r="F663" s="2"/>
      <c r="G663" s="2"/>
    </row>
    <row r="664" spans="1:7" x14ac:dyDescent="0.35">
      <c r="A664">
        <f>'Goodness of fit'!D$6/1000+A663</f>
        <v>10.608000000000008</v>
      </c>
      <c r="B664">
        <f t="shared" si="21"/>
        <v>6.4599460250178778E-3</v>
      </c>
      <c r="C664">
        <f>IF(A664&gt;='Goodness of fit'!$D$3,B664,0)</f>
        <v>6.4599460250178778E-3</v>
      </c>
      <c r="D664" s="2">
        <f t="shared" si="20"/>
        <v>1.4045886218578033E-2</v>
      </c>
      <c r="E664" s="18" t="str">
        <f>IF('Goodness of fit'!B664&gt;0,('Goodness of fit'!A664-'Goodness of fit'!B664)^2/'Goodness of fit'!B664,"")</f>
        <v/>
      </c>
      <c r="F664" s="2"/>
      <c r="G664" s="2"/>
    </row>
    <row r="665" spans="1:7" x14ac:dyDescent="0.35">
      <c r="A665">
        <f>'Goodness of fit'!D$6/1000+A664</f>
        <v>10.624000000000008</v>
      </c>
      <c r="B665">
        <f t="shared" si="21"/>
        <v>6.4133037395562613E-3</v>
      </c>
      <c r="C665">
        <f>IF(A665&gt;='Goodness of fit'!$D$3,B665,0)</f>
        <v>6.4133037395562613E-3</v>
      </c>
      <c r="D665" s="2">
        <f t="shared" si="20"/>
        <v>1.3942900661366575E-2</v>
      </c>
      <c r="E665" s="18" t="str">
        <f>IF('Goodness of fit'!B665&gt;0,('Goodness of fit'!A665-'Goodness of fit'!B665)^2/'Goodness of fit'!B665,"")</f>
        <v/>
      </c>
      <c r="F665" s="2"/>
      <c r="G665" s="2"/>
    </row>
    <row r="666" spans="1:7" x14ac:dyDescent="0.35">
      <c r="A666">
        <f>'Goodness of fit'!D$6/1000+A665</f>
        <v>10.640000000000008</v>
      </c>
      <c r="B666">
        <f t="shared" si="21"/>
        <v>6.3669910015209429E-3</v>
      </c>
      <c r="C666">
        <f>IF(A666&gt;='Goodness of fit'!$D$3,B666,0)</f>
        <v>6.3669910015209429E-3</v>
      </c>
      <c r="D666" s="2">
        <f t="shared" si="20"/>
        <v>1.3840658741328563E-2</v>
      </c>
      <c r="E666" s="18" t="str">
        <f>IF('Goodness of fit'!B666&gt;0,('Goodness of fit'!A666-'Goodness of fit'!B666)^2/'Goodness of fit'!B666,"")</f>
        <v/>
      </c>
      <c r="F666" s="2"/>
      <c r="G666" s="2"/>
    </row>
    <row r="667" spans="1:7" x14ac:dyDescent="0.35">
      <c r="A667">
        <f>'Goodness of fit'!D$6/1000+A666</f>
        <v>10.656000000000008</v>
      </c>
      <c r="B667">
        <f t="shared" si="21"/>
        <v>6.3210055573391481E-3</v>
      </c>
      <c r="C667">
        <f>IF(A667&gt;='Goodness of fit'!$D$3,B667,0)</f>
        <v>6.3210055573391481E-3</v>
      </c>
      <c r="D667" s="2">
        <f t="shared" si="20"/>
        <v>1.3739155203753286E-2</v>
      </c>
      <c r="E667" s="18" t="str">
        <f>IF('Goodness of fit'!B667&gt;0,('Goodness of fit'!A667-'Goodness of fit'!B667)^2/'Goodness of fit'!B667,"")</f>
        <v/>
      </c>
      <c r="F667" s="2"/>
      <c r="G667" s="2"/>
    </row>
    <row r="668" spans="1:7" x14ac:dyDescent="0.35">
      <c r="A668">
        <f>'Goodness of fit'!D$6/1000+A667</f>
        <v>10.672000000000008</v>
      </c>
      <c r="B668">
        <f t="shared" si="21"/>
        <v>6.2753451680406603E-3</v>
      </c>
      <c r="C668">
        <f>IF(A668&gt;='Goodness of fit'!$D$3,B668,0)</f>
        <v>6.2753451680406603E-3</v>
      </c>
      <c r="D668" s="2">
        <f t="shared" si="20"/>
        <v>1.3638384829870247E-2</v>
      </c>
      <c r="E668" s="18" t="str">
        <f>IF('Goodness of fit'!B668&gt;0,('Goodness of fit'!A668-'Goodness of fit'!B668)^2/'Goodness of fit'!B668,"")</f>
        <v/>
      </c>
      <c r="F668" s="2"/>
      <c r="G668" s="2"/>
    </row>
    <row r="669" spans="1:7" x14ac:dyDescent="0.35">
      <c r="A669">
        <f>'Goodness of fit'!D$6/1000+A668</f>
        <v>10.688000000000008</v>
      </c>
      <c r="B669">
        <f t="shared" si="21"/>
        <v>6.2300076091724192E-3</v>
      </c>
      <c r="C669">
        <f>IF(A669&gt;='Goodness of fit'!$D$3,B669,0)</f>
        <v>6.2300076091724192E-3</v>
      </c>
      <c r="D669" s="2">
        <f t="shared" si="20"/>
        <v>1.3538342436616259E-2</v>
      </c>
      <c r="E669" s="18" t="str">
        <f>IF('Goodness of fit'!B669&gt;0,('Goodness of fit'!A669-'Goodness of fit'!B669)^2/'Goodness of fit'!B669,"")</f>
        <v/>
      </c>
      <c r="F669" s="2"/>
      <c r="G669" s="2"/>
    </row>
    <row r="670" spans="1:7" x14ac:dyDescent="0.35">
      <c r="A670">
        <f>'Goodness of fit'!D$6/1000+A669</f>
        <v>10.704000000000008</v>
      </c>
      <c r="B670">
        <f t="shared" si="21"/>
        <v>6.184990670713513E-3</v>
      </c>
      <c r="C670">
        <f>IF(A670&gt;='Goodness of fit'!$D$3,B670,0)</f>
        <v>6.184990670713513E-3</v>
      </c>
      <c r="D670" s="2">
        <f t="shared" si="20"/>
        <v>1.3439022876403773E-2</v>
      </c>
      <c r="E670" s="18" t="str">
        <f>IF('Goodness of fit'!B670&gt;0,('Goodness of fit'!A670-'Goodness of fit'!B670)^2/'Goodness of fit'!B670,"")</f>
        <v/>
      </c>
      <c r="F670" s="2"/>
      <c r="G670" s="2"/>
    </row>
    <row r="671" spans="1:7" x14ac:dyDescent="0.35">
      <c r="A671">
        <f>'Goodness of fit'!D$6/1000+A670</f>
        <v>10.720000000000008</v>
      </c>
      <c r="B671">
        <f t="shared" si="21"/>
        <v>6.1402921569905624E-3</v>
      </c>
      <c r="C671">
        <f>IF(A671&gt;='Goodness of fit'!$D$3,B671,0)</f>
        <v>6.1402921569905624E-3</v>
      </c>
      <c r="D671" s="2">
        <f t="shared" si="20"/>
        <v>1.3340421036890702E-2</v>
      </c>
      <c r="E671" s="18" t="str">
        <f>IF('Goodness of fit'!B671&gt;0,('Goodness of fit'!A671-'Goodness of fit'!B671)^2/'Goodness of fit'!B671,"")</f>
        <v/>
      </c>
      <c r="F671" s="2"/>
      <c r="G671" s="2"/>
    </row>
    <row r="672" spans="1:7" x14ac:dyDescent="0.35">
      <c r="A672">
        <f>'Goodness of fit'!D$6/1000+A671</f>
        <v>10.736000000000008</v>
      </c>
      <c r="B672">
        <f t="shared" si="21"/>
        <v>6.0959098865934732E-3</v>
      </c>
      <c r="C672">
        <f>IF(A672&gt;='Goodness of fit'!$D$3,B672,0)</f>
        <v>6.0959098865934732E-3</v>
      </c>
      <c r="D672" s="2">
        <f t="shared" si="20"/>
        <v>1.3242531840751526E-2</v>
      </c>
      <c r="E672" s="18" t="str">
        <f>IF('Goodness of fit'!B672&gt;0,('Goodness of fit'!A672-'Goodness of fit'!B672)^2/'Goodness of fit'!B672,"")</f>
        <v/>
      </c>
      <c r="F672" s="2"/>
      <c r="G672" s="2"/>
    </row>
    <row r="673" spans="1:7" x14ac:dyDescent="0.35">
      <c r="A673">
        <f>'Goodness of fit'!D$6/1000+A672</f>
        <v>10.752000000000008</v>
      </c>
      <c r="B673">
        <f t="shared" si="21"/>
        <v>6.0518416922915996E-3</v>
      </c>
      <c r="C673">
        <f>IF(A673&gt;='Goodness of fit'!$D$3,B673,0)</f>
        <v>6.0518416922915996E-3</v>
      </c>
      <c r="D673" s="2">
        <f t="shared" si="20"/>
        <v>1.3145350245449708E-2</v>
      </c>
      <c r="E673" s="18" t="str">
        <f>IF('Goodness of fit'!B673&gt;0,('Goodness of fit'!A673-'Goodness of fit'!B673)^2/'Goodness of fit'!B673,"")</f>
        <v/>
      </c>
      <c r="F673" s="2"/>
      <c r="G673" s="2"/>
    </row>
    <row r="674" spans="1:7" x14ac:dyDescent="0.35">
      <c r="A674">
        <f>'Goodness of fit'!D$6/1000+A673</f>
        <v>10.768000000000008</v>
      </c>
      <c r="B674">
        <f t="shared" si="21"/>
        <v>6.0080854209502632E-3</v>
      </c>
      <c r="C674">
        <f>IF(A674&gt;='Goodness of fit'!$D$3,B674,0)</f>
        <v>6.0080854209502632E-3</v>
      </c>
      <c r="D674" s="2">
        <f t="shared" si="20"/>
        <v>1.3048871243011552E-2</v>
      </c>
      <c r="E674" s="18" t="str">
        <f>IF('Goodness of fit'!B674&gt;0,('Goodness of fit'!A674-'Goodness of fit'!B674)^2/'Goodness of fit'!B674,"")</f>
        <v/>
      </c>
      <c r="F674" s="2"/>
      <c r="G674" s="2"/>
    </row>
    <row r="675" spans="1:7" x14ac:dyDescent="0.35">
      <c r="A675">
        <f>'Goodness of fit'!D$6/1000+A674</f>
        <v>10.784000000000008</v>
      </c>
      <c r="B675">
        <f t="shared" si="21"/>
        <v>5.9646389334476798E-3</v>
      </c>
      <c r="C675">
        <f>IF(A675&gt;='Goodness of fit'!$D$3,B675,0)</f>
        <v>5.9646389334476798E-3</v>
      </c>
      <c r="D675" s="2">
        <f t="shared" si="20"/>
        <v>1.2953089859801302E-2</v>
      </c>
      <c r="E675" s="18" t="str">
        <f>IF('Goodness of fit'!B675&gt;0,('Goodness of fit'!A675-'Goodness of fit'!B675)^2/'Goodness of fit'!B675,"")</f>
        <v/>
      </c>
      <c r="F675" s="2"/>
      <c r="G675" s="2"/>
    </row>
    <row r="676" spans="1:7" x14ac:dyDescent="0.35">
      <c r="A676">
        <f>'Goodness of fit'!D$6/1000+A675</f>
        <v>10.800000000000008</v>
      </c>
      <c r="B676">
        <f t="shared" si="21"/>
        <v>5.9215001045922581E-3</v>
      </c>
      <c r="C676">
        <f>IF(A676&gt;='Goodness of fit'!$D$3,B676,0)</f>
        <v>5.9215001045922581E-3</v>
      </c>
      <c r="D676" s="2">
        <f t="shared" si="20"/>
        <v>1.2858001156297573E-2</v>
      </c>
      <c r="E676" s="18" t="str">
        <f>IF('Goodness of fit'!B676&gt;0,('Goodness of fit'!A676-'Goodness of fit'!B676)^2/'Goodness of fit'!B676,"")</f>
        <v/>
      </c>
      <c r="F676" s="2"/>
      <c r="G676" s="2"/>
    </row>
    <row r="677" spans="1:7" x14ac:dyDescent="0.35">
      <c r="A677">
        <f>'Goodness of fit'!D$6/1000+A676</f>
        <v>10.816000000000008</v>
      </c>
      <c r="B677">
        <f t="shared" si="21"/>
        <v>5.8786668230402846E-3</v>
      </c>
      <c r="C677">
        <f>IF(A677&gt;='Goodness of fit'!$D$3,B677,0)</f>
        <v>5.8786668230402846E-3</v>
      </c>
      <c r="D677" s="2">
        <f t="shared" si="20"/>
        <v>1.2763600226871183E-2</v>
      </c>
      <c r="E677" s="18" t="str">
        <f>IF('Goodness of fit'!B677&gt;0,('Goodness of fit'!A677-'Goodness of fit'!B677)^2/'Goodness of fit'!B677,"")</f>
        <v/>
      </c>
      <c r="F677" s="2"/>
      <c r="G677" s="2"/>
    </row>
    <row r="678" spans="1:7" x14ac:dyDescent="0.35">
      <c r="A678">
        <f>'Goodness of fit'!D$6/1000+A677</f>
        <v>10.832000000000008</v>
      </c>
      <c r="B678">
        <f t="shared" si="21"/>
        <v>5.8361369912139863E-3</v>
      </c>
      <c r="C678">
        <f>IF(A678&gt;='Goodness of fit'!$D$3,B678,0)</f>
        <v>5.8361369912139863E-3</v>
      </c>
      <c r="D678" s="2">
        <f t="shared" si="20"/>
        <v>1.2669882199564176E-2</v>
      </c>
      <c r="E678" s="18" t="str">
        <f>IF('Goodness of fit'!B678&gt;0,('Goodness of fit'!A678-'Goodness of fit'!B678)^2/'Goodness of fit'!B678,"")</f>
        <v/>
      </c>
      <c r="F678" s="2"/>
      <c r="G678" s="2"/>
    </row>
    <row r="679" spans="1:7" x14ac:dyDescent="0.35">
      <c r="A679">
        <f>'Goodness of fit'!D$6/1000+A678</f>
        <v>10.848000000000008</v>
      </c>
      <c r="B679">
        <f t="shared" si="21"/>
        <v>5.7939085252199955E-3</v>
      </c>
      <c r="C679">
        <f>IF(A679&gt;='Goodness of fit'!$D$3,B679,0)</f>
        <v>5.7939085252199955E-3</v>
      </c>
      <c r="D679" s="2">
        <f t="shared" si="20"/>
        <v>1.2576842235870314E-2</v>
      </c>
      <c r="E679" s="18" t="str">
        <f>IF('Goodness of fit'!B679&gt;0,('Goodness of fit'!A679-'Goodness of fit'!B679)^2/'Goodness of fit'!B679,"")</f>
        <v/>
      </c>
      <c r="F679" s="2"/>
      <c r="G679" s="2"/>
    </row>
    <row r="680" spans="1:7" x14ac:dyDescent="0.35">
      <c r="A680">
        <f>'Goodness of fit'!D$6/1000+A679</f>
        <v>10.864000000000008</v>
      </c>
      <c r="B680">
        <f t="shared" si="21"/>
        <v>5.7519793547681757E-3</v>
      </c>
      <c r="C680">
        <f>IF(A680&gt;='Goodness of fit'!$D$3,B680,0)</f>
        <v>5.7519793547681757E-3</v>
      </c>
      <c r="D680" s="2">
        <f t="shared" si="20"/>
        <v>1.2484475530516655E-2</v>
      </c>
      <c r="E680" s="18" t="str">
        <f>IF('Goodness of fit'!B680&gt;0,('Goodness of fit'!A680-'Goodness of fit'!B680)^2/'Goodness of fit'!B680,"")</f>
        <v/>
      </c>
      <c r="F680" s="2"/>
      <c r="G680" s="2"/>
    </row>
    <row r="681" spans="1:7" x14ac:dyDescent="0.35">
      <c r="A681">
        <f>'Goodness of fit'!D$6/1000+A680</f>
        <v>10.880000000000008</v>
      </c>
      <c r="B681">
        <f t="shared" si="21"/>
        <v>5.7103474230908394E-3</v>
      </c>
      <c r="C681">
        <f>IF(A681&gt;='Goodness of fit'!$D$3,B681,0)</f>
        <v>5.7103474230908394E-3</v>
      </c>
      <c r="D681" s="2">
        <f t="shared" si="20"/>
        <v>1.2392777311246654E-2</v>
      </c>
      <c r="E681" s="18" t="str">
        <f>IF('Goodness of fit'!B681&gt;0,('Goodness of fit'!A681-'Goodness of fit'!B681)^2/'Goodness of fit'!B681,"")</f>
        <v/>
      </c>
      <c r="F681" s="2"/>
      <c r="G681" s="2"/>
    </row>
    <row r="682" spans="1:7" x14ac:dyDescent="0.35">
      <c r="A682">
        <f>'Goodness of fit'!D$6/1000+A681</f>
        <v>10.896000000000008</v>
      </c>
      <c r="B682">
        <f t="shared" si="21"/>
        <v>5.6690106868623425E-3</v>
      </c>
      <c r="C682">
        <f>IF(A682&gt;='Goodness of fit'!$D$3,B682,0)</f>
        <v>5.6690106868623425E-3</v>
      </c>
      <c r="D682" s="2">
        <f t="shared" si="20"/>
        <v>1.2301742838604393E-2</v>
      </c>
      <c r="E682" s="18" t="str">
        <f>IF('Goodness of fit'!B682&gt;0,('Goodness of fit'!A682-'Goodness of fit'!B682)^2/'Goodness of fit'!B682,"")</f>
        <v/>
      </c>
      <c r="F682" s="2"/>
      <c r="G682" s="2"/>
    </row>
    <row r="683" spans="1:7" x14ac:dyDescent="0.35">
      <c r="A683">
        <f>'Goodness of fit'!D$6/1000+A682</f>
        <v>10.912000000000008</v>
      </c>
      <c r="B683">
        <f t="shared" si="21"/>
        <v>5.6279671161190755E-3</v>
      </c>
      <c r="C683">
        <f>IF(A683&gt;='Goodness of fit'!$D$3,B683,0)</f>
        <v>5.6279671161190755E-3</v>
      </c>
      <c r="D683" s="2">
        <f t="shared" si="20"/>
        <v>1.2211367405720168E-2</v>
      </c>
      <c r="E683" s="18" t="str">
        <f>IF('Goodness of fit'!B683&gt;0,('Goodness of fit'!A683-'Goodness of fit'!B683)^2/'Goodness of fit'!B683,"")</f>
        <v/>
      </c>
      <c r="F683" s="2"/>
      <c r="G683" s="2"/>
    </row>
    <row r="684" spans="1:7" x14ac:dyDescent="0.35">
      <c r="A684">
        <f>'Goodness of fit'!D$6/1000+A683</f>
        <v>10.928000000000008</v>
      </c>
      <c r="B684">
        <f t="shared" si="21"/>
        <v>5.5872146941798109E-3</v>
      </c>
      <c r="C684">
        <f>IF(A684&gt;='Goodness of fit'!$D$3,B684,0)</f>
        <v>5.5872146941798109E-3</v>
      </c>
      <c r="D684" s="2">
        <f t="shared" si="20"/>
        <v>1.2121646338097305E-2</v>
      </c>
      <c r="E684" s="18" t="str">
        <f>IF('Goodness of fit'!B684&gt;0,('Goodness of fit'!A684-'Goodness of fit'!B684)^2/'Goodness of fit'!B684,"")</f>
        <v/>
      </c>
      <c r="F684" s="2"/>
      <c r="G684" s="2"/>
    </row>
    <row r="685" spans="1:7" x14ac:dyDescent="0.35">
      <c r="A685">
        <f>'Goodness of fit'!D$6/1000+A684</f>
        <v>10.944000000000008</v>
      </c>
      <c r="B685">
        <f t="shared" si="21"/>
        <v>5.5467514175664579E-3</v>
      </c>
      <c r="C685">
        <f>IF(A685&gt;='Goodness of fit'!$D$3,B685,0)</f>
        <v>5.5467514175664579E-3</v>
      </c>
      <c r="D685" s="2">
        <f t="shared" si="20"/>
        <v>1.2032574993400338E-2</v>
      </c>
      <c r="E685" s="18" t="str">
        <f>IF('Goodness of fit'!B685&gt;0,('Goodness of fit'!A685-'Goodness of fit'!B685)^2/'Goodness of fit'!B685,"")</f>
        <v/>
      </c>
      <c r="F685" s="2"/>
      <c r="G685" s="2"/>
    </row>
    <row r="686" spans="1:7" x14ac:dyDescent="0.35">
      <c r="A686">
        <f>'Goodness of fit'!D$6/1000+A685</f>
        <v>10.960000000000008</v>
      </c>
      <c r="B686">
        <f t="shared" si="21"/>
        <v>5.5065752959251773E-3</v>
      </c>
      <c r="C686">
        <f>IF(A686&gt;='Goodness of fit'!$D$3,B686,0)</f>
        <v>5.5065752959251773E-3</v>
      </c>
      <c r="D686" s="2">
        <f t="shared" si="20"/>
        <v>1.1944148761244317E-2</v>
      </c>
      <c r="E686" s="18" t="str">
        <f>IF('Goodness of fit'!B686&gt;0,('Goodness of fit'!A686-'Goodness of fit'!B686)^2/'Goodness of fit'!B686,"")</f>
        <v/>
      </c>
      <c r="F686" s="2"/>
      <c r="G686" s="2"/>
    </row>
    <row r="687" spans="1:7" x14ac:dyDescent="0.35">
      <c r="A687">
        <f>'Goodness of fit'!D$6/1000+A686</f>
        <v>10.976000000000008</v>
      </c>
      <c r="B687">
        <f t="shared" si="21"/>
        <v>5.4666843519478722E-3</v>
      </c>
      <c r="C687">
        <f>IF(A687&gt;='Goodness of fit'!$D$3,B687,0)</f>
        <v>5.4666843519478722E-3</v>
      </c>
      <c r="D687" s="2">
        <f t="shared" si="20"/>
        <v>1.1856363062985494E-2</v>
      </c>
      <c r="E687" s="18" t="str">
        <f>IF('Goodness of fit'!B687&gt;0,('Goodness of fit'!A687-'Goodness of fit'!B687)^2/'Goodness of fit'!B687,"")</f>
        <v/>
      </c>
      <c r="F687" s="2"/>
      <c r="G687" s="2"/>
    </row>
    <row r="688" spans="1:7" x14ac:dyDescent="0.35">
      <c r="A688">
        <f>'Goodness of fit'!D$6/1000+A687</f>
        <v>10.992000000000008</v>
      </c>
      <c r="B688">
        <f t="shared" si="21"/>
        <v>5.4270766212940877E-3</v>
      </c>
      <c r="C688">
        <f>IF(A688&gt;='Goodness of fit'!$D$3,B688,0)</f>
        <v>5.4270766212940877E-3</v>
      </c>
      <c r="D688" s="2">
        <f t="shared" si="20"/>
        <v>1.1769213351513218E-2</v>
      </c>
      <c r="E688" s="18" t="str">
        <f>IF('Goodness of fit'!B688&gt;0,('Goodness of fit'!A688-'Goodness of fit'!B688)^2/'Goodness of fit'!B688,"")</f>
        <v/>
      </c>
      <c r="F688" s="2"/>
      <c r="G688" s="2"/>
    </row>
    <row r="689" spans="1:7" x14ac:dyDescent="0.35">
      <c r="A689">
        <f>'Goodness of fit'!D$6/1000+A688</f>
        <v>11.008000000000008</v>
      </c>
      <c r="B689">
        <f t="shared" si="21"/>
        <v>5.3877501525132522E-3</v>
      </c>
      <c r="C689">
        <f>IF(A689&gt;='Goodness of fit'!$D$3,B689,0)</f>
        <v>5.3877501525132522E-3</v>
      </c>
      <c r="D689" s="2">
        <f t="shared" si="20"/>
        <v>1.1682695111043043E-2</v>
      </c>
      <c r="E689" s="18" t="str">
        <f>IF('Goodness of fit'!B689&gt;0,('Goodness of fit'!A689-'Goodness of fit'!B689)^2/'Goodness of fit'!B689,"")</f>
        <v/>
      </c>
      <c r="F689" s="2"/>
      <c r="G689" s="2"/>
    </row>
    <row r="690" spans="1:7" x14ac:dyDescent="0.35">
      <c r="A690">
        <f>'Goodness of fit'!D$6/1000+A689</f>
        <v>11.024000000000008</v>
      </c>
      <c r="B690">
        <f t="shared" si="21"/>
        <v>5.3487030069673232E-3</v>
      </c>
      <c r="C690">
        <f>IF(A690&gt;='Goodness of fit'!$D$3,B690,0)</f>
        <v>5.3487030069673232E-3</v>
      </c>
      <c r="D690" s="2">
        <f t="shared" si="20"/>
        <v>1.1596803856911139E-2</v>
      </c>
      <c r="E690" s="18" t="str">
        <f>IF('Goodness of fit'!B690&gt;0,('Goodness of fit'!A690-'Goodness of fit'!B690)^2/'Goodness of fit'!B690,"")</f>
        <v/>
      </c>
      <c r="F690" s="2"/>
      <c r="G690" s="2"/>
    </row>
    <row r="691" spans="1:7" x14ac:dyDescent="0.35">
      <c r="A691">
        <f>'Goodness of fit'!D$6/1000+A690</f>
        <v>11.040000000000008</v>
      </c>
      <c r="B691">
        <f t="shared" si="21"/>
        <v>5.3099332587537842E-3</v>
      </c>
      <c r="C691">
        <f>IF(A691&gt;='Goodness of fit'!$D$3,B691,0)</f>
        <v>5.3099332587537842E-3</v>
      </c>
      <c r="D691" s="2">
        <f t="shared" si="20"/>
        <v>1.1511535135369896E-2</v>
      </c>
      <c r="E691" s="18" t="str">
        <f>IF('Goodness of fit'!B691&gt;0,('Goodness of fit'!A691-'Goodness of fit'!B691)^2/'Goodness of fit'!B691,"")</f>
        <v/>
      </c>
      <c r="F691" s="2"/>
      <c r="G691" s="2"/>
    </row>
    <row r="692" spans="1:7" x14ac:dyDescent="0.35">
      <c r="A692">
        <f>'Goodness of fit'!D$6/1000+A691</f>
        <v>11.056000000000008</v>
      </c>
      <c r="B692">
        <f t="shared" si="21"/>
        <v>5.2714389946290543E-3</v>
      </c>
      <c r="C692">
        <f>IF(A692&gt;='Goodness of fit'!$D$3,B692,0)</f>
        <v>5.2714389946290543E-3</v>
      </c>
      <c r="D692" s="2">
        <f t="shared" si="20"/>
        <v>1.142688452338478E-2</v>
      </c>
      <c r="E692" s="18" t="str">
        <f>IF('Goodness of fit'!B692&gt;0,('Goodness of fit'!A692-'Goodness of fit'!B692)^2/'Goodness of fit'!B692,"")</f>
        <v/>
      </c>
      <c r="F692" s="2"/>
      <c r="G692" s="2"/>
    </row>
    <row r="693" spans="1:7" x14ac:dyDescent="0.35">
      <c r="A693">
        <f>'Goodness of fit'!D$6/1000+A692</f>
        <v>11.072000000000008</v>
      </c>
      <c r="B693">
        <f t="shared" si="21"/>
        <v>5.2332183139322305E-3</v>
      </c>
      <c r="C693">
        <f>IF(A693&gt;='Goodness of fit'!$D$3,B693,0)</f>
        <v>5.2332183139322305E-3</v>
      </c>
      <c r="D693" s="2">
        <f t="shared" si="20"/>
        <v>1.1342847628432379E-2</v>
      </c>
      <c r="E693" s="18" t="str">
        <f>IF('Goodness of fit'!B693&gt;0,('Goodness of fit'!A693-'Goodness of fit'!B693)^2/'Goodness of fit'!B693,"")</f>
        <v/>
      </c>
      <c r="F693" s="2"/>
      <c r="G693" s="2"/>
    </row>
    <row r="694" spans="1:7" x14ac:dyDescent="0.35">
      <c r="A694">
        <f>'Goodness of fit'!D$6/1000+A693</f>
        <v>11.088000000000008</v>
      </c>
      <c r="B694">
        <f t="shared" si="21"/>
        <v>5.195269328509243E-3</v>
      </c>
      <c r="C694">
        <f>IF(A694&gt;='Goodness of fit'!$D$3,B694,0)</f>
        <v>5.195269328509243E-3</v>
      </c>
      <c r="D694" s="2">
        <f t="shared" si="20"/>
        <v>1.1259420088299695E-2</v>
      </c>
      <c r="E694" s="18" t="str">
        <f>IF('Goodness of fit'!B694&gt;0,('Goodness of fit'!A694-'Goodness of fit'!B694)^2/'Goodness of fit'!B694,"")</f>
        <v/>
      </c>
      <c r="F694" s="2"/>
      <c r="G694" s="2"/>
    </row>
    <row r="695" spans="1:7" x14ac:dyDescent="0.35">
      <c r="A695">
        <f>'Goodness of fit'!D$6/1000+A694</f>
        <v>11.104000000000008</v>
      </c>
      <c r="B695">
        <f t="shared" si="21"/>
        <v>5.1575901626373585E-3</v>
      </c>
      <c r="C695">
        <f>IF(A695&gt;='Goodness of fit'!$D$3,B695,0)</f>
        <v>5.1575901626373585E-3</v>
      </c>
      <c r="D695" s="2">
        <f t="shared" si="20"/>
        <v>1.1176597570884668E-2</v>
      </c>
      <c r="E695" s="18" t="str">
        <f>IF('Goodness of fit'!B695&gt;0,('Goodness of fit'!A695-'Goodness of fit'!B695)^2/'Goodness of fit'!B695,"")</f>
        <v/>
      </c>
      <c r="F695" s="2"/>
      <c r="G695" s="2"/>
    </row>
    <row r="696" spans="1:7" x14ac:dyDescent="0.35">
      <c r="A696">
        <f>'Goodness of fit'!D$6/1000+A695</f>
        <v>11.120000000000008</v>
      </c>
      <c r="B696">
        <f t="shared" si="21"/>
        <v>5.1201789529500717E-3</v>
      </c>
      <c r="C696">
        <f>IF(A696&gt;='Goodness of fit'!$D$3,B696,0)</f>
        <v>5.1201789529500717E-3</v>
      </c>
      <c r="D696" s="2">
        <f t="shared" si="20"/>
        <v>1.1094375773997831E-2</v>
      </c>
      <c r="E696" s="18" t="str">
        <f>IF('Goodness of fit'!B696&gt;0,('Goodness of fit'!A696-'Goodness of fit'!B696)^2/'Goodness of fit'!B696,"")</f>
        <v/>
      </c>
      <c r="F696" s="2"/>
      <c r="G696" s="2"/>
    </row>
    <row r="697" spans="1:7" x14ac:dyDescent="0.35">
      <c r="A697">
        <f>'Goodness of fit'!D$6/1000+A696</f>
        <v>11.136000000000008</v>
      </c>
      <c r="B697">
        <f t="shared" si="21"/>
        <v>5.0830338483623628E-3</v>
      </c>
      <c r="C697">
        <f>IF(A697&gt;='Goodness of fit'!$D$3,B697,0)</f>
        <v>5.0830338483623628E-3</v>
      </c>
      <c r="D697" s="2">
        <f t="shared" si="20"/>
        <v>1.1012750425165243E-2</v>
      </c>
      <c r="E697" s="18" t="str">
        <f>IF('Goodness of fit'!B697&gt;0,('Goodness of fit'!A697-'Goodness of fit'!B697)^2/'Goodness of fit'!B697,"")</f>
        <v/>
      </c>
      <c r="F697" s="2"/>
      <c r="G697" s="2"/>
    </row>
    <row r="698" spans="1:7" x14ac:dyDescent="0.35">
      <c r="A698">
        <f>'Goodness of fit'!D$6/1000+A697</f>
        <v>11.152000000000008</v>
      </c>
      <c r="B698">
        <f t="shared" si="21"/>
        <v>5.0461530099963252E-3</v>
      </c>
      <c r="C698">
        <f>IF(A698&gt;='Goodness of fit'!$D$3,B698,0)</f>
        <v>5.0461530099963252E-3</v>
      </c>
      <c r="D698" s="2">
        <f t="shared" si="20"/>
        <v>1.0931717281432548E-2</v>
      </c>
      <c r="E698" s="18" t="str">
        <f>IF('Goodness of fit'!B698&gt;0,('Goodness of fit'!A698-'Goodness of fit'!B698)^2/'Goodness of fit'!B698,"")</f>
        <v/>
      </c>
      <c r="F698" s="2"/>
      <c r="G698" s="2"/>
    </row>
    <row r="699" spans="1:7" x14ac:dyDescent="0.35">
      <c r="A699">
        <f>'Goodness of fit'!D$6/1000+A698</f>
        <v>11.168000000000008</v>
      </c>
      <c r="B699">
        <f t="shared" si="21"/>
        <v>5.0095346111071739E-3</v>
      </c>
      <c r="C699">
        <f>IF(A699&gt;='Goodness of fit'!$D$3,B699,0)</f>
        <v>5.0095346111071739E-3</v>
      </c>
      <c r="D699" s="2">
        <f t="shared" si="20"/>
        <v>1.0851272129170293E-2</v>
      </c>
      <c r="E699" s="18" t="str">
        <f>IF('Goodness of fit'!B699&gt;0,('Goodness of fit'!A699-'Goodness of fit'!B699)^2/'Goodness of fit'!B699,"")</f>
        <v/>
      </c>
      <c r="F699" s="2"/>
      <c r="G699" s="2"/>
    </row>
    <row r="700" spans="1:7" x14ac:dyDescent="0.35">
      <c r="A700">
        <f>'Goodness of fit'!D$6/1000+A699</f>
        <v>11.184000000000008</v>
      </c>
      <c r="B700">
        <f t="shared" si="21"/>
        <v>4.9731768370096224E-3</v>
      </c>
      <c r="C700">
        <f>IF(A700&gt;='Goodness of fit'!$D$3,B700,0)</f>
        <v>4.9731768370096224E-3</v>
      </c>
      <c r="D700" s="2">
        <f t="shared" si="20"/>
        <v>1.0771410783880362E-2</v>
      </c>
      <c r="E700" s="18" t="str">
        <f>IF('Goodness of fit'!B700&gt;0,('Goodness of fit'!A700-'Goodness of fit'!B700)^2/'Goodness of fit'!B700,"")</f>
        <v/>
      </c>
      <c r="F700" s="2"/>
      <c r="G700" s="2"/>
    </row>
    <row r="701" spans="1:7" x14ac:dyDescent="0.35">
      <c r="A701">
        <f>'Goodness of fit'!D$6/1000+A700</f>
        <v>11.200000000000008</v>
      </c>
      <c r="B701">
        <f t="shared" si="21"/>
        <v>4.9370778850046084E-3</v>
      </c>
      <c r="C701">
        <f>IF(A701&gt;='Goodness of fit'!$D$3,B701,0)</f>
        <v>4.9370778850046084E-3</v>
      </c>
      <c r="D701" s="2">
        <f t="shared" si="20"/>
        <v>1.0692129090003609E-2</v>
      </c>
      <c r="E701" s="18" t="str">
        <f>IF('Goodness of fit'!B701&gt;0,('Goodness of fit'!A701-'Goodness of fit'!B701)^2/'Goodness of fit'!B701,"")</f>
        <v/>
      </c>
      <c r="F701" s="2"/>
      <c r="G701" s="2"/>
    </row>
    <row r="702" spans="1:7" x14ac:dyDescent="0.35">
      <c r="A702">
        <f>'Goodness of fit'!D$6/1000+A701</f>
        <v>11.216000000000008</v>
      </c>
      <c r="B702">
        <f t="shared" si="21"/>
        <v>4.9012359643064215E-3</v>
      </c>
      <c r="C702">
        <f>IF(A702&gt;='Goodness of fit'!$D$3,B702,0)</f>
        <v>4.9012359643064215E-3</v>
      </c>
      <c r="D702" s="2">
        <f t="shared" si="20"/>
        <v>1.0613422920728682E-2</v>
      </c>
      <c r="E702" s="18" t="str">
        <f>IF('Goodness of fit'!B702&gt;0,('Goodness of fit'!A702-'Goodness of fit'!B702)^2/'Goodness of fit'!B702,"")</f>
        <v/>
      </c>
      <c r="F702" s="2"/>
      <c r="G702" s="2"/>
    </row>
    <row r="703" spans="1:7" x14ac:dyDescent="0.35">
      <c r="A703">
        <f>'Goodness of fit'!D$6/1000+A702</f>
        <v>11.232000000000008</v>
      </c>
      <c r="B703">
        <f t="shared" si="21"/>
        <v>4.8656492959701725E-3</v>
      </c>
      <c r="C703">
        <f>IF(A703&gt;='Goodness of fit'!$D$3,B703,0)</f>
        <v>4.8656492959701725E-3</v>
      </c>
      <c r="D703" s="2">
        <f t="shared" si="20"/>
        <v>1.053528817780197E-2</v>
      </c>
      <c r="E703" s="18" t="str">
        <f>IF('Goodness of fit'!B703&gt;0,('Goodness of fit'!A703-'Goodness of fit'!B703)^2/'Goodness of fit'!B703,"")</f>
        <v/>
      </c>
      <c r="F703" s="2"/>
      <c r="G703" s="2"/>
    </row>
    <row r="704" spans="1:7" x14ac:dyDescent="0.35">
      <c r="A704">
        <f>'Goodness of fit'!D$6/1000+A703</f>
        <v>11.248000000000008</v>
      </c>
      <c r="B704">
        <f t="shared" si="21"/>
        <v>4.8303161128196489E-3</v>
      </c>
      <c r="C704">
        <f>IF(A704&gt;='Goodness of fit'!$D$3,B704,0)</f>
        <v>4.8303161128196489E-3</v>
      </c>
      <c r="D704" s="2">
        <f t="shared" si="20"/>
        <v>1.045772079133872E-2</v>
      </c>
      <c r="E704" s="18" t="str">
        <f>IF('Goodness of fit'!B704&gt;0,('Goodness of fit'!A704-'Goodness of fit'!B704)^2/'Goodness of fit'!B704,"")</f>
        <v/>
      </c>
      <c r="F704" s="2"/>
      <c r="G704" s="2"/>
    </row>
    <row r="705" spans="1:7" x14ac:dyDescent="0.35">
      <c r="A705">
        <f>'Goodness of fit'!D$6/1000+A704</f>
        <v>11.264000000000008</v>
      </c>
      <c r="B705">
        <f t="shared" si="21"/>
        <v>4.7952346593755166E-3</v>
      </c>
      <c r="C705">
        <f>IF(A705&gt;='Goodness of fit'!$D$3,B705,0)</f>
        <v>4.7952346593755166E-3</v>
      </c>
      <c r="D705" s="2">
        <f t="shared" si="20"/>
        <v>1.0380716719635367E-2</v>
      </c>
      <c r="E705" s="18" t="str">
        <f>IF('Goodness of fit'!B705&gt;0,('Goodness of fit'!A705-'Goodness of fit'!B705)^2/'Goodness of fit'!B705,"")</f>
        <v/>
      </c>
      <c r="F705" s="2"/>
      <c r="G705" s="2"/>
    </row>
    <row r="706" spans="1:7" x14ac:dyDescent="0.35">
      <c r="A706">
        <f>'Goodness of fit'!D$6/1000+A705</f>
        <v>11.280000000000008</v>
      </c>
      <c r="B706">
        <f t="shared" si="21"/>
        <v>4.7604031917839072E-3</v>
      </c>
      <c r="C706">
        <f>IF(A706&gt;='Goodness of fit'!$D$3,B706,0)</f>
        <v>4.7604031917839072E-3</v>
      </c>
      <c r="D706" s="2">
        <f t="shared" ref="D706:D769" si="22">CHIDIST(A706,F$1)</f>
        <v>1.0304271948982886E-2</v>
      </c>
      <c r="E706" s="18" t="str">
        <f>IF('Goodness of fit'!B706&gt;0,('Goodness of fit'!A706-'Goodness of fit'!B706)^2/'Goodness of fit'!B706,"")</f>
        <v/>
      </c>
      <c r="F706" s="2"/>
      <c r="G706" s="2"/>
    </row>
    <row r="707" spans="1:7" x14ac:dyDescent="0.35">
      <c r="A707">
        <f>'Goodness of fit'!D$6/1000+A706</f>
        <v>11.296000000000008</v>
      </c>
      <c r="B707">
        <f t="shared" ref="B707:B770" si="23">_xlfn.CHISQ.DIST(A707,F$1,FALSE)</f>
        <v>4.7258199777453552E-3</v>
      </c>
      <c r="C707">
        <f>IF(A707&gt;='Goodness of fit'!$D$3,B707,0)</f>
        <v>4.7258199777453552E-3</v>
      </c>
      <c r="D707" s="2">
        <f t="shared" si="22"/>
        <v>1.0228382493481378E-2</v>
      </c>
      <c r="E707" s="18" t="str">
        <f>IF('Goodness of fit'!B707&gt;0,('Goodness of fit'!A707-'Goodness of fit'!B707)^2/'Goodness of fit'!B707,"")</f>
        <v/>
      </c>
      <c r="F707" s="2"/>
      <c r="G707" s="2"/>
    </row>
    <row r="708" spans="1:7" x14ac:dyDescent="0.35">
      <c r="A708">
        <f>'Goodness of fit'!D$6/1000+A707</f>
        <v>11.312000000000008</v>
      </c>
      <c r="B708">
        <f t="shared" si="23"/>
        <v>4.6914832964441095E-3</v>
      </c>
      <c r="C708">
        <f>IF(A708&gt;='Goodness of fit'!$D$3,B708,0)</f>
        <v>4.6914832964441095E-3</v>
      </c>
      <c r="D708" s="2">
        <f t="shared" si="22"/>
        <v>1.0153044394855797E-2</v>
      </c>
      <c r="E708" s="18" t="str">
        <f>IF('Goodness of fit'!B708&gt;0,('Goodness of fit'!A708-'Goodness of fit'!B708)^2/'Goodness of fit'!B708,"")</f>
        <v/>
      </c>
      <c r="F708" s="2"/>
      <c r="G708" s="2"/>
    </row>
    <row r="709" spans="1:7" x14ac:dyDescent="0.35">
      <c r="A709">
        <f>'Goodness of fit'!D$6/1000+A708</f>
        <v>11.328000000000008</v>
      </c>
      <c r="B709">
        <f t="shared" si="23"/>
        <v>4.6573914384777882E-3</v>
      </c>
      <c r="C709">
        <f>IF(A709&gt;='Goodness of fit'!$D$3,B709,0)</f>
        <v>4.6573914384777882E-3</v>
      </c>
      <c r="D709" s="2">
        <f t="shared" si="22"/>
        <v>1.0078253722272725E-2</v>
      </c>
      <c r="E709" s="18" t="str">
        <f>IF('Goodness of fit'!B709&gt;0,('Goodness of fit'!A709-'Goodness of fit'!B709)^2/'Goodness of fit'!B709,"")</f>
        <v/>
      </c>
      <c r="F709" s="2"/>
      <c r="G709" s="2"/>
    </row>
    <row r="710" spans="1:7" x14ac:dyDescent="0.35">
      <c r="A710">
        <f>'Goodness of fit'!D$6/1000+A709</f>
        <v>11.344000000000008</v>
      </c>
      <c r="B710">
        <f t="shared" si="23"/>
        <v>4.6235427057874298E-3</v>
      </c>
      <c r="C710">
        <f>IF(A710&gt;='Goodness of fit'!$D$3,B710,0)</f>
        <v>4.6235427057874298E-3</v>
      </c>
      <c r="D710" s="2">
        <f t="shared" si="22"/>
        <v>1.0004006572158369E-2</v>
      </c>
      <c r="E710" s="18" t="str">
        <f>IF('Goodness of fit'!B710&gt;0,('Goodness of fit'!A710-'Goodness of fit'!B710)^2/'Goodness of fit'!B710,"")</f>
        <v/>
      </c>
      <c r="F710" s="2"/>
      <c r="G710" s="2"/>
    </row>
    <row r="711" spans="1:7" x14ac:dyDescent="0.35">
      <c r="A711">
        <f>'Goodness of fit'!D$6/1000+A710</f>
        <v>11.360000000000008</v>
      </c>
      <c r="B711">
        <f t="shared" si="23"/>
        <v>4.5899354115878643E-3</v>
      </c>
      <c r="C711">
        <f>IF(A711&gt;='Goodness of fit'!$D$3,B711,0)</f>
        <v>4.5899354115878643E-3</v>
      </c>
      <c r="D711" s="2">
        <f t="shared" si="22"/>
        <v>9.9302990680175708E-3</v>
      </c>
      <c r="E711" s="18" t="str">
        <f>IF('Goodness of fit'!B711&gt;0,('Goodness of fit'!A711-'Goodness of fit'!B711)^2/'Goodness of fit'!B711,"")</f>
        <v/>
      </c>
      <c r="F711" s="2"/>
      <c r="G711" s="2"/>
    </row>
    <row r="712" spans="1:7" x14ac:dyDescent="0.35">
      <c r="A712">
        <f>'Goodness of fit'!D$6/1000+A711</f>
        <v>11.376000000000008</v>
      </c>
      <c r="B712">
        <f t="shared" si="23"/>
        <v>4.5565678802984748E-3</v>
      </c>
      <c r="C712">
        <f>IF(A712&gt;='Goodness of fit'!$D$3,B712,0)</f>
        <v>4.5565678802984748E-3</v>
      </c>
      <c r="D712" s="2">
        <f t="shared" si="22"/>
        <v>9.8571273602540196E-3</v>
      </c>
      <c r="E712" s="18" t="str">
        <f>IF('Goodness of fit'!B712&gt;0,('Goodness of fit'!A712-'Goodness of fit'!B712)^2/'Goodness of fit'!B712,"")</f>
        <v/>
      </c>
      <c r="F712" s="2"/>
      <c r="G712" s="2"/>
    </row>
    <row r="713" spans="1:7" x14ac:dyDescent="0.35">
      <c r="A713">
        <f>'Goodness of fit'!D$6/1000+A712</f>
        <v>11.392000000000008</v>
      </c>
      <c r="B713">
        <f t="shared" si="23"/>
        <v>4.5234384474743088E-3</v>
      </c>
      <c r="C713">
        <f>IF(A713&gt;='Goodness of fit'!$D$3,B713,0)</f>
        <v>4.5234384474743088E-3</v>
      </c>
      <c r="D713" s="2">
        <f t="shared" si="22"/>
        <v>9.7844876259915066E-3</v>
      </c>
      <c r="E713" s="18" t="str">
        <f>IF('Goodness of fit'!B713&gt;0,('Goodness of fit'!A713-'Goodness of fit'!B713)^2/'Goodness of fit'!B713,"")</f>
        <v/>
      </c>
      <c r="F713" s="2"/>
      <c r="G713" s="2"/>
    </row>
    <row r="714" spans="1:7" x14ac:dyDescent="0.35">
      <c r="A714">
        <f>'Goodness of fit'!D$6/1000+A713</f>
        <v>11.408000000000008</v>
      </c>
      <c r="B714">
        <f t="shared" si="23"/>
        <v>4.4905454597375383E-3</v>
      </c>
      <c r="C714">
        <f>IF(A714&gt;='Goodness of fit'!$D$3,B714,0)</f>
        <v>4.4905454597375383E-3</v>
      </c>
      <c r="D714" s="2">
        <f t="shared" si="22"/>
        <v>9.7123760688963261E-3</v>
      </c>
      <c r="E714" s="18" t="str">
        <f>IF('Goodness of fit'!B714&gt;0,('Goodness of fit'!A714-'Goodness of fit'!B714)^2/'Goodness of fit'!B714,"")</f>
        <v/>
      </c>
      <c r="F714" s="2"/>
      <c r="G714" s="2"/>
    </row>
    <row r="715" spans="1:7" x14ac:dyDescent="0.35">
      <c r="A715">
        <f>'Goodness of fit'!D$6/1000+A714</f>
        <v>11.424000000000008</v>
      </c>
      <c r="B715">
        <f t="shared" si="23"/>
        <v>4.4578872747092846E-3</v>
      </c>
      <c r="C715">
        <f>IF(A715&gt;='Goodness of fit'!$D$3,B715,0)</f>
        <v>4.4578872747092846E-3</v>
      </c>
      <c r="D715" s="2">
        <f t="shared" si="22"/>
        <v>9.640788919000734E-3</v>
      </c>
      <c r="E715" s="18" t="str">
        <f>IF('Goodness of fit'!B715&gt;0,('Goodness of fit'!A715-'Goodness of fit'!B715)^2/'Goodness of fit'!B715,"")</f>
        <v/>
      </c>
      <c r="F715" s="2"/>
      <c r="G715" s="2"/>
    </row>
    <row r="716" spans="1:7" x14ac:dyDescent="0.35">
      <c r="A716">
        <f>'Goodness of fit'!D$6/1000+A715</f>
        <v>11.440000000000008</v>
      </c>
      <c r="B716">
        <f t="shared" si="23"/>
        <v>4.4254622609418044E-3</v>
      </c>
      <c r="C716">
        <f>IF(A716&gt;='Goodness of fit'!$D$3,B716,0)</f>
        <v>4.4254622609418044E-3</v>
      </c>
      <c r="D716" s="2">
        <f t="shared" si="22"/>
        <v>9.5697224325275027E-3</v>
      </c>
      <c r="E716" s="18" t="str">
        <f>IF('Goodness of fit'!B716&gt;0,('Goodness of fit'!A716-'Goodness of fit'!B716)^2/'Goodness of fit'!B716,"")</f>
        <v/>
      </c>
      <c r="F716" s="2"/>
      <c r="G716" s="2"/>
    </row>
    <row r="717" spans="1:7" x14ac:dyDescent="0.35">
      <c r="A717">
        <f>'Goodness of fit'!D$6/1000+A716</f>
        <v>11.456000000000008</v>
      </c>
      <c r="B717">
        <f t="shared" si="23"/>
        <v>4.3932687978510219E-3</v>
      </c>
      <c r="C717">
        <f>IF(A717&gt;='Goodness of fit'!$D$3,B717,0)</f>
        <v>4.3932687978510219E-3</v>
      </c>
      <c r="D717" s="2">
        <f t="shared" si="22"/>
        <v>9.4991728917155765E-3</v>
      </c>
      <c r="E717" s="18" t="str">
        <f>IF('Goodness of fit'!B717&gt;0,('Goodness of fit'!A717-'Goodness of fit'!B717)^2/'Goodness of fit'!B717,"")</f>
        <v/>
      </c>
      <c r="F717" s="2"/>
      <c r="G717" s="2"/>
    </row>
    <row r="718" spans="1:7" x14ac:dyDescent="0.35">
      <c r="A718">
        <f>'Goodness of fit'!D$6/1000+A717</f>
        <v>11.472000000000008</v>
      </c>
      <c r="B718">
        <f t="shared" si="23"/>
        <v>4.3613052756494141E-3</v>
      </c>
      <c r="C718">
        <f>IF(A718&gt;='Goodness of fit'!$D$3,B718,0)</f>
        <v>4.3613052756494141E-3</v>
      </c>
      <c r="D718" s="2">
        <f t="shared" si="22"/>
        <v>9.429136604646773E-3</v>
      </c>
      <c r="E718" s="18" t="str">
        <f>IF('Goodness of fit'!B718&gt;0,('Goodness of fit'!A718-'Goodness of fit'!B718)^2/'Goodness of fit'!B718,"")</f>
        <v/>
      </c>
      <c r="F718" s="2"/>
      <c r="G718" s="2"/>
    </row>
    <row r="719" spans="1:7" x14ac:dyDescent="0.35">
      <c r="A719">
        <f>'Goodness of fit'!D$6/1000+A718</f>
        <v>11.488000000000008</v>
      </c>
      <c r="B719">
        <f t="shared" si="23"/>
        <v>4.3295700952792563E-3</v>
      </c>
      <c r="C719">
        <f>IF(A719&gt;='Goodness of fit'!$D$3,B719,0)</f>
        <v>4.3295700952792563E-3</v>
      </c>
      <c r="D719" s="2">
        <f t="shared" si="22"/>
        <v>9.3596099050735869E-3</v>
      </c>
      <c r="E719" s="18" t="str">
        <f>IF('Goodness of fit'!B719&gt;0,('Goodness of fit'!A719-'Goodness of fit'!B719)^2/'Goodness of fit'!B719,"")</f>
        <v/>
      </c>
      <c r="F719" s="2"/>
      <c r="G719" s="2"/>
    </row>
    <row r="720" spans="1:7" x14ac:dyDescent="0.35">
      <c r="A720">
        <f>'Goodness of fit'!D$6/1000+A719</f>
        <v>11.504000000000008</v>
      </c>
      <c r="B720">
        <f t="shared" si="23"/>
        <v>4.298061668346214E-3</v>
      </c>
      <c r="C720">
        <f>IF(A720&gt;='Goodness of fit'!$D$3,B720,0)</f>
        <v>4.298061668346214E-3</v>
      </c>
      <c r="D720" s="2">
        <f t="shared" si="22"/>
        <v>9.2905891522480598E-3</v>
      </c>
      <c r="E720" s="18" t="str">
        <f>IF('Goodness of fit'!B720&gt;0,('Goodness of fit'!A720-'Goodness of fit'!B720)^2/'Goodness of fit'!B720,"")</f>
        <v/>
      </c>
      <c r="F720" s="2"/>
      <c r="G720" s="2"/>
    </row>
    <row r="721" spans="1:7" x14ac:dyDescent="0.35">
      <c r="A721">
        <f>'Goodness of fit'!D$6/1000+A720</f>
        <v>11.520000000000008</v>
      </c>
      <c r="B721">
        <f t="shared" si="23"/>
        <v>4.2667784170532823E-3</v>
      </c>
      <c r="C721">
        <f>IF(A721&gt;='Goodness of fit'!$D$3,B721,0)</f>
        <v>4.2667784170532823E-3</v>
      </c>
      <c r="D721" s="2">
        <f t="shared" si="22"/>
        <v>9.2220707307516369E-3</v>
      </c>
      <c r="E721" s="18" t="str">
        <f>IF('Goodness of fit'!B721&gt;0,('Goodness of fit'!A721-'Goodness of fit'!B721)^2/'Goodness of fit'!B721,"")</f>
        <v/>
      </c>
      <c r="F721" s="2"/>
      <c r="G721" s="2"/>
    </row>
    <row r="722" spans="1:7" x14ac:dyDescent="0.35">
      <c r="A722">
        <f>'Goodness of fit'!D$6/1000+A721</f>
        <v>11.536000000000008</v>
      </c>
      <c r="B722">
        <f t="shared" si="23"/>
        <v>4.2357187741350888E-3</v>
      </c>
      <c r="C722">
        <f>IF(A722&gt;='Goodness of fit'!$D$3,B722,0)</f>
        <v>4.2357187741350888E-3</v>
      </c>
      <c r="D722" s="2">
        <f t="shared" si="22"/>
        <v>9.1540510503262135E-3</v>
      </c>
      <c r="E722" s="18" t="str">
        <f>IF('Goodness of fit'!B722&gt;0,('Goodness of fit'!A722-'Goodness of fit'!B722)^2/'Goodness of fit'!B722,"")</f>
        <v/>
      </c>
      <c r="F722" s="2"/>
      <c r="G722" s="2"/>
    </row>
    <row r="723" spans="1:7" x14ac:dyDescent="0.35">
      <c r="A723">
        <f>'Goodness of fit'!D$6/1000+A722</f>
        <v>11.552000000000008</v>
      </c>
      <c r="B723">
        <f t="shared" si="23"/>
        <v>4.2048811827925265E-3</v>
      </c>
      <c r="C723">
        <f>IF(A723&gt;='Goodness of fit'!$D$3,B723,0)</f>
        <v>4.2048811827925265E-3</v>
      </c>
      <c r="D723" s="2">
        <f t="shared" si="22"/>
        <v>9.0865265457060942E-3</v>
      </c>
      <c r="E723" s="18" t="str">
        <f>IF('Goodness of fit'!B723&gt;0,('Goodness of fit'!A723-'Goodness of fit'!B723)^2/'Goodness of fit'!B723,"")</f>
        <v/>
      </c>
      <c r="F723" s="2"/>
      <c r="G723" s="2"/>
    </row>
    <row r="724" spans="1:7" x14ac:dyDescent="0.35">
      <c r="A724">
        <f>'Goodness of fit'!D$6/1000+A723</f>
        <v>11.568000000000008</v>
      </c>
      <c r="B724">
        <f t="shared" si="23"/>
        <v>4.174264096627747E-3</v>
      </c>
      <c r="C724">
        <f>IF(A724&gt;='Goodness of fit'!$D$3,B724,0)</f>
        <v>4.174264096627747E-3</v>
      </c>
      <c r="D724" s="2">
        <f t="shared" si="22"/>
        <v>9.0194936764510722E-3</v>
      </c>
      <c r="E724" s="18" t="str">
        <f>IF('Goodness of fit'!B724&gt;0,('Goodness of fit'!A724-'Goodness of fit'!B724)^2/'Goodness of fit'!B724,"")</f>
        <v/>
      </c>
      <c r="F724" s="2"/>
      <c r="G724" s="2"/>
    </row>
    <row r="725" spans="1:7" x14ac:dyDescent="0.35">
      <c r="A725">
        <f>'Goodness of fit'!D$6/1000+A724</f>
        <v>11.584000000000009</v>
      </c>
      <c r="B725">
        <f t="shared" si="23"/>
        <v>4.1438659795794914E-3</v>
      </c>
      <c r="C725">
        <f>IF(A725&gt;='Goodness of fit'!$D$3,B725,0)</f>
        <v>4.1438659795794914E-3</v>
      </c>
      <c r="D725" s="2">
        <f t="shared" si="22"/>
        <v>8.9529489267805452E-3</v>
      </c>
      <c r="E725" s="18" t="str">
        <f>IF('Goodness of fit'!B725&gt;0,('Goodness of fit'!A725-'Goodness of fit'!B725)^2/'Goodness of fit'!B725,"")</f>
        <v/>
      </c>
      <c r="F725" s="2"/>
      <c r="G725" s="2"/>
    </row>
    <row r="726" spans="1:7" x14ac:dyDescent="0.35">
      <c r="A726">
        <f>'Goodness of fit'!D$6/1000+A725</f>
        <v>11.600000000000009</v>
      </c>
      <c r="B726">
        <f t="shared" si="23"/>
        <v>4.1136853058587825E-3</v>
      </c>
      <c r="C726">
        <f>IF(A726&gt;='Goodness of fit'!$D$3,B726,0)</f>
        <v>4.1136853058587825E-3</v>
      </c>
      <c r="D726" s="2">
        <f t="shared" si="22"/>
        <v>8.886888805408593E-3</v>
      </c>
      <c r="E726" s="18" t="str">
        <f>IF('Goodness of fit'!B726&gt;0,('Goodness of fit'!A726-'Goodness of fit'!B726)^2/'Goodness of fit'!B726,"")</f>
        <v/>
      </c>
      <c r="F726" s="2"/>
      <c r="G726" s="2"/>
    </row>
    <row r="727" spans="1:7" x14ac:dyDescent="0.35">
      <c r="A727">
        <f>'Goodness of fit'!D$6/1000+A726</f>
        <v>11.616000000000009</v>
      </c>
      <c r="B727">
        <f t="shared" si="23"/>
        <v>4.0837205598849334E-3</v>
      </c>
      <c r="C727">
        <f>IF(A727&gt;='Goodness of fit'!$D$3,B727,0)</f>
        <v>4.0837205598849334E-3</v>
      </c>
      <c r="D727" s="2">
        <f t="shared" si="22"/>
        <v>8.8213098453802166E-3</v>
      </c>
      <c r="E727" s="18" t="str">
        <f>IF('Goodness of fit'!B727&gt;0,('Goodness of fit'!A727-'Goodness of fit'!B727)^2/'Goodness of fit'!B727,"")</f>
        <v/>
      </c>
      <c r="F727" s="2"/>
      <c r="G727" s="2"/>
    </row>
    <row r="728" spans="1:7" x14ac:dyDescent="0.35">
      <c r="A728">
        <f>'Goodness of fit'!D$6/1000+A727</f>
        <v>11.632000000000009</v>
      </c>
      <c r="B728">
        <f t="shared" si="23"/>
        <v>4.0539702362219305E-3</v>
      </c>
      <c r="C728">
        <f>IF(A728&gt;='Goodness of fit'!$D$3,B728,0)</f>
        <v>4.0539702362219305E-3</v>
      </c>
      <c r="D728" s="2">
        <f t="shared" si="22"/>
        <v>8.7562086039084143E-3</v>
      </c>
      <c r="E728" s="18" t="str">
        <f>IF('Goodness of fit'!B728&gt;0,('Goodness of fit'!A728-'Goodness of fit'!B728)^2/'Goodness of fit'!B728,"")</f>
        <v/>
      </c>
      <c r="F728" s="2"/>
      <c r="G728" s="2"/>
    </row>
    <row r="729" spans="1:7" x14ac:dyDescent="0.35">
      <c r="A729">
        <f>'Goodness of fit'!D$6/1000+A728</f>
        <v>11.648000000000009</v>
      </c>
      <c r="B729">
        <f t="shared" si="23"/>
        <v>4.0244328395151342E-3</v>
      </c>
      <c r="C729">
        <f>IF(A729&gt;='Goodness of fit'!$D$3,B729,0)</f>
        <v>4.0244328395151342E-3</v>
      </c>
      <c r="D729" s="2">
        <f t="shared" si="22"/>
        <v>8.6915816622124605E-3</v>
      </c>
      <c r="E729" s="18" t="str">
        <f>IF('Goodness of fit'!B729&gt;0,('Goodness of fit'!A729-'Goodness of fit'!B729)^2/'Goodness of fit'!B729,"")</f>
        <v/>
      </c>
      <c r="F729" s="2"/>
      <c r="G729" s="2"/>
    </row>
    <row r="730" spans="1:7" x14ac:dyDescent="0.35">
      <c r="A730">
        <f>'Goodness of fit'!D$6/1000+A729</f>
        <v>11.664000000000009</v>
      </c>
      <c r="B730">
        <f t="shared" si="23"/>
        <v>3.9951068844283301E-3</v>
      </c>
      <c r="C730">
        <f>IF(A730&gt;='Goodness of fit'!$D$3,B730,0)</f>
        <v>3.9951068844283301E-3</v>
      </c>
      <c r="D730" s="2">
        <f t="shared" si="22"/>
        <v>8.6274256253570589E-3</v>
      </c>
      <c r="E730" s="18" t="str">
        <f>IF('Goodness of fit'!B730&gt;0,('Goodness of fit'!A730-'Goodness of fit'!B730)^2/'Goodness of fit'!B730,"")</f>
        <v/>
      </c>
      <c r="F730" s="2"/>
      <c r="G730" s="2"/>
    </row>
    <row r="731" spans="1:7" x14ac:dyDescent="0.35">
      <c r="A731">
        <f>'Goodness of fit'!D$6/1000+A730</f>
        <v>11.680000000000009</v>
      </c>
      <c r="B731">
        <f t="shared" si="23"/>
        <v>3.9659908955811222E-3</v>
      </c>
      <c r="C731">
        <f>IF(A731&gt;='Goodness of fit'!$D$3,B731,0)</f>
        <v>3.9659908955811222E-3</v>
      </c>
      <c r="D731" s="2">
        <f t="shared" si="22"/>
        <v>8.5637371220925636E-3</v>
      </c>
      <c r="E731" s="18" t="str">
        <f>IF('Goodness of fit'!B731&gt;0,('Goodness of fit'!A731-'Goodness of fit'!B731)^2/'Goodness of fit'!B731,"")</f>
        <v/>
      </c>
      <c r="F731" s="2"/>
      <c r="G731" s="2"/>
    </row>
    <row r="732" spans="1:7" x14ac:dyDescent="0.35">
      <c r="A732">
        <f>'Goodness of fit'!D$6/1000+A731</f>
        <v>11.696000000000009</v>
      </c>
      <c r="B732">
        <f t="shared" si="23"/>
        <v>3.9370834074866573E-3</v>
      </c>
      <c r="C732">
        <f>IF(A732&gt;='Goodness of fit'!$D$3,B732,0)</f>
        <v>3.9370834074866573E-3</v>
      </c>
      <c r="D732" s="2">
        <f t="shared" si="22"/>
        <v>8.5005128046961968E-3</v>
      </c>
      <c r="E732" s="18" t="str">
        <f>IF('Goodness of fit'!B732&gt;0,('Goodness of fit'!A732-'Goodness of fit'!B732)^2/'Goodness of fit'!B732,"")</f>
        <v/>
      </c>
      <c r="F732" s="2"/>
      <c r="G732" s="2"/>
    </row>
    <row r="733" spans="1:7" x14ac:dyDescent="0.35">
      <c r="A733">
        <f>'Goodness of fit'!D$6/1000+A732</f>
        <v>11.712000000000009</v>
      </c>
      <c r="B733">
        <f t="shared" si="23"/>
        <v>3.9083829644896975E-3</v>
      </c>
      <c r="C733">
        <f>IF(A733&gt;='Goodness of fit'!$D$3,B733,0)</f>
        <v>3.9083829644896975E-3</v>
      </c>
      <c r="D733" s="2">
        <f t="shared" si="22"/>
        <v>8.4377493488142098E-3</v>
      </c>
      <c r="E733" s="18" t="str">
        <f>IF('Goodness of fit'!B733&gt;0,('Goodness of fit'!A733-'Goodness of fit'!B733)^2/'Goodness of fit'!B733,"")</f>
        <v/>
      </c>
      <c r="F733" s="2"/>
      <c r="G733" s="2"/>
    </row>
    <row r="734" spans="1:7" x14ac:dyDescent="0.35">
      <c r="A734">
        <f>'Goodness of fit'!D$6/1000+A733</f>
        <v>11.728000000000009</v>
      </c>
      <c r="B734">
        <f t="shared" si="23"/>
        <v>3.8798881207050182E-3</v>
      </c>
      <c r="C734">
        <f>IF(A734&gt;='Goodness of fit'!$D$3,B734,0)</f>
        <v>3.8798881207050182E-3</v>
      </c>
      <c r="D734" s="2">
        <f t="shared" si="22"/>
        <v>8.3754434533051206E-3</v>
      </c>
      <c r="E734" s="18" t="str">
        <f>IF('Goodness of fit'!B734&gt;0,('Goodness of fit'!A734-'Goodness of fit'!B734)^2/'Goodness of fit'!B734,"")</f>
        <v/>
      </c>
      <c r="F734" s="2"/>
      <c r="G734" s="2"/>
    </row>
    <row r="735" spans="1:7" x14ac:dyDescent="0.35">
      <c r="A735">
        <f>'Goodness of fit'!D$6/1000+A734</f>
        <v>11.744000000000009</v>
      </c>
      <c r="B735">
        <f t="shared" si="23"/>
        <v>3.8515974399561405E-3</v>
      </c>
      <c r="C735">
        <f>IF(A735&gt;='Goodness of fit'!$D$3,B735,0)</f>
        <v>3.8515974399561405E-3</v>
      </c>
      <c r="D735" s="2">
        <f t="shared" si="22"/>
        <v>8.3135918400838449E-3</v>
      </c>
      <c r="E735" s="18" t="str">
        <f>IF('Goodness of fit'!B735&gt;0,('Goodness of fit'!A735-'Goodness of fit'!B735)^2/'Goodness of fit'!B735,"")</f>
        <v/>
      </c>
      <c r="F735" s="2"/>
      <c r="G735" s="2"/>
    </row>
    <row r="736" spans="1:7" x14ac:dyDescent="0.35">
      <c r="A736">
        <f>'Goodness of fit'!D$6/1000+A735</f>
        <v>11.760000000000009</v>
      </c>
      <c r="B736">
        <f t="shared" si="23"/>
        <v>3.8235094957144119E-3</v>
      </c>
      <c r="C736">
        <f>IF(A736&gt;='Goodness of fit'!$D$3,B736,0)</f>
        <v>3.8235094957144119E-3</v>
      </c>
      <c r="D736" s="2">
        <f t="shared" si="22"/>
        <v>8.2521912539668535E-3</v>
      </c>
      <c r="E736" s="18" t="str">
        <f>IF('Goodness of fit'!B736&gt;0,('Goodness of fit'!A736-'Goodness of fit'!B736)^2/'Goodness of fit'!B736,"")</f>
        <v/>
      </c>
      <c r="F736" s="2"/>
      <c r="G736" s="2"/>
    </row>
    <row r="737" spans="1:7" x14ac:dyDescent="0.35">
      <c r="A737">
        <f>'Goodness of fit'!D$6/1000+A736</f>
        <v>11.776000000000009</v>
      </c>
      <c r="B737">
        <f t="shared" si="23"/>
        <v>3.7956228710384001E-3</v>
      </c>
      <c r="C737">
        <f>IF(A737&gt;='Goodness of fit'!$D$3,B737,0)</f>
        <v>3.7956228710384001E-3</v>
      </c>
      <c r="D737" s="2">
        <f t="shared" si="22"/>
        <v>8.1912384625183222E-3</v>
      </c>
      <c r="E737" s="18" t="str">
        <f>IF('Goodness of fit'!B737&gt;0,('Goodness of fit'!A737-'Goodness of fit'!B737)^2/'Goodness of fit'!B737,"")</f>
        <v/>
      </c>
      <c r="F737" s="2"/>
      <c r="G737" s="2"/>
    </row>
    <row r="738" spans="1:7" x14ac:dyDescent="0.35">
      <c r="A738">
        <f>'Goodness of fit'!D$6/1000+A737</f>
        <v>11.792000000000009</v>
      </c>
      <c r="B738">
        <f t="shared" si="23"/>
        <v>3.7679361585136327E-3</v>
      </c>
      <c r="C738">
        <f>IF(A738&gt;='Goodness of fit'!$D$3,B738,0)</f>
        <v>3.7679361585136327E-3</v>
      </c>
      <c r="D738" s="2">
        <f t="shared" si="22"/>
        <v>8.130730255897169E-3</v>
      </c>
      <c r="E738" s="18" t="str">
        <f>IF('Goodness of fit'!B738&gt;0,('Goodness of fit'!A738-'Goodness of fit'!B738)^2/'Goodness of fit'!B738,"")</f>
        <v/>
      </c>
      <c r="F738" s="2"/>
      <c r="G738" s="2"/>
    </row>
    <row r="739" spans="1:7" x14ac:dyDescent="0.35">
      <c r="A739">
        <f>'Goodness of fit'!D$6/1000+A738</f>
        <v>11.808000000000009</v>
      </c>
      <c r="B739">
        <f t="shared" si="23"/>
        <v>3.7404479601926676E-3</v>
      </c>
      <c r="C739">
        <f>IF(A739&gt;='Goodness of fit'!$D$3,B739,0)</f>
        <v>3.7404479601926676E-3</v>
      </c>
      <c r="D739" s="2">
        <f t="shared" si="22"/>
        <v>8.0706634467051404E-3</v>
      </c>
      <c r="E739" s="18" t="str">
        <f>IF('Goodness of fit'!B739&gt;0,('Goodness of fit'!A739-'Goodness of fit'!B739)^2/'Goodness of fit'!B739,"")</f>
        <v/>
      </c>
      <c r="F739" s="2"/>
      <c r="G739" s="2"/>
    </row>
    <row r="740" spans="1:7" x14ac:dyDescent="0.35">
      <c r="A740">
        <f>'Goodness of fit'!D$6/1000+A739</f>
        <v>11.824000000000009</v>
      </c>
      <c r="B740">
        <f t="shared" si="23"/>
        <v>3.7131568875354778E-3</v>
      </c>
      <c r="C740">
        <f>IF(A740&gt;='Goodness of fit'!$D$3,B740,0)</f>
        <v>3.7131568875354778E-3</v>
      </c>
      <c r="D740" s="2">
        <f t="shared" si="22"/>
        <v>8.0110348698357956E-3</v>
      </c>
      <c r="E740" s="18" t="str">
        <f>IF('Goodness of fit'!B740&gt;0,('Goodness of fit'!A740-'Goodness of fit'!B740)^2/'Goodness of fit'!B740,"")</f>
        <v/>
      </c>
      <c r="F740" s="2"/>
      <c r="G740" s="2"/>
    </row>
    <row r="741" spans="1:7" x14ac:dyDescent="0.35">
      <c r="A741">
        <f>'Goodness of fit'!D$6/1000+A740</f>
        <v>11.840000000000009</v>
      </c>
      <c r="B741">
        <f t="shared" si="23"/>
        <v>3.686061561350173E-3</v>
      </c>
      <c r="C741">
        <f>IF(A741&gt;='Goodness of fit'!$D$3,B741,0)</f>
        <v>3.686061561350173E-3</v>
      </c>
      <c r="D741" s="2">
        <f t="shared" si="22"/>
        <v>7.9518413823244701E-3</v>
      </c>
      <c r="E741" s="18" t="str">
        <f>IF('Goodness of fit'!B741&gt;0,('Goodness of fit'!A741-'Goodness of fit'!B741)^2/'Goodness of fit'!B741,"")</f>
        <v/>
      </c>
      <c r="F741" s="2"/>
      <c r="G741" s="2"/>
    </row>
    <row r="742" spans="1:7" x14ac:dyDescent="0.35">
      <c r="A742">
        <f>'Goodness of fit'!D$6/1000+A741</f>
        <v>11.856000000000009</v>
      </c>
      <c r="B742">
        <f t="shared" si="23"/>
        <v>3.6591606117340617E-3</v>
      </c>
      <c r="C742">
        <f>IF(A742&gt;='Goodness of fit'!$D$3,B742,0)</f>
        <v>3.6591606117340617E-3</v>
      </c>
      <c r="D742" s="2">
        <f t="shared" si="22"/>
        <v>7.8930798631991917E-3</v>
      </c>
      <c r="E742" s="18" t="str">
        <f>IF('Goodness of fit'!B742&gt;0,('Goodness of fit'!A742-'Goodness of fit'!B742)^2/'Goodness of fit'!B742,"")</f>
        <v/>
      </c>
      <c r="F742" s="2"/>
      <c r="G742" s="2"/>
    </row>
    <row r="743" spans="1:7" x14ac:dyDescent="0.35">
      <c r="A743">
        <f>'Goodness of fit'!D$6/1000+A742</f>
        <v>11.872000000000009</v>
      </c>
      <c r="B743">
        <f t="shared" si="23"/>
        <v>3.6324526780150126E-3</v>
      </c>
      <c r="C743">
        <f>IF(A743&gt;='Goodness of fit'!$D$3,B743,0)</f>
        <v>3.6324526780150126E-3</v>
      </c>
      <c r="D743" s="2">
        <f t="shared" si="22"/>
        <v>7.8347472133324953E-3</v>
      </c>
      <c r="E743" s="18" t="str">
        <f>IF('Goodness of fit'!B743&gt;0,('Goodness of fit'!A743-'Goodness of fit'!B743)^2/'Goodness of fit'!B743,"")</f>
        <v/>
      </c>
      <c r="F743" s="2"/>
      <c r="G743" s="2"/>
    </row>
    <row r="744" spans="1:7" x14ac:dyDescent="0.35">
      <c r="A744">
        <f>'Goodness of fit'!D$6/1000+A743</f>
        <v>11.888000000000009</v>
      </c>
      <c r="B744">
        <f t="shared" si="23"/>
        <v>3.6059364086931541E-3</v>
      </c>
      <c r="C744">
        <f>IF(A744&gt;='Goodness of fit'!$D$3,B744,0)</f>
        <v>3.6059364086931541E-3</v>
      </c>
      <c r="D744" s="2">
        <f t="shared" si="22"/>
        <v>7.7768403552942143E-3</v>
      </c>
      <c r="E744" s="18" t="str">
        <f>IF('Goodness of fit'!B744&gt;0,('Goodness of fit'!A744-'Goodness of fit'!B744)^2/'Goodness of fit'!B744,"")</f>
        <v/>
      </c>
      <c r="F744" s="2"/>
      <c r="G744" s="2"/>
    </row>
    <row r="745" spans="1:7" x14ac:dyDescent="0.35">
      <c r="A745">
        <f>'Goodness of fit'!D$6/1000+A744</f>
        <v>11.904000000000009</v>
      </c>
      <c r="B745">
        <f t="shared" si="23"/>
        <v>3.5796104613829076E-3</v>
      </c>
      <c r="C745">
        <f>IF(A745&gt;='Goodness of fit'!$D$3,B745,0)</f>
        <v>3.5796104613829076E-3</v>
      </c>
      <c r="D745" s="2">
        <f t="shared" si="22"/>
        <v>7.719356233205194E-3</v>
      </c>
      <c r="E745" s="18" t="str">
        <f>IF('Goodness of fit'!B745&gt;0,('Goodness of fit'!A745-'Goodness of fit'!B745)^2/'Goodness of fit'!B745,"")</f>
        <v/>
      </c>
      <c r="F745" s="2"/>
      <c r="G745" s="2"/>
    </row>
    <row r="746" spans="1:7" x14ac:dyDescent="0.35">
      <c r="A746">
        <f>'Goodness of fit'!D$6/1000+A745</f>
        <v>11.920000000000009</v>
      </c>
      <c r="B746">
        <f t="shared" si="23"/>
        <v>3.5534735027553162E-3</v>
      </c>
      <c r="C746">
        <f>IF(A746&gt;='Goodness of fit'!$D$3,B746,0)</f>
        <v>3.5534735027553162E-3</v>
      </c>
      <c r="D746" s="2">
        <f t="shared" si="22"/>
        <v>7.6622918125919216E-3</v>
      </c>
      <c r="E746" s="18" t="str">
        <f>IF('Goodness of fit'!B746&gt;0,('Goodness of fit'!A746-'Goodness of fit'!B746)^2/'Goodness of fit'!B746,"")</f>
        <v/>
      </c>
      <c r="F746" s="2"/>
      <c r="G746" s="2"/>
    </row>
    <row r="747" spans="1:7" x14ac:dyDescent="0.35">
      <c r="A747">
        <f>'Goodness of fit'!D$6/1000+A746</f>
        <v>11.936000000000009</v>
      </c>
      <c r="B747">
        <f t="shared" si="23"/>
        <v>3.5275242084807194E-3</v>
      </c>
      <c r="C747">
        <f>IF(A747&gt;='Goodness of fit'!$D$3,B747,0)</f>
        <v>3.5275242084807194E-3</v>
      </c>
      <c r="D747" s="2">
        <f t="shared" si="22"/>
        <v>7.6056440802420681E-3</v>
      </c>
      <c r="E747" s="18" t="str">
        <f>IF('Goodness of fit'!B747&gt;0,('Goodness of fit'!A747-'Goodness of fit'!B747)^2/'Goodness of fit'!B747,"")</f>
        <v/>
      </c>
      <c r="F747" s="2"/>
      <c r="G747" s="2"/>
    </row>
    <row r="748" spans="1:7" x14ac:dyDescent="0.35">
      <c r="A748">
        <f>'Goodness of fit'!D$6/1000+A747</f>
        <v>11.952000000000009</v>
      </c>
      <c r="B748">
        <f t="shared" si="23"/>
        <v>3.50176126317173E-3</v>
      </c>
      <c r="C748">
        <f>IF(A748&gt;='Goodness of fit'!$D$3,B748,0)</f>
        <v>3.50176126317173E-3</v>
      </c>
      <c r="D748" s="2">
        <f t="shared" si="22"/>
        <v>7.5494100440609644E-3</v>
      </c>
      <c r="E748" s="18" t="str">
        <f>IF('Goodness of fit'!B748&gt;0,('Goodness of fit'!A748-'Goodness of fit'!B748)^2/'Goodness of fit'!B748,"")</f>
        <v/>
      </c>
      <c r="F748" s="2"/>
      <c r="G748" s="2"/>
    </row>
    <row r="749" spans="1:7" x14ac:dyDescent="0.35">
      <c r="A749">
        <f>'Goodness of fit'!D$6/1000+A748</f>
        <v>11.968000000000009</v>
      </c>
      <c r="B749">
        <f t="shared" si="23"/>
        <v>3.4761833603265398E-3</v>
      </c>
      <c r="C749">
        <f>IF(A749&gt;='Goodness of fit'!$D$3,B749,0)</f>
        <v>3.4761833603265398E-3</v>
      </c>
      <c r="D749" s="2">
        <f t="shared" si="22"/>
        <v>7.4935867329290022E-3</v>
      </c>
      <c r="E749" s="18" t="str">
        <f>IF('Goodness of fit'!B749&gt;0,('Goodness of fit'!A749-'Goodness of fit'!B749)^2/'Goodness of fit'!B749,"")</f>
        <v/>
      </c>
      <c r="F749" s="2"/>
      <c r="G749" s="2"/>
    </row>
    <row r="750" spans="1:7" x14ac:dyDescent="0.35">
      <c r="A750">
        <f>'Goodness of fit'!D$6/1000+A749</f>
        <v>11.984000000000009</v>
      </c>
      <c r="B750">
        <f t="shared" si="23"/>
        <v>3.4507892022725387E-3</v>
      </c>
      <c r="C750">
        <f>IF(A750&gt;='Goodness of fit'!$D$3,B750,0)</f>
        <v>3.4507892022725387E-3</v>
      </c>
      <c r="D750" s="2">
        <f t="shared" si="22"/>
        <v>7.4381711965598573E-3</v>
      </c>
      <c r="E750" s="18" t="str">
        <f>IF('Goodness of fit'!B750&gt;0,('Goodness of fit'!A750-'Goodness of fit'!B750)^2/'Goodness of fit'!B750,"")</f>
        <v/>
      </c>
      <c r="F750" s="2"/>
      <c r="G750" s="2"/>
    </row>
    <row r="751" spans="1:7" x14ac:dyDescent="0.35">
      <c r="A751">
        <f>'Goodness of fit'!D$6/1000+A750</f>
        <v>12.000000000000009</v>
      </c>
      <c r="B751">
        <f t="shared" si="23"/>
        <v>3.4255775001102474E-3</v>
      </c>
      <c r="C751">
        <f>IF(A751&gt;='Goodness of fit'!$D$3,B751,0)</f>
        <v>3.4255775001102474E-3</v>
      </c>
      <c r="D751" s="2">
        <f t="shared" si="22"/>
        <v>7.3831605053597382E-3</v>
      </c>
      <c r="E751" s="18" t="str">
        <f>IF('Goodness of fit'!B751&gt;0,('Goodness of fit'!A751-'Goodness of fit'!B751)^2/'Goodness of fit'!B751,"")</f>
        <v/>
      </c>
      <c r="F751" s="2"/>
      <c r="G751" s="2"/>
    </row>
    <row r="752" spans="1:7" x14ac:dyDescent="0.35">
      <c r="A752">
        <f>'Goodness of fit'!D$6/1000+A751</f>
        <v>12.016000000000009</v>
      </c>
      <c r="B752">
        <f t="shared" si="23"/>
        <v>3.4005469736575647E-3</v>
      </c>
      <c r="C752">
        <f>IF(A752&gt;='Goodness of fit'!$D$3,B752,0)</f>
        <v>3.4005469736575647E-3</v>
      </c>
      <c r="D752" s="2">
        <f t="shared" si="22"/>
        <v>7.328551750287419E-3</v>
      </c>
      <c r="E752" s="18" t="str">
        <f>IF('Goodness of fit'!B752&gt;0,('Goodness of fit'!A752-'Goodness of fit'!B752)^2/'Goodness of fit'!B752,"")</f>
        <v/>
      </c>
      <c r="F752" s="2"/>
      <c r="G752" s="2"/>
    </row>
    <row r="753" spans="1:7" x14ac:dyDescent="0.35">
      <c r="A753">
        <f>'Goodness of fit'!D$6/1000+A752</f>
        <v>12.032000000000009</v>
      </c>
      <c r="B753">
        <f t="shared" si="23"/>
        <v>3.3756963513943312E-3</v>
      </c>
      <c r="C753">
        <f>IF(A753&gt;='Goodness of fit'!$D$3,B753,0)</f>
        <v>3.3756963513943312E-3</v>
      </c>
      <c r="D753" s="2">
        <f t="shared" si="22"/>
        <v>7.2743420427152147E-3</v>
      </c>
      <c r="E753" s="18" t="str">
        <f>IF('Goodness of fit'!B753&gt;0,('Goodness of fit'!A753-'Goodness of fit'!B753)^2/'Goodness of fit'!B753,"")</f>
        <v/>
      </c>
      <c r="F753" s="2"/>
      <c r="G753" s="2"/>
    </row>
    <row r="754" spans="1:7" x14ac:dyDescent="0.35">
      <c r="A754">
        <f>'Goodness of fit'!D$6/1000+A753</f>
        <v>12.048000000000009</v>
      </c>
      <c r="B754">
        <f t="shared" si="23"/>
        <v>3.3510243704072064E-3</v>
      </c>
      <c r="C754">
        <f>IF(A754&gt;='Goodness of fit'!$D$3,B754,0)</f>
        <v>3.3510243704072064E-3</v>
      </c>
      <c r="D754" s="2">
        <f t="shared" si="22"/>
        <v>7.2205285142908464E-3</v>
      </c>
      <c r="E754" s="18" t="str">
        <f>IF('Goodness of fit'!B754&gt;0,('Goodness of fit'!A754-'Goodness of fit'!B754)^2/'Goodness of fit'!B754,"")</f>
        <v/>
      </c>
      <c r="F754" s="2"/>
      <c r="G754" s="2"/>
    </row>
    <row r="755" spans="1:7" x14ac:dyDescent="0.35">
      <c r="A755">
        <f>'Goodness of fit'!D$6/1000+A754</f>
        <v>12.064000000000009</v>
      </c>
      <c r="B755">
        <f t="shared" si="23"/>
        <v>3.3265297763348475E-3</v>
      </c>
      <c r="C755">
        <f>IF(A755&gt;='Goodness of fit'!$D$3,B755,0)</f>
        <v>3.3265297763348475E-3</v>
      </c>
      <c r="D755" s="2">
        <f t="shared" si="22"/>
        <v>7.1671083168001514E-3</v>
      </c>
      <c r="E755" s="18" t="str">
        <f>IF('Goodness of fit'!B755&gt;0,('Goodness of fit'!A755-'Goodness of fit'!B755)^2/'Goodness of fit'!B755,"")</f>
        <v/>
      </c>
      <c r="F755" s="2"/>
      <c r="G755" s="2"/>
    </row>
    <row r="756" spans="1:7" x14ac:dyDescent="0.35">
      <c r="A756">
        <f>'Goodness of fit'!D$6/1000+A755</f>
        <v>12.080000000000009</v>
      </c>
      <c r="B756">
        <f t="shared" si="23"/>
        <v>3.3022113233134071E-3</v>
      </c>
      <c r="C756">
        <f>IF(A756&gt;='Goodness of fit'!$D$3,B756,0)</f>
        <v>3.3022113233134071E-3</v>
      </c>
      <c r="D756" s="2">
        <f t="shared" si="22"/>
        <v>7.1140786220306954E-3</v>
      </c>
      <c r="E756" s="18" t="str">
        <f>IF('Goodness of fit'!B756&gt;0,('Goodness of fit'!A756-'Goodness of fit'!B756)^2/'Goodness of fit'!B756,"")</f>
        <v/>
      </c>
      <c r="F756" s="2"/>
      <c r="G756" s="2"/>
    </row>
    <row r="757" spans="1:7" x14ac:dyDescent="0.35">
      <c r="A757">
        <f>'Goodness of fit'!D$6/1000+A756</f>
        <v>12.096000000000009</v>
      </c>
      <c r="B757">
        <f t="shared" si="23"/>
        <v>3.2780677739223359E-3</v>
      </c>
      <c r="C757">
        <f>IF(A757&gt;='Goodness of fit'!$D$3,B757,0)</f>
        <v>3.2780677739223359E-3</v>
      </c>
      <c r="D757" s="2">
        <f t="shared" si="22"/>
        <v>7.061436621636252E-3</v>
      </c>
      <c r="E757" s="18" t="str">
        <f>IF('Goodness of fit'!B757&gt;0,('Goodness of fit'!A757-'Goodness of fit'!B757)^2/'Goodness of fit'!B757,"")</f>
        <v/>
      </c>
      <c r="F757" s="2"/>
      <c r="G757" s="2"/>
    </row>
    <row r="758" spans="1:7" x14ac:dyDescent="0.35">
      <c r="A758">
        <f>'Goodness of fit'!D$6/1000+A757</f>
        <v>12.112000000000009</v>
      </c>
      <c r="B758">
        <f t="shared" si="23"/>
        <v>3.2540978991304923E-3</v>
      </c>
      <c r="C758">
        <f>IF(A758&gt;='Goodness of fit'!$D$3,B758,0)</f>
        <v>3.2540978991304923E-3</v>
      </c>
      <c r="D758" s="2">
        <f t="shared" si="22"/>
        <v>7.0091795270021346E-3</v>
      </c>
      <c r="E758" s="18" t="str">
        <f>IF('Goodness of fit'!B758&gt;0,('Goodness of fit'!A758-'Goodness of fit'!B758)^2/'Goodness of fit'!B758,"")</f>
        <v/>
      </c>
      <c r="F758" s="2"/>
      <c r="G758" s="2"/>
    </row>
    <row r="759" spans="1:7" x14ac:dyDescent="0.35">
      <c r="A759">
        <f>'Goodness of fit'!D$6/1000+A758</f>
        <v>12.128000000000009</v>
      </c>
      <c r="B759">
        <f t="shared" si="23"/>
        <v>3.2303004782425543E-3</v>
      </c>
      <c r="C759">
        <f>IF(A759&gt;='Goodness of fit'!$D$3,B759,0)</f>
        <v>3.2303004782425543E-3</v>
      </c>
      <c r="D759" s="2">
        <f t="shared" si="22"/>
        <v>6.9573045691113918E-3</v>
      </c>
      <c r="E759" s="18" t="str">
        <f>IF('Goodness of fit'!B759&gt;0,('Goodness of fit'!A759-'Goodness of fit'!B759)^2/'Goodness of fit'!B759,"")</f>
        <v/>
      </c>
      <c r="F759" s="2"/>
      <c r="G759" s="2"/>
    </row>
    <row r="760" spans="1:7" x14ac:dyDescent="0.35">
      <c r="A760">
        <f>'Goodness of fit'!D$6/1000+A759</f>
        <v>12.144000000000009</v>
      </c>
      <c r="B760">
        <f t="shared" si="23"/>
        <v>3.2066742988457416E-3</v>
      </c>
      <c r="C760">
        <f>IF(A760&gt;='Goodness of fit'!$D$3,B760,0)</f>
        <v>3.2066742988457416E-3</v>
      </c>
      <c r="D760" s="2">
        <f t="shared" si="22"/>
        <v>6.9058089984118847E-3</v>
      </c>
      <c r="E760" s="18" t="str">
        <f>IF('Goodness of fit'!B760&gt;0,('Goodness of fit'!A760-'Goodness of fit'!B760)^2/'Goodness of fit'!B760,"")</f>
        <v/>
      </c>
      <c r="F760" s="2"/>
      <c r="G760" s="2"/>
    </row>
    <row r="761" spans="1:7" x14ac:dyDescent="0.35">
      <c r="A761">
        <f>'Goodness of fit'!D$6/1000+A760</f>
        <v>12.160000000000009</v>
      </c>
      <c r="B761">
        <f t="shared" si="23"/>
        <v>3.1832181567568408E-3</v>
      </c>
      <c r="C761">
        <f>IF(A761&gt;='Goodness of fit'!$D$3,B761,0)</f>
        <v>3.1832181567568408E-3</v>
      </c>
      <c r="D761" s="2">
        <f t="shared" si="22"/>
        <v>6.8546900846841452E-3</v>
      </c>
      <c r="E761" s="18" t="str">
        <f>IF('Goodness of fit'!B761&gt;0,('Goodness of fit'!A761-'Goodness of fit'!B761)^2/'Goodness of fit'!B761,"")</f>
        <v/>
      </c>
      <c r="F761" s="2"/>
      <c r="G761" s="2"/>
    </row>
    <row r="762" spans="1:7" x14ac:dyDescent="0.35">
      <c r="A762">
        <f>'Goodness of fit'!D$6/1000+A761</f>
        <v>12.176000000000009</v>
      </c>
      <c r="B762">
        <f t="shared" si="23"/>
        <v>3.1599308559695253E-3</v>
      </c>
      <c r="C762">
        <f>IF(A762&gt;='Goodness of fit'!$D$3,B762,0)</f>
        <v>3.1599308559695253E-3</v>
      </c>
      <c r="D762" s="2">
        <f t="shared" si="22"/>
        <v>6.8039451169101669E-3</v>
      </c>
      <c r="E762" s="18" t="str">
        <f>IF('Goodness of fit'!B762&gt;0,('Goodness of fit'!A762-'Goodness of fit'!B762)^2/'Goodness of fit'!B762,"")</f>
        <v/>
      </c>
      <c r="F762" s="2"/>
      <c r="G762" s="2"/>
    </row>
    <row r="763" spans="1:7" x14ac:dyDescent="0.35">
      <c r="A763">
        <f>'Goodness of fit'!D$6/1000+A762</f>
        <v>12.192000000000009</v>
      </c>
      <c r="B763">
        <f t="shared" si="23"/>
        <v>3.1368112086019844E-3</v>
      </c>
      <c r="C763">
        <f>IF(A763&gt;='Goodness of fit'!$D$3,B763,0)</f>
        <v>3.1368112086019844E-3</v>
      </c>
      <c r="D763" s="2">
        <f t="shared" si="22"/>
        <v>6.7535714031429772E-3</v>
      </c>
      <c r="E763" s="18" t="str">
        <f>IF('Goodness of fit'!B763&gt;0,('Goodness of fit'!A763-'Goodness of fit'!B763)^2/'Goodness of fit'!B763,"")</f>
        <v/>
      </c>
      <c r="F763" s="2"/>
      <c r="G763" s="2"/>
    </row>
    <row r="764" spans="1:7" x14ac:dyDescent="0.35">
      <c r="A764">
        <f>'Goodness of fit'!D$6/1000+A763</f>
        <v>12.208000000000009</v>
      </c>
      <c r="B764">
        <f t="shared" si="23"/>
        <v>3.1138580348448438E-3</v>
      </c>
      <c r="C764">
        <f>IF(A764&gt;='Goodness of fit'!$D$3,B764,0)</f>
        <v>3.1138580348448438E-3</v>
      </c>
      <c r="D764" s="2">
        <f t="shared" si="22"/>
        <v>6.7035662703770742E-3</v>
      </c>
      <c r="E764" s="18" t="str">
        <f>IF('Goodness of fit'!B764&gt;0,('Goodness of fit'!A764-'Goodness of fit'!B764)^2/'Goodness of fit'!B764,"")</f>
        <v/>
      </c>
      <c r="F764" s="2"/>
      <c r="G764" s="2"/>
    </row>
    <row r="765" spans="1:7" x14ac:dyDescent="0.35">
      <c r="A765">
        <f>'Goodness of fit'!D$6/1000+A764</f>
        <v>12.224000000000009</v>
      </c>
      <c r="B765">
        <f t="shared" si="23"/>
        <v>3.0910701629093965E-3</v>
      </c>
      <c r="C765">
        <f>IF(A765&gt;='Goodness of fit'!$D$3,B765,0)</f>
        <v>3.0910701629093965E-3</v>
      </c>
      <c r="D765" s="2">
        <f t="shared" si="22"/>
        <v>6.6539270644196472E-3</v>
      </c>
      <c r="E765" s="18" t="str">
        <f>IF('Goodness of fit'!B765&gt;0,('Goodness of fit'!A765-'Goodness of fit'!B765)^2/'Goodness of fit'!B765,"")</f>
        <v/>
      </c>
      <c r="F765" s="2"/>
      <c r="G765" s="2"/>
    </row>
    <row r="766" spans="1:7" x14ac:dyDescent="0.35">
      <c r="A766">
        <f>'Goodness of fit'!D$6/1000+A765</f>
        <v>12.240000000000009</v>
      </c>
      <c r="B766">
        <f t="shared" si="23"/>
        <v>3.0684464289761136E-3</v>
      </c>
      <c r="C766">
        <f>IF(A766&gt;='Goodness of fit'!$D$3,B766,0)</f>
        <v>3.0684464289761136E-3</v>
      </c>
      <c r="D766" s="2">
        <f t="shared" si="22"/>
        <v>6.6046511497626992E-3</v>
      </c>
      <c r="E766" s="18" t="str">
        <f>IF('Goodness of fit'!B766&gt;0,('Goodness of fit'!A766-'Goodness of fit'!B766)^2/'Goodness of fit'!B766,"")</f>
        <v/>
      </c>
      <c r="F766" s="2"/>
      <c r="G766" s="2"/>
    </row>
    <row r="767" spans="1:7" x14ac:dyDescent="0.35">
      <c r="A767">
        <f>'Goodness of fit'!D$6/1000+A766</f>
        <v>12.256000000000009</v>
      </c>
      <c r="B767">
        <f t="shared" si="23"/>
        <v>3.0459856771434643E-3</v>
      </c>
      <c r="C767">
        <f>IF(A767&gt;='Goodness of fit'!$D$3,B767,0)</f>
        <v>3.0459856771434643E-3</v>
      </c>
      <c r="D767" s="2">
        <f t="shared" si="22"/>
        <v>6.5557359094559385E-3</v>
      </c>
      <c r="E767" s="18" t="str">
        <f>IF('Goodness of fit'!B767&gt;0,('Goodness of fit'!A767-'Goodness of fit'!B767)^2/'Goodness of fit'!B767,"")</f>
        <v/>
      </c>
      <c r="F767" s="2"/>
      <c r="G767" s="2"/>
    </row>
    <row r="768" spans="1:7" x14ac:dyDescent="0.35">
      <c r="A768">
        <f>'Goodness of fit'!D$6/1000+A767</f>
        <v>12.272000000000009</v>
      </c>
      <c r="B768">
        <f t="shared" si="23"/>
        <v>3.0236867593770285E-3</v>
      </c>
      <c r="C768">
        <f>IF(A768&gt;='Goodness of fit'!$D$3,B768,0)</f>
        <v>3.0236867593770285E-3</v>
      </c>
      <c r="D768" s="2">
        <f t="shared" si="22"/>
        <v>6.5071787449804798E-3</v>
      </c>
      <c r="E768" s="18" t="str">
        <f>IF('Goodness of fit'!B768&gt;0,('Goodness of fit'!A768-'Goodness of fit'!B768)^2/'Goodness of fit'!B768,"")</f>
        <v/>
      </c>
      <c r="F768" s="2"/>
      <c r="G768" s="2"/>
    </row>
    <row r="769" spans="1:7" x14ac:dyDescent="0.35">
      <c r="A769">
        <f>'Goodness of fit'!D$6/1000+A768</f>
        <v>12.288000000000009</v>
      </c>
      <c r="B769">
        <f t="shared" si="23"/>
        <v>3.0015485354588935E-3</v>
      </c>
      <c r="C769">
        <f>IF(A769&gt;='Goodness of fit'!$D$3,B769,0)</f>
        <v>3.0015485354588935E-3</v>
      </c>
      <c r="D769" s="2">
        <f t="shared" si="22"/>
        <v>6.4589770761233987E-3</v>
      </c>
      <c r="E769" s="18" t="str">
        <f>IF('Goodness of fit'!B769&gt;0,('Goodness of fit'!A769-'Goodness of fit'!B769)^2/'Goodness of fit'!B769,"")</f>
        <v/>
      </c>
      <c r="F769" s="2"/>
      <c r="G769" s="2"/>
    </row>
    <row r="770" spans="1:7" x14ac:dyDescent="0.35">
      <c r="A770">
        <f>'Goodness of fit'!D$6/1000+A769</f>
        <v>12.304000000000009</v>
      </c>
      <c r="B770">
        <f t="shared" si="23"/>
        <v>2.9795698729373531E-3</v>
      </c>
      <c r="C770">
        <f>IF(A770&gt;='Goodness of fit'!$D$3,B770,0)</f>
        <v>2.9795698729373531E-3</v>
      </c>
      <c r="D770" s="2">
        <f t="shared" ref="D770:D833" si="24">CHIDIST(A770,F$1)</f>
        <v>6.4111283408530544E-3</v>
      </c>
      <c r="E770" s="18" t="str">
        <f>IF('Goodness of fit'!B770&gt;0,('Goodness of fit'!A770-'Goodness of fit'!B770)^2/'Goodness of fit'!B770,"")</f>
        <v/>
      </c>
      <c r="F770" s="2"/>
      <c r="G770" s="2"/>
    </row>
    <row r="771" spans="1:7" x14ac:dyDescent="0.35">
      <c r="A771">
        <f>'Goodness of fit'!D$6/1000+A770</f>
        <v>12.320000000000009</v>
      </c>
      <c r="B771">
        <f t="shared" ref="B771:B834" si="25">_xlfn.CHISQ.DIST(A771,F$1,FALSE)</f>
        <v>2.9577496470768907E-3</v>
      </c>
      <c r="C771">
        <f>IF(A771&gt;='Goodness of fit'!$D$3,B771,0)</f>
        <v>2.9577496470768907E-3</v>
      </c>
      <c r="D771" s="2">
        <f t="shared" si="24"/>
        <v>6.3636299951952404E-3</v>
      </c>
      <c r="E771" s="18" t="str">
        <f>IF('Goodness of fit'!B771&gt;0,('Goodness of fit'!A771-'Goodness of fit'!B771)^2/'Goodness of fit'!B771,"")</f>
        <v/>
      </c>
      <c r="F771" s="2"/>
      <c r="G771" s="2"/>
    </row>
    <row r="772" spans="1:7" x14ac:dyDescent="0.35">
      <c r="A772">
        <f>'Goodness of fit'!D$6/1000+A771</f>
        <v>12.336000000000009</v>
      </c>
      <c r="B772">
        <f t="shared" si="25"/>
        <v>2.936086740808455E-3</v>
      </c>
      <c r="C772">
        <f>IF(A772&gt;='Goodness of fit'!$D$3,B772,0)</f>
        <v>2.936086740808455E-3</v>
      </c>
      <c r="D772" s="2">
        <f t="shared" si="24"/>
        <v>6.3164795131101211E-3</v>
      </c>
      <c r="E772" s="18" t="str">
        <f>IF('Goodness of fit'!B772&gt;0,('Goodness of fit'!A772-'Goodness of fit'!B772)^2/'Goodness of fit'!B772,"")</f>
        <v/>
      </c>
      <c r="F772" s="2"/>
      <c r="G772" s="2"/>
    </row>
    <row r="773" spans="1:7" x14ac:dyDescent="0.35">
      <c r="A773">
        <f>'Goodness of fit'!D$6/1000+A772</f>
        <v>12.352000000000009</v>
      </c>
      <c r="B773">
        <f t="shared" si="25"/>
        <v>2.9145800446800248E-3</v>
      </c>
      <c r="C773">
        <f>IF(A773&gt;='Goodness of fit'!$D$3,B773,0)</f>
        <v>2.9145800446800248E-3</v>
      </c>
      <c r="D773" s="2">
        <f t="shared" si="24"/>
        <v>6.2696743863699667E-3</v>
      </c>
      <c r="E773" s="18" t="str">
        <f>IF('Goodness of fit'!B773&gt;0,('Goodness of fit'!A773-'Goodness of fit'!B773)^2/'Goodness of fit'!B773,"")</f>
        <v/>
      </c>
      <c r="F773" s="2"/>
      <c r="G773" s="2"/>
    </row>
    <row r="774" spans="1:7" x14ac:dyDescent="0.35">
      <c r="A774">
        <f>'Goodness of fit'!D$6/1000+A773</f>
        <v>12.368000000000009</v>
      </c>
      <c r="B774">
        <f t="shared" si="25"/>
        <v>2.893228456807452E-3</v>
      </c>
      <c r="C774">
        <f>IF(A774&gt;='Goodness of fit'!$D$3,B774,0)</f>
        <v>2.893228456807452E-3</v>
      </c>
      <c r="D774" s="2">
        <f t="shared" si="24"/>
        <v>6.2232121244376673E-3</v>
      </c>
      <c r="E774" s="18" t="str">
        <f>IF('Goodness of fit'!B774&gt;0,('Goodness of fit'!A774-'Goodness of fit'!B774)^2/'Goodness of fit'!B774,"")</f>
        <v/>
      </c>
      <c r="F774" s="2"/>
      <c r="G774" s="2"/>
    </row>
    <row r="775" spans="1:7" x14ac:dyDescent="0.35">
      <c r="A775">
        <f>'Goodness of fit'!D$6/1000+A774</f>
        <v>12.384000000000009</v>
      </c>
      <c r="B775">
        <f t="shared" si="25"/>
        <v>2.872030882825605E-3</v>
      </c>
      <c r="C775">
        <f>IF(A775&gt;='Goodness of fit'!$D$3,B775,0)</f>
        <v>2.872030882825605E-3</v>
      </c>
      <c r="D775" s="2">
        <f t="shared" si="24"/>
        <v>6.1770902543460396E-3</v>
      </c>
      <c r="E775" s="18" t="str">
        <f>IF('Goodness of fit'!B775&gt;0,('Goodness of fit'!A775-'Goodness of fit'!B775)^2/'Goodness of fit'!B775,"")</f>
        <v/>
      </c>
      <c r="F775" s="2"/>
      <c r="G775" s="2"/>
    </row>
    <row r="776" spans="1:7" x14ac:dyDescent="0.35">
      <c r="A776">
        <f>'Goodness of fit'!D$6/1000+A775</f>
        <v>12.400000000000009</v>
      </c>
      <c r="B776">
        <f t="shared" si="25"/>
        <v>2.8509862358397785E-3</v>
      </c>
      <c r="C776">
        <f>IF(A776&gt;='Goodness of fit'!$D$3,B776,0)</f>
        <v>2.8509862358397785E-3</v>
      </c>
      <c r="D776" s="2">
        <f t="shared" si="24"/>
        <v>6.131306320577924E-3</v>
      </c>
      <c r="E776" s="18" t="str">
        <f>IF('Goodness of fit'!B776&gt;0,('Goodness of fit'!A776-'Goodness of fit'!B776)^2/'Goodness of fit'!B776,"")</f>
        <v/>
      </c>
      <c r="F776" s="2"/>
      <c r="G776" s="2"/>
    </row>
    <row r="777" spans="1:7" x14ac:dyDescent="0.35">
      <c r="A777">
        <f>'Goodness of fit'!D$6/1000+A776</f>
        <v>12.416000000000009</v>
      </c>
      <c r="B777">
        <f t="shared" si="25"/>
        <v>2.8300934363774022E-3</v>
      </c>
      <c r="C777">
        <f>IF(A777&gt;='Goodness of fit'!$D$3,B777,0)</f>
        <v>2.8300934363774022E-3</v>
      </c>
      <c r="D777" s="2">
        <f t="shared" si="24"/>
        <v>6.0858578849470185E-3</v>
      </c>
      <c r="E777" s="18" t="str">
        <f>IF('Goodness of fit'!B777&gt;0,('Goodness of fit'!A777-'Goodness of fit'!B777)^2/'Goodness of fit'!B777,"")</f>
        <v/>
      </c>
      <c r="F777" s="2"/>
      <c r="G777" s="2"/>
    </row>
    <row r="778" spans="1:7" x14ac:dyDescent="0.35">
      <c r="A778">
        <f>'Goodness of fit'!D$6/1000+A777</f>
        <v>12.432000000000009</v>
      </c>
      <c r="B778">
        <f t="shared" si="25"/>
        <v>2.8093514123400222E-3</v>
      </c>
      <c r="C778">
        <f>IF(A778&gt;='Goodness of fit'!$D$3,B778,0)</f>
        <v>2.8093514123400222E-3</v>
      </c>
      <c r="D778" s="2">
        <f t="shared" si="24"/>
        <v>6.0407425264795448E-3</v>
      </c>
      <c r="E778" s="18" t="str">
        <f>IF('Goodness of fit'!B778&gt;0,('Goodness of fit'!A778-'Goodness of fit'!B778)^2/'Goodness of fit'!B778,"")</f>
        <v/>
      </c>
      <c r="F778" s="2"/>
      <c r="G778" s="2"/>
    </row>
    <row r="779" spans="1:7" x14ac:dyDescent="0.35">
      <c r="A779">
        <f>'Goodness of fit'!D$6/1000+A778</f>
        <v>12.448000000000009</v>
      </c>
      <c r="B779">
        <f t="shared" si="25"/>
        <v>2.7887590989555656E-3</v>
      </c>
      <c r="C779">
        <f>IF(A779&gt;='Goodness of fit'!$D$3,B779,0)</f>
        <v>2.7887590989555656E-3</v>
      </c>
      <c r="D779" s="2">
        <f t="shared" si="24"/>
        <v>5.9959578412966154E-3</v>
      </c>
      <c r="E779" s="18" t="str">
        <f>IF('Goodness of fit'!B779&gt;0,('Goodness of fit'!A779-'Goodness of fit'!B779)^2/'Goodness of fit'!B779,"")</f>
        <v/>
      </c>
      <c r="F779" s="2"/>
      <c r="G779" s="2"/>
    </row>
    <row r="780" spans="1:7" x14ac:dyDescent="0.35">
      <c r="A780">
        <f>'Goodness of fit'!D$6/1000+A779</f>
        <v>12.464000000000009</v>
      </c>
      <c r="B780">
        <f t="shared" si="25"/>
        <v>2.7683154387308827E-3</v>
      </c>
      <c r="C780">
        <f>IF(A780&gt;='Goodness of fit'!$D$3,B780,0)</f>
        <v>2.7683154387308827E-3</v>
      </c>
      <c r="D780" s="2">
        <f t="shared" si="24"/>
        <v>5.9515014424974004E-3</v>
      </c>
      <c r="E780" s="18" t="str">
        <f>IF('Goodness of fit'!B780&gt;0,('Goodness of fit'!A780-'Goodness of fit'!B780)^2/'Goodness of fit'!B780,"")</f>
        <v/>
      </c>
      <c r="F780" s="2"/>
      <c r="G780" s="2"/>
    </row>
    <row r="781" spans="1:7" x14ac:dyDescent="0.35">
      <c r="A781">
        <f>'Goodness of fit'!D$6/1000+A780</f>
        <v>12.480000000000009</v>
      </c>
      <c r="B781">
        <f t="shared" si="25"/>
        <v>2.7480193814045663E-3</v>
      </c>
      <c r="C781">
        <f>IF(A781&gt;='Goodness of fit'!$D$3,B781,0)</f>
        <v>2.7480193814045663E-3</v>
      </c>
      <c r="D781" s="2">
        <f t="shared" si="24"/>
        <v>5.907370960043048E-3</v>
      </c>
      <c r="E781" s="18" t="str">
        <f>IF('Goodness of fit'!B781&gt;0,('Goodness of fit'!A781-'Goodness of fit'!B781)^2/'Goodness of fit'!B781,"")</f>
        <v/>
      </c>
      <c r="F781" s="2"/>
      <c r="G781" s="2"/>
    </row>
    <row r="782" spans="1:7" x14ac:dyDescent="0.35">
      <c r="A782">
        <f>'Goodness of fit'!D$6/1000+A781</f>
        <v>12.496000000000009</v>
      </c>
      <c r="B782">
        <f t="shared" si="25"/>
        <v>2.7278698839000555E-3</v>
      </c>
      <c r="C782">
        <f>IF(A782&gt;='Goodness of fit'!$D$3,B782,0)</f>
        <v>2.7278698839000555E-3</v>
      </c>
      <c r="D782" s="2">
        <f t="shared" si="24"/>
        <v>5.8635640406413444E-3</v>
      </c>
      <c r="E782" s="18" t="str">
        <f>IF('Goodness of fit'!B782&gt;0,('Goodness of fit'!A782-'Goodness of fit'!B782)^2/'Goodness of fit'!B782,"")</f>
        <v/>
      </c>
      <c r="F782" s="2"/>
      <c r="G782" s="2"/>
    </row>
    <row r="783" spans="1:7" x14ac:dyDescent="0.35">
      <c r="A783">
        <f>'Goodness of fit'!D$6/1000+A782</f>
        <v>12.512000000000009</v>
      </c>
      <c r="B783">
        <f t="shared" si="25"/>
        <v>2.7078659102789992E-3</v>
      </c>
      <c r="C783">
        <f>IF(A783&gt;='Goodness of fit'!$D$3,B783,0)</f>
        <v>2.7078659102789992E-3</v>
      </c>
      <c r="D783" s="2">
        <f t="shared" si="24"/>
        <v>5.8200783476321264E-3</v>
      </c>
      <c r="E783" s="18" t="str">
        <f>IF('Goodness of fit'!B783&gt;0,('Goodness of fit'!A783-'Goodness of fit'!B783)^2/'Goodness of fit'!B783,"")</f>
        <v/>
      </c>
      <c r="F783" s="2"/>
      <c r="G783" s="2"/>
    </row>
    <row r="784" spans="1:7" x14ac:dyDescent="0.35">
      <c r="A784">
        <f>'Goodness of fit'!D$6/1000+A783</f>
        <v>12.528000000000009</v>
      </c>
      <c r="B784">
        <f t="shared" si="25"/>
        <v>2.6880064316949126E-3</v>
      </c>
      <c r="C784">
        <f>IF(A784&gt;='Goodness of fit'!$D$3,B784,0)</f>
        <v>2.6880064316949126E-3</v>
      </c>
      <c r="D784" s="2">
        <f t="shared" si="24"/>
        <v>5.7769115608734675E-3</v>
      </c>
      <c r="E784" s="18" t="str">
        <f>IF('Goodness of fit'!B784&gt;0,('Goodness of fit'!A784-'Goodness of fit'!B784)^2/'Goodness of fit'!B784,"")</f>
        <v/>
      </c>
      <c r="F784" s="2"/>
      <c r="G784" s="2"/>
    </row>
    <row r="785" spans="1:7" x14ac:dyDescent="0.35">
      <c r="A785">
        <f>'Goodness of fit'!D$6/1000+A784</f>
        <v>12.544000000000009</v>
      </c>
      <c r="B785">
        <f t="shared" si="25"/>
        <v>2.6682904263470933E-3</v>
      </c>
      <c r="C785">
        <f>IF(A785&gt;='Goodness of fit'!$D$3,B785,0)</f>
        <v>2.6682904263470933E-3</v>
      </c>
      <c r="D785" s="2">
        <f t="shared" si="24"/>
        <v>5.7340613766285404E-3</v>
      </c>
      <c r="E785" s="18" t="str">
        <f>IF('Goodness of fit'!B785&gt;0,('Goodness of fit'!A785-'Goodness of fit'!B785)^2/'Goodness of fit'!B785,"")</f>
        <v/>
      </c>
      <c r="F785" s="2"/>
      <c r="G785" s="2"/>
    </row>
    <row r="786" spans="1:7" x14ac:dyDescent="0.35">
      <c r="A786">
        <f>'Goodness of fit'!D$6/1000+A785</f>
        <v>12.560000000000009</v>
      </c>
      <c r="B786">
        <f t="shared" si="25"/>
        <v>2.6487168794348073E-3</v>
      </c>
      <c r="C786">
        <f>IF(A786&gt;='Goodness of fit'!$D$3,B786,0)</f>
        <v>2.6487168794348073E-3</v>
      </c>
      <c r="D786" s="2">
        <f t="shared" si="24"/>
        <v>5.6915255074532741E-3</v>
      </c>
      <c r="E786" s="18" t="str">
        <f>IF('Goodness of fit'!B786&gt;0,('Goodness of fit'!A786-'Goodness of fit'!B786)^2/'Goodness of fit'!B786,"")</f>
        <v/>
      </c>
      <c r="F786" s="2"/>
      <c r="G786" s="2"/>
    </row>
    <row r="787" spans="1:7" x14ac:dyDescent="0.35">
      <c r="A787">
        <f>'Goodness of fit'!D$6/1000+A786</f>
        <v>12.576000000000009</v>
      </c>
      <c r="B787">
        <f t="shared" si="25"/>
        <v>2.6292847831117616E-3</v>
      </c>
      <c r="C787">
        <f>IF(A787&gt;='Goodness of fit'!$D$3,B787,0)</f>
        <v>2.6292847831117616E-3</v>
      </c>
      <c r="D787" s="2">
        <f t="shared" si="24"/>
        <v>5.6493016820847114E-3</v>
      </c>
      <c r="E787" s="18" t="str">
        <f>IF('Goodness of fit'!B787&gt;0,('Goodness of fit'!A787-'Goodness of fit'!B787)^2/'Goodness of fit'!B787,"")</f>
        <v/>
      </c>
      <c r="F787" s="2"/>
      <c r="G787" s="2"/>
    </row>
    <row r="788" spans="1:7" x14ac:dyDescent="0.35">
      <c r="A788">
        <f>'Goodness of fit'!D$6/1000+A787</f>
        <v>12.592000000000009</v>
      </c>
      <c r="B788">
        <f t="shared" si="25"/>
        <v>2.6099931364408214E-3</v>
      </c>
      <c r="C788">
        <f>IF(A788&gt;='Goodness of fit'!$D$3,B788,0)</f>
        <v>2.6099931364408214E-3</v>
      </c>
      <c r="D788" s="2">
        <f t="shared" si="24"/>
        <v>5.6073876453301081E-3</v>
      </c>
      <c r="E788" s="18" t="str">
        <f>IF('Goodness of fit'!B788&gt;0,('Goodness of fit'!A788-'Goodness of fit'!B788)^2/'Goodness of fit'!B788,"")</f>
        <v/>
      </c>
      <c r="F788" s="2"/>
      <c r="G788" s="2"/>
    </row>
    <row r="789" spans="1:7" x14ac:dyDescent="0.35">
      <c r="A789">
        <f>'Goodness of fit'!D$6/1000+A788</f>
        <v>12.608000000000009</v>
      </c>
      <c r="B789">
        <f t="shared" si="25"/>
        <v>2.590840945349024E-3</v>
      </c>
      <c r="C789">
        <f>IF(A789&gt;='Goodness of fit'!$D$3,B789,0)</f>
        <v>2.590840945349024E-3</v>
      </c>
      <c r="D789" s="2">
        <f t="shared" si="24"/>
        <v>5.5657811579567333E-3</v>
      </c>
      <c r="E789" s="18" t="str">
        <f>IF('Goodness of fit'!B789&gt;0,('Goodness of fit'!A789-'Goodness of fit'!B789)^2/'Goodness of fit'!B789,"")</f>
        <v/>
      </c>
      <c r="F789" s="2"/>
      <c r="G789" s="2"/>
    </row>
    <row r="790" spans="1:7" x14ac:dyDescent="0.35">
      <c r="A790">
        <f>'Goodness of fit'!D$6/1000+A789</f>
        <v>12.624000000000009</v>
      </c>
      <c r="B790">
        <f t="shared" si="25"/>
        <v>2.5718272225828264E-3</v>
      </c>
      <c r="C790">
        <f>IF(A790&gt;='Goodness of fit'!$D$3,B790,0)</f>
        <v>2.5718272225828264E-3</v>
      </c>
      <c r="D790" s="2">
        <f t="shared" si="24"/>
        <v>5.5244799965824066E-3</v>
      </c>
      <c r="E790" s="18" t="str">
        <f>IF('Goodness of fit'!B790&gt;0,('Goodness of fit'!A790-'Goodness of fit'!B790)^2/'Goodness of fit'!B790,"")</f>
        <v/>
      </c>
      <c r="F790" s="2"/>
      <c r="G790" s="2"/>
    </row>
    <row r="791" spans="1:7" x14ac:dyDescent="0.35">
      <c r="A791">
        <f>'Goodness of fit'!D$6/1000+A790</f>
        <v>12.640000000000009</v>
      </c>
      <c r="B791">
        <f t="shared" si="25"/>
        <v>2.5529509876636531E-3</v>
      </c>
      <c r="C791">
        <f>IF(A791&gt;='Goodness of fit'!$D$3,B791,0)</f>
        <v>2.5529509876636531E-3</v>
      </c>
      <c r="D791" s="2">
        <f t="shared" si="24"/>
        <v>5.4834819535667587E-3</v>
      </c>
      <c r="E791" s="18" t="str">
        <f>IF('Goodness of fit'!B791&gt;0,('Goodness of fit'!A791-'Goodness of fit'!B791)^2/'Goodness of fit'!B791,"")</f>
        <v/>
      </c>
      <c r="F791" s="2"/>
      <c r="G791" s="2"/>
    </row>
    <row r="792" spans="1:7" x14ac:dyDescent="0.35">
      <c r="A792">
        <f>'Goodness of fit'!D$6/1000+A791</f>
        <v>12.656000000000009</v>
      </c>
      <c r="B792">
        <f t="shared" si="25"/>
        <v>2.5342112668436763E-3</v>
      </c>
      <c r="C792">
        <f>IF(A792&gt;='Goodness of fit'!$D$3,B792,0)</f>
        <v>2.5342112668436763E-3</v>
      </c>
      <c r="D792" s="2">
        <f t="shared" si="24"/>
        <v>5.4427848369031639E-3</v>
      </c>
      <c r="E792" s="18" t="str">
        <f>IF('Goodness of fit'!B792&gt;0,('Goodness of fit'!A792-'Goodness of fit'!B792)^2/'Goodness of fit'!B792,"")</f>
        <v/>
      </c>
      <c r="F792" s="2"/>
      <c r="G792" s="2"/>
    </row>
    <row r="793" spans="1:7" x14ac:dyDescent="0.35">
      <c r="A793">
        <f>'Goodness of fit'!D$6/1000+A792</f>
        <v>12.672000000000009</v>
      </c>
      <c r="B793">
        <f t="shared" si="25"/>
        <v>2.5156070930618811E-3</v>
      </c>
      <c r="C793">
        <f>IF(A793&gt;='Goodness of fit'!$D$3,B793,0)</f>
        <v>2.5156070930618811E-3</v>
      </c>
      <c r="D793" s="2">
        <f t="shared" si="24"/>
        <v>5.4023864701114041E-3</v>
      </c>
      <c r="E793" s="18" t="str">
        <f>IF('Goodness of fit'!B793&gt;0,('Goodness of fit'!A793-'Goodness of fit'!B793)^2/'Goodness of fit'!B793,"")</f>
        <v/>
      </c>
      <c r="F793" s="2"/>
      <c r="G793" s="2"/>
    </row>
    <row r="794" spans="1:7" x14ac:dyDescent="0.35">
      <c r="A794">
        <f>'Goodness of fit'!D$6/1000+A793</f>
        <v>12.688000000000009</v>
      </c>
      <c r="B794">
        <f t="shared" si="25"/>
        <v>2.4971375059003762E-3</v>
      </c>
      <c r="C794">
        <f>IF(A794&gt;='Goodness of fit'!$D$3,B794,0)</f>
        <v>2.4971375059003762E-3</v>
      </c>
      <c r="D794" s="2">
        <f t="shared" si="24"/>
        <v>5.3622846921310471E-3</v>
      </c>
      <c r="E794" s="18" t="str">
        <f>IF('Goodness of fit'!B794&gt;0,('Goodness of fit'!A794-'Goodness of fit'!B794)^2/'Goodness of fit'!B794,"")</f>
        <v/>
      </c>
      <c r="F794" s="2"/>
      <c r="G794" s="2"/>
    </row>
    <row r="795" spans="1:7" x14ac:dyDescent="0.35">
      <c r="A795">
        <f>'Goodness of fit'!D$6/1000+A794</f>
        <v>12.70400000000001</v>
      </c>
      <c r="B795">
        <f t="shared" si="25"/>
        <v>2.4788015515409831E-3</v>
      </c>
      <c r="C795">
        <f>IF(A795&gt;='Goodness of fit'!$D$3,B795,0)</f>
        <v>2.4788015515409831E-3</v>
      </c>
      <c r="D795" s="2">
        <f t="shared" si="24"/>
        <v>5.3224773572154802E-3</v>
      </c>
      <c r="E795" s="18" t="str">
        <f>IF('Goodness of fit'!B795&gt;0,('Goodness of fit'!A795-'Goodness of fit'!B795)^2/'Goodness of fit'!B795,"")</f>
        <v/>
      </c>
      <c r="F795" s="2"/>
      <c r="G795" s="2"/>
    </row>
    <row r="796" spans="1:7" x14ac:dyDescent="0.35">
      <c r="A796">
        <f>'Goodness of fit'!D$6/1000+A795</f>
        <v>12.72000000000001</v>
      </c>
      <c r="B796">
        <f t="shared" si="25"/>
        <v>2.4605982827220641E-3</v>
      </c>
      <c r="C796">
        <f>IF(A796&gt;='Goodness of fit'!$D$3,B796,0)</f>
        <v>2.4605982827220641E-3</v>
      </c>
      <c r="D796" s="2">
        <f t="shared" si="24"/>
        <v>5.2829623348266764E-3</v>
      </c>
      <c r="E796" s="18" t="str">
        <f>IF('Goodness of fit'!B796&gt;0,('Goodness of fit'!A796-'Goodness of fit'!B796)^2/'Goodness of fit'!B796,"")</f>
        <v/>
      </c>
      <c r="F796" s="2"/>
      <c r="G796" s="2"/>
    </row>
    <row r="797" spans="1:7" x14ac:dyDescent="0.35">
      <c r="A797">
        <f>'Goodness of fit'!D$6/1000+A796</f>
        <v>12.73600000000001</v>
      </c>
      <c r="B797">
        <f t="shared" si="25"/>
        <v>2.4425267586956215E-3</v>
      </c>
      <c r="C797">
        <f>IF(A797&gt;='Goodness of fit'!$D$3,B797,0)</f>
        <v>2.4425267586956215E-3</v>
      </c>
      <c r="D797" s="2">
        <f t="shared" si="24"/>
        <v>5.2437375095306339E-3</v>
      </c>
      <c r="E797" s="18" t="str">
        <f>IF('Goodness of fit'!B797&gt;0,('Goodness of fit'!A797-'Goodness of fit'!B797)^2/'Goodness of fit'!B797,"")</f>
        <v/>
      </c>
      <c r="F797" s="2"/>
      <c r="G797" s="2"/>
    </row>
    <row r="798" spans="1:7" x14ac:dyDescent="0.35">
      <c r="A798">
        <f>'Goodness of fit'!D$6/1000+A797</f>
        <v>12.75200000000001</v>
      </c>
      <c r="B798">
        <f t="shared" si="25"/>
        <v>2.4245860451846514E-3</v>
      </c>
      <c r="C798">
        <f>IF(A798&gt;='Goodness of fit'!$D$3,B798,0)</f>
        <v>2.4245860451846514E-3</v>
      </c>
      <c r="D798" s="2">
        <f t="shared" si="24"/>
        <v>5.2048007808934791E-3</v>
      </c>
      <c r="E798" s="18" t="str">
        <f>IF('Goodness of fit'!B798&gt;0,('Goodness of fit'!A798-'Goodness of fit'!B798)^2/'Goodness of fit'!B798,"")</f>
        <v/>
      </c>
      <c r="F798" s="2"/>
      <c r="G798" s="2"/>
    </row>
    <row r="799" spans="1:7" x14ac:dyDescent="0.35">
      <c r="A799">
        <f>'Goodness of fit'!D$6/1000+A798</f>
        <v>12.76800000000001</v>
      </c>
      <c r="B799">
        <f t="shared" si="25"/>
        <v>2.4067752143407451E-3</v>
      </c>
      <c r="C799">
        <f>IF(A799&gt;='Goodness of fit'!$D$3,B799,0)</f>
        <v>2.4067752143407451E-3</v>
      </c>
      <c r="D799" s="2">
        <f t="shared" si="24"/>
        <v>5.166150063378303E-3</v>
      </c>
      <c r="E799" s="18" t="str">
        <f>IF('Goodness of fit'!B799&gt;0,('Goodness of fit'!A799-'Goodness of fit'!B799)^2/'Goodness of fit'!B799,"")</f>
        <v/>
      </c>
      <c r="F799" s="2"/>
      <c r="G799" s="2"/>
    </row>
    <row r="800" spans="1:7" x14ac:dyDescent="0.35">
      <c r="A800">
        <f>'Goodness of fit'!D$6/1000+A799</f>
        <v>12.78400000000001</v>
      </c>
      <c r="B800">
        <f t="shared" si="25"/>
        <v>2.3890933447019568E-3</v>
      </c>
      <c r="C800">
        <f>IF(A800&gt;='Goodness of fit'!$D$3,B800,0)</f>
        <v>2.3890933447019568E-3</v>
      </c>
      <c r="D800" s="2">
        <f t="shared" si="24"/>
        <v>5.1277832862426089E-3</v>
      </c>
      <c r="E800" s="18" t="str">
        <f>IF('Goodness of fit'!B800&gt;0,('Goodness of fit'!A800-'Goodness of fit'!B800)^2/'Goodness of fit'!B800,"")</f>
        <v/>
      </c>
      <c r="F800" s="2"/>
      <c r="G800" s="2"/>
    </row>
    <row r="801" spans="1:7" x14ac:dyDescent="0.35">
      <c r="A801">
        <f>'Goodness of fit'!D$6/1000+A800</f>
        <v>12.80000000000001</v>
      </c>
      <c r="B801">
        <f t="shared" si="25"/>
        <v>2.3715395211509134E-3</v>
      </c>
      <c r="C801">
        <f>IF(A801&gt;='Goodness of fit'!$D$3,B801,0)</f>
        <v>2.3715395211509134E-3</v>
      </c>
      <c r="D801" s="2">
        <f t="shared" si="24"/>
        <v>5.0896983934364893E-3</v>
      </c>
      <c r="E801" s="18" t="str">
        <f>IF('Goodness of fit'!B801&gt;0,('Goodness of fit'!A801-'Goodness of fit'!B801)^2/'Goodness of fit'!B801,"")</f>
        <v/>
      </c>
      <c r="F801" s="2"/>
      <c r="G801" s="2"/>
    </row>
    <row r="802" spans="1:7" x14ac:dyDescent="0.35">
      <c r="A802">
        <f>'Goodness of fit'!D$6/1000+A801</f>
        <v>12.81600000000001</v>
      </c>
      <c r="B802">
        <f t="shared" si="25"/>
        <v>2.3541128348731799E-3</v>
      </c>
      <c r="C802">
        <f>IF(A802&gt;='Goodness of fit'!$D$3,B802,0)</f>
        <v>2.3541128348731799E-3</v>
      </c>
      <c r="D802" s="2">
        <f t="shared" si="24"/>
        <v>5.0518933435014356E-3</v>
      </c>
      <c r="E802" s="18" t="str">
        <f>IF('Goodness of fit'!B802&gt;0,('Goodness of fit'!A802-'Goodness of fit'!B802)^2/'Goodness of fit'!B802,"")</f>
        <v/>
      </c>
      <c r="F802" s="2"/>
      <c r="G802" s="2"/>
    </row>
    <row r="803" spans="1:7" x14ac:dyDescent="0.35">
      <c r="A803">
        <f>'Goodness of fit'!D$6/1000+A802</f>
        <v>12.83200000000001</v>
      </c>
      <c r="B803">
        <f t="shared" si="25"/>
        <v>2.3368123833158775E-3</v>
      </c>
      <c r="C803">
        <f>IF(A803&gt;='Goodness of fit'!$D$3,B803,0)</f>
        <v>2.3368123833158775E-3</v>
      </c>
      <c r="D803" s="2">
        <f t="shared" si="24"/>
        <v>5.0143661094698136E-3</v>
      </c>
      <c r="E803" s="18" t="str">
        <f>IF('Goodness of fit'!B803&gt;0,('Goodness of fit'!A803-'Goodness of fit'!B803)^2/'Goodness of fit'!B803,"")</f>
        <v/>
      </c>
      <c r="F803" s="2"/>
      <c r="G803" s="2"/>
    </row>
    <row r="804" spans="1:7" x14ac:dyDescent="0.35">
      <c r="A804">
        <f>'Goodness of fit'!D$6/1000+A803</f>
        <v>12.84800000000001</v>
      </c>
      <c r="B804">
        <f t="shared" si="25"/>
        <v>2.3196372701465452E-3</v>
      </c>
      <c r="C804">
        <f>IF(A804&gt;='Goodness of fit'!$D$3,B804,0)</f>
        <v>2.3196372701465452E-3</v>
      </c>
      <c r="D804" s="2">
        <f t="shared" si="24"/>
        <v>4.9771146787650237E-3</v>
      </c>
      <c r="E804" s="18" t="str">
        <f>IF('Goodness of fit'!B804&gt;0,('Goodness of fit'!A804-'Goodness of fit'!B804)^2/'Goodness of fit'!B804,"")</f>
        <v/>
      </c>
      <c r="F804" s="2"/>
      <c r="G804" s="2"/>
    </row>
    <row r="805" spans="1:7" x14ac:dyDescent="0.35">
      <c r="A805">
        <f>'Goodness of fit'!D$6/1000+A804</f>
        <v>12.86400000000001</v>
      </c>
      <c r="B805">
        <f t="shared" si="25"/>
        <v>2.302586605212258E-3</v>
      </c>
      <c r="C805">
        <f>IF(A805&gt;='Goodness of fit'!$D$3,B805,0)</f>
        <v>2.302586605212258E-3</v>
      </c>
      <c r="D805" s="2">
        <f t="shared" si="24"/>
        <v>4.940137053102295E-3</v>
      </c>
      <c r="E805" s="18" t="str">
        <f>IF('Goodness of fit'!B805&gt;0,('Goodness of fit'!A805-'Goodness of fit'!B805)^2/'Goodness of fit'!B805,"")</f>
        <v/>
      </c>
      <c r="F805" s="2"/>
      <c r="G805" s="2"/>
    </row>
    <row r="806" spans="1:7" x14ac:dyDescent="0.35">
      <c r="A806">
        <f>'Goodness of fit'!D$6/1000+A805</f>
        <v>12.88000000000001</v>
      </c>
      <c r="B806">
        <f t="shared" si="25"/>
        <v>2.2856595044989806E-3</v>
      </c>
      <c r="C806">
        <f>IF(A806&gt;='Goodness of fit'!$D$3,B806,0)</f>
        <v>2.2856595044989806E-3</v>
      </c>
      <c r="D806" s="2">
        <f t="shared" si="24"/>
        <v>4.9034312483901381E-3</v>
      </c>
      <c r="E806" s="18" t="str">
        <f>IF('Goodness of fit'!B806&gt;0,('Goodness of fit'!A806-'Goodness of fit'!B806)^2/'Goodness of fit'!B806,"")</f>
        <v/>
      </c>
      <c r="F806" s="2"/>
      <c r="G806" s="2"/>
    </row>
    <row r="807" spans="1:7" x14ac:dyDescent="0.35">
      <c r="A807">
        <f>'Goodness of fit'!D$6/1000+A806</f>
        <v>12.89600000000001</v>
      </c>
      <c r="B807">
        <f t="shared" si="25"/>
        <v>2.2688550900911717E-3</v>
      </c>
      <c r="C807">
        <f>IF(A807&gt;='Goodness of fit'!$D$3,B807,0)</f>
        <v>2.2688550900911717E-3</v>
      </c>
      <c r="D807" s="2">
        <f t="shared" si="24"/>
        <v>4.8669952946324407E-3</v>
      </c>
      <c r="E807" s="18" t="str">
        <f>IF('Goodness of fit'!B807&gt;0,('Goodness of fit'!A807-'Goodness of fit'!B807)^2/'Goodness of fit'!B807,"")</f>
        <v/>
      </c>
      <c r="F807" s="2"/>
      <c r="G807" s="2"/>
    </row>
    <row r="808" spans="1:7" x14ac:dyDescent="0.35">
      <c r="A808">
        <f>'Goodness of fit'!D$6/1000+A807</f>
        <v>12.91200000000001</v>
      </c>
      <c r="B808">
        <f t="shared" si="25"/>
        <v>2.2521724901316408E-3</v>
      </c>
      <c r="C808">
        <f>IF(A808&gt;='Goodness of fit'!$D$3,B808,0)</f>
        <v>2.2521724901316408E-3</v>
      </c>
      <c r="D808" s="2">
        <f t="shared" si="24"/>
        <v>4.8308272358312315E-3</v>
      </c>
      <c r="E808" s="18" t="str">
        <f>IF('Goodness of fit'!B808&gt;0,('Goodness of fit'!A808-'Goodness of fit'!B808)^2/'Goodness of fit'!B808,"")</f>
        <v/>
      </c>
      <c r="F808" s="2"/>
      <c r="G808" s="2"/>
    </row>
    <row r="809" spans="1:7" x14ac:dyDescent="0.35">
      <c r="A809">
        <f>'Goodness of fit'!D$6/1000+A808</f>
        <v>12.92800000000001</v>
      </c>
      <c r="B809">
        <f t="shared" si="25"/>
        <v>2.2356108387816291E-3</v>
      </c>
      <c r="C809">
        <f>IF(A809&gt;='Goodness of fit'!$D$3,B809,0)</f>
        <v>2.2356108387816291E-3</v>
      </c>
      <c r="D809" s="2">
        <f t="shared" si="24"/>
        <v>4.7949251298900417E-3</v>
      </c>
      <c r="E809" s="18" t="str">
        <f>IF('Goodness of fit'!B809&gt;0,('Goodness of fit'!A809-'Goodness of fit'!B809)^2/'Goodness of fit'!B809,"")</f>
        <v/>
      </c>
      <c r="F809" s="2"/>
      <c r="G809" s="2"/>
    </row>
    <row r="810" spans="1:7" x14ac:dyDescent="0.35">
      <c r="A810">
        <f>'Goodness of fit'!D$6/1000+A809</f>
        <v>12.94400000000001</v>
      </c>
      <c r="B810">
        <f t="shared" si="25"/>
        <v>2.2191692761811526E-3</v>
      </c>
      <c r="C810">
        <f>IF(A810&gt;='Goodness of fit'!$D$3,B810,0)</f>
        <v>2.2191692761811526E-3</v>
      </c>
      <c r="D810" s="2">
        <f t="shared" si="24"/>
        <v>4.7592870485179458E-3</v>
      </c>
      <c r="E810" s="18" t="str">
        <f>IF('Goodness of fit'!B810&gt;0,('Goodness of fit'!A810-'Goodness of fit'!B810)^2/'Goodness of fit'!B810,"")</f>
        <v/>
      </c>
      <c r="F810" s="2"/>
      <c r="G810" s="2"/>
    </row>
    <row r="811" spans="1:7" x14ac:dyDescent="0.35">
      <c r="A811">
        <f>'Goodness of fit'!D$6/1000+A810</f>
        <v>12.96000000000001</v>
      </c>
      <c r="B811">
        <f t="shared" si="25"/>
        <v>2.2028469484095701E-3</v>
      </c>
      <c r="C811">
        <f>IF(A811&gt;='Goodness of fit'!$D$3,B811,0)</f>
        <v>2.2028469484095701E-3</v>
      </c>
      <c r="D811" s="2">
        <f t="shared" si="24"/>
        <v>4.723911077134206E-3</v>
      </c>
      <c r="E811" s="18" t="str">
        <f>IF('Goodness of fit'!B811&gt;0,('Goodness of fit'!A811-'Goodness of fit'!B811)^2/'Goodness of fit'!B811,"")</f>
        <v/>
      </c>
      <c r="F811" s="2"/>
      <c r="G811" s="2"/>
    </row>
    <row r="812" spans="1:7" x14ac:dyDescent="0.35">
      <c r="A812">
        <f>'Goodness of fit'!D$6/1000+A811</f>
        <v>12.97600000000001</v>
      </c>
      <c r="B812">
        <f t="shared" si="25"/>
        <v>2.1866430074464018E-3</v>
      </c>
      <c r="C812">
        <f>IF(A812&gt;='Goodness of fit'!$D$3,B812,0)</f>
        <v>2.1866430074464018E-3</v>
      </c>
      <c r="D812" s="2">
        <f t="shared" si="24"/>
        <v>4.6887953147735683E-3</v>
      </c>
      <c r="E812" s="18" t="str">
        <f>IF('Goodness of fit'!B812&gt;0,('Goodness of fit'!A812-'Goodness of fit'!B812)^2/'Goodness of fit'!B812,"")</f>
        <v/>
      </c>
      <c r="F812" s="2"/>
      <c r="G812" s="2"/>
    </row>
    <row r="813" spans="1:7" x14ac:dyDescent="0.35">
      <c r="A813">
        <f>'Goodness of fit'!D$6/1000+A812</f>
        <v>12.99200000000001</v>
      </c>
      <c r="B813">
        <f t="shared" si="25"/>
        <v>2.1705566111323736E-3</v>
      </c>
      <c r="C813">
        <f>IF(A813&gt;='Goodness of fit'!$D$3,B813,0)</f>
        <v>2.1705566111323736E-3</v>
      </c>
      <c r="D813" s="2">
        <f t="shared" si="24"/>
        <v>4.6539378739921585E-3</v>
      </c>
      <c r="E813" s="18" t="str">
        <f>IF('Goodness of fit'!B813&gt;0,('Goodness of fit'!A813-'Goodness of fit'!B813)^2/'Goodness of fit'!B813,"")</f>
        <v/>
      </c>
      <c r="F813" s="2"/>
      <c r="G813" s="2"/>
    </row>
    <row r="814" spans="1:7" x14ac:dyDescent="0.35">
      <c r="A814">
        <f>'Goodness of fit'!D$6/1000+A813</f>
        <v>13.00800000000001</v>
      </c>
      <c r="B814">
        <f t="shared" si="25"/>
        <v>2.1545869231307134E-3</v>
      </c>
      <c r="C814">
        <f>IF(A814&gt;='Goodness of fit'!$D$3,B814,0)</f>
        <v>2.1545869231307134E-3</v>
      </c>
      <c r="D814" s="2">
        <f t="shared" si="24"/>
        <v>4.61933688077403E-3</v>
      </c>
      <c r="E814" s="18" t="str">
        <f>IF('Goodness of fit'!B814&gt;0,('Goodness of fit'!A814-'Goodness of fit'!B814)^2/'Goodness of fit'!B814,"")</f>
        <v/>
      </c>
      <c r="F814" s="2"/>
      <c r="G814" s="2"/>
    </row>
    <row r="815" spans="1:7" x14ac:dyDescent="0.35">
      <c r="A815">
        <f>'Goodness of fit'!D$6/1000+A814</f>
        <v>13.02400000000001</v>
      </c>
      <c r="B815">
        <f t="shared" si="25"/>
        <v>2.1387331128886714E-3</v>
      </c>
      <c r="C815">
        <f>IF(A815&gt;='Goodness of fit'!$D$3,B815,0)</f>
        <v>2.1387331128886714E-3</v>
      </c>
      <c r="D815" s="2">
        <f t="shared" si="24"/>
        <v>4.5849904744382827E-3</v>
      </c>
      <c r="E815" s="18" t="str">
        <f>IF('Goodness of fit'!B815&gt;0,('Goodness of fit'!A815-'Goodness of fit'!B815)^2/'Goodness of fit'!B815,"")</f>
        <v/>
      </c>
      <c r="F815" s="2"/>
      <c r="G815" s="2"/>
    </row>
    <row r="816" spans="1:7" x14ac:dyDescent="0.35">
      <c r="A816">
        <f>'Goodness of fit'!D$6/1000+A815</f>
        <v>13.04000000000001</v>
      </c>
      <c r="B816">
        <f t="shared" si="25"/>
        <v>2.1229943555992805E-3</v>
      </c>
      <c r="C816">
        <f>IF(A816&gt;='Goodness of fit'!$D$3,B816,0)</f>
        <v>2.1229943555992805E-3</v>
      </c>
      <c r="D816" s="2">
        <f t="shared" si="24"/>
        <v>4.5508968075468588E-3</v>
      </c>
      <c r="E816" s="18" t="str">
        <f>IF('Goodness of fit'!B816&gt;0,('Goodness of fit'!A816-'Goodness of fit'!B816)^2/'Goodness of fit'!B816,"")</f>
        <v/>
      </c>
      <c r="F816" s="2"/>
      <c r="G816" s="2"/>
    </row>
    <row r="817" spans="1:7" x14ac:dyDescent="0.35">
      <c r="A817">
        <f>'Goodness of fit'!D$6/1000+A816</f>
        <v>13.05600000000001</v>
      </c>
      <c r="B817">
        <f t="shared" si="25"/>
        <v>2.1073698321633443E-3</v>
      </c>
      <c r="C817">
        <f>IF(A817&gt;='Goodness of fit'!$D$3,B817,0)</f>
        <v>2.1073698321633443E-3</v>
      </c>
      <c r="D817" s="2">
        <f t="shared" si="24"/>
        <v>4.5170540458128929E-3</v>
      </c>
      <c r="E817" s="18" t="str">
        <f>IF('Goodness of fit'!B817&gt;0,('Goodness of fit'!A817-'Goodness of fit'!B817)^2/'Goodness of fit'!B817,"")</f>
        <v/>
      </c>
      <c r="F817" s="2"/>
      <c r="G817" s="2"/>
    </row>
    <row r="818" spans="1:7" x14ac:dyDescent="0.35">
      <c r="A818">
        <f>'Goodness of fit'!D$6/1000+A817</f>
        <v>13.07200000000001</v>
      </c>
      <c r="B818">
        <f t="shared" si="25"/>
        <v>2.0918587291516668E-3</v>
      </c>
      <c r="C818">
        <f>IF(A818&gt;='Goodness of fit'!$D$3,B818,0)</f>
        <v>2.0918587291516668E-3</v>
      </c>
      <c r="D818" s="2">
        <f t="shared" si="24"/>
        <v>4.4834603680097051E-3</v>
      </c>
      <c r="E818" s="18" t="str">
        <f>IF('Goodness of fit'!B818&gt;0,('Goodness of fit'!A818-'Goodness of fit'!B818)^2/'Goodness of fit'!B818,"")</f>
        <v/>
      </c>
      <c r="F818" s="2"/>
      <c r="G818" s="2"/>
    </row>
    <row r="819" spans="1:7" x14ac:dyDescent="0.35">
      <c r="A819">
        <f>'Goodness of fit'!D$6/1000+A818</f>
        <v>13.08800000000001</v>
      </c>
      <c r="B819">
        <f t="shared" si="25"/>
        <v>2.0764602387675041E-3</v>
      </c>
      <c r="C819">
        <f>IF(A819&gt;='Goodness of fit'!$D$3,B819,0)</f>
        <v>2.0764602387675041E-3</v>
      </c>
      <c r="D819" s="2">
        <f t="shared" si="24"/>
        <v>4.4501139658803561E-3</v>
      </c>
      <c r="E819" s="18" t="str">
        <f>IF('Goodness of fit'!B819&gt;0,('Goodness of fit'!A819-'Goodness of fit'!B819)^2/'Goodness of fit'!B819,"")</f>
        <v/>
      </c>
      <c r="F819" s="2"/>
      <c r="G819" s="2"/>
    </row>
    <row r="820" spans="1:7" x14ac:dyDescent="0.35">
      <c r="A820">
        <f>'Goodness of fit'!D$6/1000+A819</f>
        <v>13.10400000000001</v>
      </c>
      <c r="B820">
        <f t="shared" si="25"/>
        <v>2.0611735588092523E-3</v>
      </c>
      <c r="C820">
        <f>IF(A820&gt;='Goodness of fit'!$D$3,B820,0)</f>
        <v>2.0611735588092523E-3</v>
      </c>
      <c r="D820" s="2">
        <f t="shared" si="24"/>
        <v>4.4170130440478591E-3</v>
      </c>
      <c r="E820" s="18" t="str">
        <f>IF('Goodness of fit'!B820&gt;0,('Goodness of fit'!A820-'Goodness of fit'!B820)^2/'Goodness of fit'!B820,"")</f>
        <v/>
      </c>
      <c r="F820" s="2"/>
      <c r="G820" s="2"/>
    </row>
    <row r="821" spans="1:7" x14ac:dyDescent="0.35">
      <c r="A821">
        <f>'Goodness of fit'!D$6/1000+A820</f>
        <v>13.12000000000001</v>
      </c>
      <c r="B821">
        <f t="shared" si="25"/>
        <v>2.0459978926333543E-3</v>
      </c>
      <c r="C821">
        <f>IF(A821&gt;='Goodness of fit'!$D$3,B821,0)</f>
        <v>2.0459978926333543E-3</v>
      </c>
      <c r="D821" s="2">
        <f t="shared" si="24"/>
        <v>4.3841558199259343E-3</v>
      </c>
      <c r="E821" s="18" t="str">
        <f>IF('Goodness of fit'!B821&gt;0,('Goodness of fit'!A821-'Goodness of fit'!B821)^2/'Goodness of fit'!B821,"")</f>
        <v/>
      </c>
      <c r="F821" s="2"/>
      <c r="G821" s="2"/>
    </row>
    <row r="822" spans="1:7" x14ac:dyDescent="0.35">
      <c r="A822">
        <f>'Goodness of fit'!D$6/1000+A821</f>
        <v>13.13600000000001</v>
      </c>
      <c r="B822">
        <f t="shared" si="25"/>
        <v>2.030932449117452E-3</v>
      </c>
      <c r="C822">
        <f>IF(A822&gt;='Goodness of fit'!$D$3,B822,0)</f>
        <v>2.030932449117452E-3</v>
      </c>
      <c r="D822" s="2">
        <f t="shared" si="24"/>
        <v>4.3515405236303813E-3</v>
      </c>
      <c r="E822" s="18" t="str">
        <f>IF('Goodness of fit'!B822&gt;0,('Goodness of fit'!A822-'Goodness of fit'!B822)^2/'Goodness of fit'!B822,"")</f>
        <v/>
      </c>
      <c r="F822" s="2"/>
      <c r="G822" s="2"/>
    </row>
    <row r="823" spans="1:7" x14ac:dyDescent="0.35">
      <c r="A823">
        <f>'Goodness of fit'!D$6/1000+A822</f>
        <v>13.15200000000001</v>
      </c>
      <c r="B823">
        <f t="shared" si="25"/>
        <v>2.0159764426237415E-3</v>
      </c>
      <c r="C823">
        <f>IF(A823&gt;='Goodness of fit'!$D$3,B823,0)</f>
        <v>2.0159764426237415E-3</v>
      </c>
      <c r="D823" s="2">
        <f t="shared" si="24"/>
        <v>4.3191653978910255E-3</v>
      </c>
      <c r="E823" s="18" t="str">
        <f>IF('Goodness of fit'!B823&gt;0,('Goodness of fit'!A823-'Goodness of fit'!B823)^2/'Goodness of fit'!B823,"")</f>
        <v/>
      </c>
      <c r="F823" s="2"/>
      <c r="G823" s="2"/>
    </row>
    <row r="824" spans="1:7" x14ac:dyDescent="0.35">
      <c r="A824">
        <f>'Goodness of fit'!D$6/1000+A823</f>
        <v>13.16800000000001</v>
      </c>
      <c r="B824">
        <f t="shared" si="25"/>
        <v>2.0011290929625712E-3</v>
      </c>
      <c r="C824">
        <f>IF(A824&gt;='Goodness of fit'!$D$3,B824,0)</f>
        <v>2.0011290929625712E-3</v>
      </c>
      <c r="D824" s="2">
        <f t="shared" si="24"/>
        <v>4.2870286979642767E-3</v>
      </c>
      <c r="E824" s="18" t="str">
        <f>IF('Goodness of fit'!B824&gt;0,('Goodness of fit'!A824-'Goodness of fit'!B824)^2/'Goodness of fit'!B824,"")</f>
        <v/>
      </c>
      <c r="F824" s="2"/>
      <c r="G824" s="2"/>
    </row>
    <row r="825" spans="1:7" x14ac:dyDescent="0.35">
      <c r="A825">
        <f>'Goodness of fit'!D$6/1000+A824</f>
        <v>13.18400000000001</v>
      </c>
      <c r="B825">
        <f t="shared" si="25"/>
        <v>1.9863896253562601E-3</v>
      </c>
      <c r="C825">
        <f>IF(A825&gt;='Goodness of fit'!$D$3,B825,0)</f>
        <v>1.9863896253562601E-3</v>
      </c>
      <c r="D825" s="2">
        <f t="shared" si="24"/>
        <v>4.25512869154622E-3</v>
      </c>
      <c r="E825" s="18" t="str">
        <f>IF('Goodness of fit'!B825&gt;0,('Goodness of fit'!A825-'Goodness of fit'!B825)^2/'Goodness of fit'!B825,"")</f>
        <v/>
      </c>
      <c r="F825" s="2"/>
      <c r="G825" s="2"/>
    </row>
    <row r="826" spans="1:7" x14ac:dyDescent="0.35">
      <c r="A826">
        <f>'Goodness of fit'!D$6/1000+A825</f>
        <v>13.20000000000001</v>
      </c>
      <c r="B826">
        <f t="shared" si="25"/>
        <v>1.9717572704031285E-3</v>
      </c>
      <c r="C826">
        <f>IF(A826&gt;='Goodness of fit'!$D$3,B826,0)</f>
        <v>1.9717572704031285E-3</v>
      </c>
      <c r="D826" s="2">
        <f t="shared" si="24"/>
        <v>4.2234636586863427E-3</v>
      </c>
      <c r="E826" s="18" t="str">
        <f>IF('Goodness of fit'!B826&gt;0,('Goodness of fit'!A826-'Goodness of fit'!B826)^2/'Goodness of fit'!B826,"")</f>
        <v/>
      </c>
      <c r="F826" s="2"/>
      <c r="G826" s="2"/>
    </row>
    <row r="827" spans="1:7" x14ac:dyDescent="0.35">
      <c r="A827">
        <f>'Goodness of fit'!D$6/1000+A826</f>
        <v>13.21600000000001</v>
      </c>
      <c r="B827">
        <f t="shared" si="25"/>
        <v>1.9572312640417679E-3</v>
      </c>
      <c r="C827">
        <f>IF(A827&gt;='Goodness of fit'!$D$3,B827,0)</f>
        <v>1.9572312640417679E-3</v>
      </c>
      <c r="D827" s="2">
        <f t="shared" si="24"/>
        <v>4.1920318917017755E-3</v>
      </c>
      <c r="E827" s="18" t="str">
        <f>IF('Goodness of fit'!B827&gt;0,('Goodness of fit'!A827-'Goodness of fit'!B827)^2/'Goodness of fit'!B827,"")</f>
        <v/>
      </c>
      <c r="F827" s="2"/>
      <c r="G827" s="2"/>
    </row>
    <row r="828" spans="1:7" x14ac:dyDescent="0.35">
      <c r="A828">
        <f>'Goodness of fit'!D$6/1000+A827</f>
        <v>13.23200000000001</v>
      </c>
      <c r="B828">
        <f t="shared" si="25"/>
        <v>1.942810847515513E-3</v>
      </c>
      <c r="C828">
        <f>IF(A828&gt;='Goodness of fit'!$D$3,B828,0)</f>
        <v>1.942810847515513E-3</v>
      </c>
      <c r="D828" s="2">
        <f t="shared" si="24"/>
        <v>4.1608316950921542E-3</v>
      </c>
      <c r="E828" s="18" t="str">
        <f>IF('Goodness of fit'!B828&gt;0,('Goodness of fit'!A828-'Goodness of fit'!B828)^2/'Goodness of fit'!B828,"")</f>
        <v/>
      </c>
      <c r="F828" s="2"/>
      <c r="G828" s="2"/>
    </row>
    <row r="829" spans="1:7" x14ac:dyDescent="0.35">
      <c r="A829">
        <f>'Goodness of fit'!D$6/1000+A828</f>
        <v>13.24800000000001</v>
      </c>
      <c r="B829">
        <f t="shared" si="25"/>
        <v>1.9284952673371476E-3</v>
      </c>
      <c r="C829">
        <f>IF(A829&gt;='Goodness of fit'!$D$3,B829,0)</f>
        <v>1.9284952673371476E-3</v>
      </c>
      <c r="D829" s="2">
        <f t="shared" si="24"/>
        <v>4.1298613854550172E-3</v>
      </c>
      <c r="E829" s="18" t="str">
        <f>IF('Goodness of fit'!B829&gt;0,('Goodness of fit'!A829-'Goodness of fit'!B829)^2/'Goodness of fit'!B829,"")</f>
        <v/>
      </c>
      <c r="F829" s="2"/>
      <c r="G829" s="2"/>
    </row>
    <row r="830" spans="1:7" x14ac:dyDescent="0.35">
      <c r="A830">
        <f>'Goodness of fit'!D$6/1000+A829</f>
        <v>13.26400000000001</v>
      </c>
      <c r="B830">
        <f t="shared" si="25"/>
        <v>1.9142837752538183E-3</v>
      </c>
      <c r="C830">
        <f>IF(A830&gt;='Goodness of fit'!$D$3,B830,0)</f>
        <v>1.9142837752538183E-3</v>
      </c>
      <c r="D830" s="2">
        <f t="shared" si="24"/>
        <v>4.0991192914017812E-3</v>
      </c>
      <c r="E830" s="18" t="str">
        <f>IF('Goodness of fit'!B830&gt;0,('Goodness of fit'!A830-'Goodness of fit'!B830)^2/'Goodness of fit'!B830,"")</f>
        <v/>
      </c>
      <c r="F830" s="2"/>
      <c r="G830" s="2"/>
    </row>
    <row r="831" spans="1:7" x14ac:dyDescent="0.35">
      <c r="A831">
        <f>'Goodness of fit'!D$6/1000+A830</f>
        <v>13.28000000000001</v>
      </c>
      <c r="B831">
        <f t="shared" si="25"/>
        <v>1.9001756282121726E-3</v>
      </c>
      <c r="C831">
        <f>IF(A831&gt;='Goodness of fit'!$D$3,B831,0)</f>
        <v>1.9001756282121726E-3</v>
      </c>
      <c r="D831" s="2">
        <f t="shared" si="24"/>
        <v>4.0686037534742609E-3</v>
      </c>
      <c r="E831" s="18" t="str">
        <f>IF('Goodness of fit'!B831&gt;0,('Goodness of fit'!A831-'Goodness of fit'!B831)^2/'Goodness of fit'!B831,"")</f>
        <v/>
      </c>
      <c r="F831" s="2"/>
      <c r="G831" s="2"/>
    </row>
    <row r="832" spans="1:7" x14ac:dyDescent="0.35">
      <c r="A832">
        <f>'Goodness of fit'!D$6/1000+A831</f>
        <v>13.29600000000001</v>
      </c>
      <c r="B832">
        <f t="shared" si="25"/>
        <v>1.8861700883237092E-3</v>
      </c>
      <c r="C832">
        <f>IF(A832&gt;='Goodness of fit'!$D$3,B832,0)</f>
        <v>1.8861700883237092E-3</v>
      </c>
      <c r="D832" s="2">
        <f t="shared" si="24"/>
        <v>4.0383131240617548E-3</v>
      </c>
      <c r="E832" s="18" t="str">
        <f>IF('Goodness of fit'!B832&gt;0,('Goodness of fit'!A832-'Goodness of fit'!B832)^2/'Goodness of fit'!B832,"")</f>
        <v/>
      </c>
      <c r="F832" s="2"/>
      <c r="G832" s="2"/>
    </row>
    <row r="833" spans="1:7" x14ac:dyDescent="0.35">
      <c r="A833">
        <f>'Goodness of fit'!D$6/1000+A832</f>
        <v>13.31200000000001</v>
      </c>
      <c r="B833">
        <f t="shared" si="25"/>
        <v>1.872266422830337E-3</v>
      </c>
      <c r="C833">
        <f>IF(A833&gt;='Goodness of fit'!$D$3,B833,0)</f>
        <v>1.872266422830337E-3</v>
      </c>
      <c r="D833" s="2">
        <f t="shared" si="24"/>
        <v>4.0082457673186996E-3</v>
      </c>
      <c r="E833" s="18" t="str">
        <f>IF('Goodness of fit'!B833&gt;0,('Goodness of fit'!A833-'Goodness of fit'!B833)^2/'Goodness of fit'!B833,"")</f>
        <v/>
      </c>
      <c r="F833" s="2"/>
      <c r="G833" s="2"/>
    </row>
    <row r="834" spans="1:7" x14ac:dyDescent="0.35">
      <c r="A834">
        <f>'Goodness of fit'!D$6/1000+A833</f>
        <v>13.32800000000001</v>
      </c>
      <c r="B834">
        <f t="shared" si="25"/>
        <v>1.858463904070165E-3</v>
      </c>
      <c r="C834">
        <f>IF(A834&gt;='Goodness of fit'!$D$3,B834,0)</f>
        <v>1.858463904070165E-3</v>
      </c>
      <c r="D834" s="2">
        <f t="shared" ref="D834:D897" si="26">CHIDIST(A834,F$1)</f>
        <v>3.978400059082841E-3</v>
      </c>
      <c r="E834" s="18" t="str">
        <f>IF('Goodness of fit'!B834&gt;0,('Goodness of fit'!A834-'Goodness of fit'!B834)^2/'Goodness of fit'!B834,"")</f>
        <v/>
      </c>
      <c r="F834" s="2"/>
      <c r="G834" s="2"/>
    </row>
    <row r="835" spans="1:7" x14ac:dyDescent="0.35">
      <c r="A835">
        <f>'Goodness of fit'!D$6/1000+A834</f>
        <v>13.34400000000001</v>
      </c>
      <c r="B835">
        <f t="shared" ref="B835:B898" si="27">_xlfn.CHISQ.DIST(A835,F$1,FALSE)</f>
        <v>1.844761809443482E-3</v>
      </c>
      <c r="C835">
        <f>IF(A835&gt;='Goodness of fit'!$D$3,B835,0)</f>
        <v>1.844761809443482E-3</v>
      </c>
      <c r="D835" s="2">
        <f t="shared" si="26"/>
        <v>3.9487743867939688E-3</v>
      </c>
      <c r="E835" s="18" t="str">
        <f>IF('Goodness of fit'!B835&gt;0,('Goodness of fit'!A835-'Goodness of fit'!B835)^2/'Goodness of fit'!B835,"")</f>
        <v/>
      </c>
      <c r="F835" s="2"/>
      <c r="G835" s="2"/>
    </row>
    <row r="836" spans="1:7" x14ac:dyDescent="0.35">
      <c r="A836">
        <f>'Goodness of fit'!D$6/1000+A835</f>
        <v>13.36000000000001</v>
      </c>
      <c r="B836">
        <f t="shared" si="27"/>
        <v>1.8311594213789662E-3</v>
      </c>
      <c r="C836">
        <f>IF(A836&gt;='Goodness of fit'!$D$3,B836,0)</f>
        <v>1.8311594213789662E-3</v>
      </c>
      <c r="D836" s="2">
        <f t="shared" si="26"/>
        <v>3.9193671494132049E-3</v>
      </c>
      <c r="E836" s="18" t="str">
        <f>IF('Goodness of fit'!B836&gt;0,('Goodness of fit'!A836-'Goodness of fit'!B836)^2/'Goodness of fit'!B836,"")</f>
        <v/>
      </c>
      <c r="F836" s="2"/>
      <c r="G836" s="2"/>
    </row>
    <row r="837" spans="1:7" x14ac:dyDescent="0.35">
      <c r="A837">
        <f>'Goodness of fit'!D$6/1000+A836</f>
        <v>13.37600000000001</v>
      </c>
      <c r="B837">
        <f t="shared" si="27"/>
        <v>1.8176560273000966E-3</v>
      </c>
      <c r="C837">
        <f>IF(A837&gt;='Goodness of fit'!$D$3,B837,0)</f>
        <v>1.8176560273000966E-3</v>
      </c>
      <c r="D837" s="2">
        <f t="shared" si="26"/>
        <v>3.8901767573428017E-3</v>
      </c>
      <c r="E837" s="18" t="str">
        <f>IF('Goodness of fit'!B837&gt;0,('Goodness of fit'!A837-'Goodness of fit'!B837)^2/'Goodness of fit'!B837,"")</f>
        <v/>
      </c>
      <c r="F837" s="2"/>
      <c r="G837" s="2"/>
    </row>
    <row r="838" spans="1:7" x14ac:dyDescent="0.35">
      <c r="A838">
        <f>'Goodness of fit'!D$6/1000+A837</f>
        <v>13.39200000000001</v>
      </c>
      <c r="B838">
        <f t="shared" si="27"/>
        <v>1.8042509195917715E-3</v>
      </c>
      <c r="C838">
        <f>IF(A838&gt;='Goodness of fit'!$D$3,B838,0)</f>
        <v>1.8042509195917715E-3</v>
      </c>
      <c r="D838" s="2">
        <f t="shared" si="26"/>
        <v>3.8612016323465001E-3</v>
      </c>
      <c r="E838" s="18" t="str">
        <f>IF('Goodness of fit'!B838&gt;0,('Goodness of fit'!A838-'Goodness of fit'!B838)^2/'Goodness of fit'!B838,"")</f>
        <v/>
      </c>
      <c r="F838" s="2"/>
      <c r="G838" s="2"/>
    </row>
    <row r="839" spans="1:7" x14ac:dyDescent="0.35">
      <c r="A839">
        <f>'Goodness of fit'!D$6/1000+A838</f>
        <v>13.40800000000001</v>
      </c>
      <c r="B839">
        <f t="shared" si="27"/>
        <v>1.7909433955671373E-3</v>
      </c>
      <c r="C839">
        <f>IF(A839&gt;='Goodness of fit'!$D$3,B839,0)</f>
        <v>1.7909433955671373E-3</v>
      </c>
      <c r="D839" s="2">
        <f t="shared" si="26"/>
        <v>3.8324402074704214E-3</v>
      </c>
      <c r="E839" s="18" t="str">
        <f>IF('Goodness of fit'!B839&gt;0,('Goodness of fit'!A839-'Goodness of fit'!B839)^2/'Goodness of fit'!B839,"")</f>
        <v/>
      </c>
      <c r="F839" s="2"/>
      <c r="G839" s="2"/>
    </row>
    <row r="840" spans="1:7" x14ac:dyDescent="0.35">
      <c r="A840">
        <f>'Goodness of fit'!D$6/1000+A839</f>
        <v>13.42400000000001</v>
      </c>
      <c r="B840">
        <f t="shared" si="27"/>
        <v>1.777732757434631E-3</v>
      </c>
      <c r="C840">
        <f>IF(A840&gt;='Goodness of fit'!$D$3,B840,0)</f>
        <v>1.777732757434631E-3</v>
      </c>
      <c r="D840" s="2">
        <f t="shared" si="26"/>
        <v>3.8038909269644591E-3</v>
      </c>
      <c r="E840" s="18" t="str">
        <f>IF('Goodness of fit'!B840&gt;0,('Goodness of fit'!A840-'Goodness of fit'!B840)^2/'Goodness of fit'!B840,"")</f>
        <v/>
      </c>
      <c r="F840" s="2"/>
      <c r="G840" s="2"/>
    </row>
    <row r="841" spans="1:7" x14ac:dyDescent="0.35">
      <c r="A841">
        <f>'Goodness of fit'!D$6/1000+A840</f>
        <v>13.44000000000001</v>
      </c>
      <c r="B841">
        <f t="shared" si="27"/>
        <v>1.7646183122652121E-3</v>
      </c>
      <c r="C841">
        <f>IF(A841&gt;='Goodness of fit'!$D$3,B841,0)</f>
        <v>1.7646183122652121E-3</v>
      </c>
      <c r="D841" s="2">
        <f t="shared" si="26"/>
        <v>3.7755522462042342E-3</v>
      </c>
      <c r="E841" s="18" t="str">
        <f>IF('Goodness of fit'!B841&gt;0,('Goodness of fit'!A841-'Goodness of fit'!B841)^2/'Goodness of fit'!B841,"")</f>
        <v/>
      </c>
      <c r="F841" s="2"/>
      <c r="G841" s="2"/>
    </row>
    <row r="842" spans="1:7" x14ac:dyDescent="0.35">
      <c r="A842">
        <f>'Goodness of fit'!D$6/1000+A841</f>
        <v>13.45600000000001</v>
      </c>
      <c r="B842">
        <f t="shared" si="27"/>
        <v>1.751599371959816E-3</v>
      </c>
      <c r="C842">
        <f>IF(A842&gt;='Goodness of fit'!$D$3,B842,0)</f>
        <v>1.751599371959816E-3</v>
      </c>
      <c r="D842" s="2">
        <f t="shared" si="26"/>
        <v>3.7474226316135525E-3</v>
      </c>
      <c r="E842" s="18" t="str">
        <f>IF('Goodness of fit'!B842&gt;0,('Goodness of fit'!A842-'Goodness of fit'!B842)^2/'Goodness of fit'!B842,"")</f>
        <v/>
      </c>
      <c r="F842" s="2"/>
      <c r="G842" s="2"/>
    </row>
    <row r="843" spans="1:7" x14ac:dyDescent="0.35">
      <c r="A843">
        <f>'Goodness of fit'!D$6/1000+A842</f>
        <v>13.47200000000001</v>
      </c>
      <c r="B843">
        <f t="shared" si="27"/>
        <v>1.738675253217001E-3</v>
      </c>
      <c r="C843">
        <f>IF(A843&gt;='Goodness of fit'!$D$3,B843,0)</f>
        <v>1.738675253217001E-3</v>
      </c>
      <c r="D843" s="2">
        <f t="shared" si="26"/>
        <v>3.7195005605873692E-3</v>
      </c>
      <c r="E843" s="18" t="str">
        <f>IF('Goodness of fit'!B843&gt;0,('Goodness of fit'!A843-'Goodness of fit'!B843)^2/'Goodness of fit'!B843,"")</f>
        <v/>
      </c>
      <c r="F843" s="2"/>
      <c r="G843" s="2"/>
    </row>
    <row r="844" spans="1:7" x14ac:dyDescent="0.35">
      <c r="A844">
        <f>'Goodness of fit'!D$6/1000+A843</f>
        <v>13.48800000000001</v>
      </c>
      <c r="B844">
        <f t="shared" si="27"/>
        <v>1.7258452775008003E-3</v>
      </c>
      <c r="C844">
        <f>IF(A844&gt;='Goodness of fit'!$D$3,B844,0)</f>
        <v>1.7258452775008003E-3</v>
      </c>
      <c r="D844" s="2">
        <f t="shared" si="26"/>
        <v>3.6917845214153055E-3</v>
      </c>
      <c r="E844" s="18" t="str">
        <f>IF('Goodness of fit'!B844&gt;0,('Goodness of fit'!A844-'Goodness of fit'!B844)^2/'Goodness of fit'!B844,"")</f>
        <v/>
      </c>
      <c r="F844" s="2"/>
      <c r="G844" s="2"/>
    </row>
    <row r="845" spans="1:7" x14ac:dyDescent="0.35">
      <c r="A845">
        <f>'Goodness of fit'!D$6/1000+A844</f>
        <v>13.50400000000001</v>
      </c>
      <c r="B845">
        <f t="shared" si="27"/>
        <v>1.713108771008773E-3</v>
      </c>
      <c r="C845">
        <f>IF(A845&gt;='Goodness of fit'!$D$3,B845,0)</f>
        <v>1.713108771008773E-3</v>
      </c>
      <c r="D845" s="2">
        <f t="shared" si="26"/>
        <v>3.6642730132056484E-3</v>
      </c>
      <c r="E845" s="18" t="str">
        <f>IF('Goodness of fit'!B845&gt;0,('Goodness of fit'!A845-'Goodness of fit'!B845)^2/'Goodness of fit'!B845,"")</f>
        <v/>
      </c>
      <c r="F845" s="2"/>
      <c r="G845" s="2"/>
    </row>
    <row r="846" spans="1:7" x14ac:dyDescent="0.35">
      <c r="A846">
        <f>'Goodness of fit'!D$6/1000+A845</f>
        <v>13.52000000000001</v>
      </c>
      <c r="B846">
        <f t="shared" si="27"/>
        <v>1.7004650646402584E-3</v>
      </c>
      <c r="C846">
        <f>IF(A846&gt;='Goodness of fit'!$D$3,B846,0)</f>
        <v>1.7004650646402584E-3</v>
      </c>
      <c r="D846" s="2">
        <f t="shared" si="26"/>
        <v>3.6369645458098642E-3</v>
      </c>
      <c r="E846" s="18" t="str">
        <f>IF('Goodness of fit'!B846&gt;0,('Goodness of fit'!A846-'Goodness of fit'!B846)^2/'Goodness of fit'!B846,"")</f>
        <v/>
      </c>
      <c r="F846" s="2"/>
      <c r="G846" s="2"/>
    </row>
    <row r="847" spans="1:7" x14ac:dyDescent="0.35">
      <c r="A847">
        <f>'Goodness of fit'!D$6/1000+A846</f>
        <v>13.53600000000001</v>
      </c>
      <c r="B847">
        <f t="shared" si="27"/>
        <v>1.687913493964832E-3</v>
      </c>
      <c r="C847">
        <f>IF(A847&gt;='Goodness of fit'!$D$3,B847,0)</f>
        <v>1.687913493964832E-3</v>
      </c>
      <c r="D847" s="2">
        <f t="shared" si="26"/>
        <v>3.6098576397476231E-3</v>
      </c>
      <c r="E847" s="18" t="str">
        <f>IF('Goodness of fit'!B847&gt;0,('Goodness of fit'!A847-'Goodness of fit'!B847)^2/'Goodness of fit'!B847,"")</f>
        <v/>
      </c>
      <c r="F847" s="2"/>
      <c r="G847" s="2"/>
    </row>
    <row r="848" spans="1:7" x14ac:dyDescent="0.35">
      <c r="A848">
        <f>'Goodness of fit'!D$6/1000+A847</f>
        <v>13.55200000000001</v>
      </c>
      <c r="B848">
        <f t="shared" si="27"/>
        <v>1.6754533991909471E-3</v>
      </c>
      <c r="C848">
        <f>IF(A848&gt;='Goodness of fit'!$D$3,B848,0)</f>
        <v>1.6754533991909471E-3</v>
      </c>
      <c r="D848" s="2">
        <f t="shared" si="26"/>
        <v>3.5829508261323332E-3</v>
      </c>
      <c r="E848" s="18" t="str">
        <f>IF('Goodness of fit'!B848&gt;0,('Goodness of fit'!A848-'Goodness of fit'!B848)^2/'Goodness of fit'!B848,"")</f>
        <v/>
      </c>
      <c r="F848" s="2"/>
      <c r="G848" s="2"/>
    </row>
    <row r="849" spans="1:7" x14ac:dyDescent="0.35">
      <c r="A849">
        <f>'Goodness of fit'!D$6/1000+A848</f>
        <v>13.56800000000001</v>
      </c>
      <c r="B849">
        <f t="shared" si="27"/>
        <v>1.6630841251347908E-3</v>
      </c>
      <c r="C849">
        <f>IF(A849&gt;='Goodness of fit'!$D$3,B849,0)</f>
        <v>1.6630841251347908E-3</v>
      </c>
      <c r="D849" s="2">
        <f t="shared" si="26"/>
        <v>3.5562426465971641E-3</v>
      </c>
      <c r="E849" s="18" t="str">
        <f>IF('Goodness of fit'!B849&gt;0,('Goodness of fit'!A849-'Goodness of fit'!B849)^2/'Goodness of fit'!B849,"")</f>
        <v/>
      </c>
      <c r="F849" s="2"/>
      <c r="G849" s="2"/>
    </row>
    <row r="850" spans="1:7" x14ac:dyDescent="0.35">
      <c r="A850">
        <f>'Goodness of fit'!D$6/1000+A849</f>
        <v>13.58400000000001</v>
      </c>
      <c r="B850">
        <f t="shared" si="27"/>
        <v>1.6508050211893181E-3</v>
      </c>
      <c r="C850">
        <f>IF(A850&gt;='Goodness of fit'!$D$3,B850,0)</f>
        <v>1.6508050211893181E-3</v>
      </c>
      <c r="D850" s="2">
        <f t="shared" si="26"/>
        <v>3.5297316532215727E-3</v>
      </c>
      <c r="E850" s="18" t="str">
        <f>IF('Goodness of fit'!B850&gt;0,('Goodness of fit'!A850-'Goodness of fit'!B850)^2/'Goodness of fit'!B850,"")</f>
        <v/>
      </c>
      <c r="F850" s="2"/>
      <c r="G850" s="2"/>
    </row>
    <row r="851" spans="1:7" x14ac:dyDescent="0.35">
      <c r="A851">
        <f>'Goodness of fit'!D$6/1000+A850</f>
        <v>13.60000000000001</v>
      </c>
      <c r="B851">
        <f t="shared" si="27"/>
        <v>1.6386154412934952E-3</v>
      </c>
      <c r="C851">
        <f>IF(A851&gt;='Goodness of fit'!$D$3,B851,0)</f>
        <v>1.6386154412934952E-3</v>
      </c>
      <c r="D851" s="2">
        <f t="shared" si="26"/>
        <v>3.5034164084583128E-3</v>
      </c>
      <c r="E851" s="18" t="str">
        <f>IF('Goodness of fit'!B851&gt;0,('Goodness of fit'!A851-'Goodness of fit'!B851)^2/'Goodness of fit'!B851,"")</f>
        <v/>
      </c>
      <c r="F851" s="2"/>
      <c r="G851" s="2"/>
    </row>
    <row r="852" spans="1:7" x14ac:dyDescent="0.35">
      <c r="A852">
        <f>'Goodness of fit'!D$6/1000+A851</f>
        <v>13.61600000000001</v>
      </c>
      <c r="B852">
        <f t="shared" si="27"/>
        <v>1.6265147439017301E-3</v>
      </c>
      <c r="C852">
        <f>IF(A852&gt;='Goodness of fit'!$D$3,B852,0)</f>
        <v>1.6265147439017301E-3</v>
      </c>
      <c r="D852" s="2">
        <f t="shared" si="26"/>
        <v>3.4772954850609567E-3</v>
      </c>
      <c r="E852" s="18" t="str">
        <f>IF('Goodness of fit'!B852&gt;0,('Goodness of fit'!A852-'Goodness of fit'!B852)^2/'Goodness of fit'!B852,"")</f>
        <v/>
      </c>
      <c r="F852" s="2"/>
      <c r="G852" s="2"/>
    </row>
    <row r="853" spans="1:7" x14ac:dyDescent="0.35">
      <c r="A853">
        <f>'Goodness of fit'!D$6/1000+A852</f>
        <v>13.63200000000001</v>
      </c>
      <c r="B853">
        <f t="shared" si="27"/>
        <v>1.614502291953491E-3</v>
      </c>
      <c r="C853">
        <f>IF(A853&gt;='Goodness of fit'!$D$3,B853,0)</f>
        <v>1.614502291953491E-3</v>
      </c>
      <c r="D853" s="2">
        <f t="shared" si="26"/>
        <v>3.4513674660118826E-3</v>
      </c>
      <c r="E853" s="18" t="str">
        <f>IF('Goodness of fit'!B853&gt;0,('Goodness of fit'!A853-'Goodness of fit'!B853)^2/'Goodness of fit'!B853,"")</f>
        <v/>
      </c>
      <c r="F853" s="2"/>
      <c r="G853" s="2"/>
    </row>
    <row r="854" spans="1:7" x14ac:dyDescent="0.35">
      <c r="A854">
        <f>'Goodness of fit'!D$6/1000+A853</f>
        <v>13.64800000000001</v>
      </c>
      <c r="B854">
        <f t="shared" si="27"/>
        <v>1.6025774528431269E-3</v>
      </c>
      <c r="C854">
        <f>IF(A854&gt;='Goodness of fit'!$D$3,B854,0)</f>
        <v>1.6025774528431269E-3</v>
      </c>
      <c r="D854" s="2">
        <f t="shared" si="26"/>
        <v>3.4256309444507635E-3</v>
      </c>
      <c r="E854" s="18" t="str">
        <f>IF('Goodness of fit'!B854&gt;0,('Goodness of fit'!A854-'Goodness of fit'!B854)^2/'Goodness of fit'!B854,"")</f>
        <v/>
      </c>
      <c r="F854" s="2"/>
      <c r="G854" s="2"/>
    </row>
    <row r="855" spans="1:7" x14ac:dyDescent="0.35">
      <c r="A855">
        <f>'Goodness of fit'!D$6/1000+A854</f>
        <v>13.66400000000001</v>
      </c>
      <c r="B855">
        <f t="shared" si="27"/>
        <v>1.5907395983898707E-3</v>
      </c>
      <c r="C855">
        <f>IF(A855&gt;='Goodness of fit'!$D$3,B855,0)</f>
        <v>1.5907395983898707E-3</v>
      </c>
      <c r="D855" s="2">
        <f t="shared" si="26"/>
        <v>3.4000845236035137E-3</v>
      </c>
      <c r="E855" s="18" t="str">
        <f>IF('Goodness of fit'!B855&gt;0,('Goodness of fit'!A855-'Goodness of fit'!B855)^2/'Goodness of fit'!B855,"")</f>
        <v/>
      </c>
      <c r="F855" s="2"/>
      <c r="G855" s="2"/>
    </row>
    <row r="856" spans="1:7" x14ac:dyDescent="0.35">
      <c r="A856">
        <f>'Goodness of fit'!D$6/1000+A855</f>
        <v>13.68000000000001</v>
      </c>
      <c r="B856">
        <f t="shared" si="27"/>
        <v>1.5789881048080326E-3</v>
      </c>
      <c r="C856">
        <f>IF(A856&gt;='Goodness of fit'!$D$3,B856,0)</f>
        <v>1.5789881048080326E-3</v>
      </c>
      <c r="D856" s="2">
        <f t="shared" si="26"/>
        <v>3.3747268167117483E-3</v>
      </c>
      <c r="E856" s="18" t="str">
        <f>IF('Goodness of fit'!B856&gt;0,('Goodness of fit'!A856-'Goodness of fit'!B856)^2/'Goodness of fit'!B856,"")</f>
        <v/>
      </c>
      <c r="F856" s="2"/>
      <c r="G856" s="2"/>
    </row>
    <row r="857" spans="1:7" x14ac:dyDescent="0.35">
      <c r="A857">
        <f>'Goodness of fit'!D$6/1000+A856</f>
        <v>13.69600000000001</v>
      </c>
      <c r="B857">
        <f t="shared" si="27"/>
        <v>1.5673223526773863E-3</v>
      </c>
      <c r="C857">
        <f>IF(A857&gt;='Goodness of fit'!$D$3,B857,0)</f>
        <v>1.5673223526773863E-3</v>
      </c>
      <c r="D857" s="2">
        <f t="shared" si="26"/>
        <v>3.3495564469626857E-3</v>
      </c>
      <c r="E857" s="18" t="str">
        <f>IF('Goodness of fit'!B857&gt;0,('Goodness of fit'!A857-'Goodness of fit'!B857)^2/'Goodness of fit'!B857,"")</f>
        <v/>
      </c>
      <c r="F857" s="2"/>
      <c r="G857" s="2"/>
    </row>
    <row r="858" spans="1:7" x14ac:dyDescent="0.35">
      <c r="A858">
        <f>'Goodness of fit'!D$6/1000+A857</f>
        <v>13.71200000000001</v>
      </c>
      <c r="B858">
        <f t="shared" si="27"/>
        <v>1.5557417269137369E-3</v>
      </c>
      <c r="C858">
        <f>IF(A858&gt;='Goodness of fit'!$D$3,B858,0)</f>
        <v>1.5557417269137369E-3</v>
      </c>
      <c r="D858" s="2">
        <f t="shared" si="26"/>
        <v>3.3245720474195449E-3</v>
      </c>
      <c r="E858" s="18" t="str">
        <f>IF('Goodness of fit'!B858&gt;0,('Goodness of fit'!A858-'Goodness of fit'!B858)^2/'Goodness of fit'!B858,"")</f>
        <v/>
      </c>
      <c r="F858" s="2"/>
      <c r="G858" s="2"/>
    </row>
    <row r="859" spans="1:7" x14ac:dyDescent="0.35">
      <c r="A859">
        <f>'Goodness of fit'!D$6/1000+A858</f>
        <v>13.72800000000001</v>
      </c>
      <c r="B859">
        <f t="shared" si="27"/>
        <v>1.5442456167396792E-3</v>
      </c>
      <c r="C859">
        <f>IF(A859&gt;='Goodness of fit'!$D$3,B859,0)</f>
        <v>1.5442456167396792E-3</v>
      </c>
      <c r="D859" s="2">
        <f t="shared" si="26"/>
        <v>3.2997722609523954E-3</v>
      </c>
      <c r="E859" s="18" t="str">
        <f>IF('Goodness of fit'!B859&gt;0,('Goodness of fit'!A859-'Goodness of fit'!B859)^2/'Goodness of fit'!B859,"")</f>
        <v/>
      </c>
      <c r="F859" s="2"/>
      <c r="G859" s="2"/>
    </row>
    <row r="860" spans="1:7" x14ac:dyDescent="0.35">
      <c r="A860">
        <f>'Goodness of fit'!D$6/1000+A859</f>
        <v>13.74400000000001</v>
      </c>
      <c r="B860">
        <f t="shared" si="27"/>
        <v>1.5328334156555355E-3</v>
      </c>
      <c r="C860">
        <f>IF(A860&gt;='Goodness of fit'!$D$3,B860,0)</f>
        <v>1.5328334156555355E-3</v>
      </c>
      <c r="D860" s="2">
        <f t="shared" si="26"/>
        <v>3.2751557401694852E-3</v>
      </c>
      <c r="E860" s="18" t="str">
        <f>IF('Goodness of fit'!B860&gt;0,('Goodness of fit'!A860-'Goodness of fit'!B860)^2/'Goodness of fit'!B860,"")</f>
        <v/>
      </c>
      <c r="F860" s="2"/>
      <c r="G860" s="2"/>
    </row>
    <row r="861" spans="1:7" x14ac:dyDescent="0.35">
      <c r="A861">
        <f>'Goodness of fit'!D$6/1000+A860</f>
        <v>13.76000000000001</v>
      </c>
      <c r="B861">
        <f t="shared" si="27"/>
        <v>1.5215045214104887E-3</v>
      </c>
      <c r="C861">
        <f>IF(A861&gt;='Goodness of fit'!$D$3,B861,0)</f>
        <v>1.5215045214104887E-3</v>
      </c>
      <c r="D861" s="2">
        <f t="shared" si="26"/>
        <v>3.2507211473490273E-3</v>
      </c>
      <c r="E861" s="18" t="str">
        <f>IF('Goodness of fit'!B861&gt;0,('Goodness of fit'!A861-'Goodness of fit'!B861)^2/'Goodness of fit'!B861,"")</f>
        <v/>
      </c>
      <c r="F861" s="2"/>
      <c r="G861" s="2"/>
    </row>
    <row r="862" spans="1:7" x14ac:dyDescent="0.35">
      <c r="A862">
        <f>'Goodness of fit'!D$6/1000+A861</f>
        <v>13.77600000000001</v>
      </c>
      <c r="B862">
        <f t="shared" si="27"/>
        <v>1.5102583359738859E-3</v>
      </c>
      <c r="C862">
        <f>IF(A862&gt;='Goodness of fit'!$D$3,B862,0)</f>
        <v>1.5102583359738859E-3</v>
      </c>
      <c r="D862" s="2">
        <f t="shared" si="26"/>
        <v>3.226467154371449E-3</v>
      </c>
      <c r="E862" s="18" t="str">
        <f>IF('Goodness of fit'!B862&gt;0,('Goodness of fit'!A862-'Goodness of fit'!B862)^2/'Goodness of fit'!B862,"")</f>
        <v/>
      </c>
      <c r="F862" s="2"/>
      <c r="G862" s="2"/>
    </row>
    <row r="863" spans="1:7" x14ac:dyDescent="0.35">
      <c r="A863">
        <f>'Goodness of fit'!D$6/1000+A862</f>
        <v>13.79200000000001</v>
      </c>
      <c r="B863">
        <f t="shared" si="27"/>
        <v>1.4990942655067306E-3</v>
      </c>
      <c r="C863">
        <f>IF(A863&gt;='Goodness of fit'!$D$3,B863,0)</f>
        <v>1.4990942655067306E-3</v>
      </c>
      <c r="D863" s="2">
        <f t="shared" si="26"/>
        <v>3.2023924426520995E-3</v>
      </c>
      <c r="E863" s="18" t="str">
        <f>IF('Goodness of fit'!B863&gt;0,('Goodness of fit'!A863-'Goodness of fit'!B863)^2/'Goodness of fit'!B863,"")</f>
        <v/>
      </c>
      <c r="F863" s="2"/>
      <c r="G863" s="2"/>
    </row>
    <row r="864" spans="1:7" x14ac:dyDescent="0.35">
      <c r="A864">
        <f>'Goodness of fit'!D$6/1000+A863</f>
        <v>13.80800000000001</v>
      </c>
      <c r="B864">
        <f t="shared" si="27"/>
        <v>1.4880117203333557E-3</v>
      </c>
      <c r="C864">
        <f>IF(A864&gt;='Goodness of fit'!$D$3,B864,0)</f>
        <v>1.4880117203333557E-3</v>
      </c>
      <c r="D864" s="2">
        <f t="shared" si="26"/>
        <v>3.1784957030744042E-3</v>
      </c>
      <c r="E864" s="18" t="str">
        <f>IF('Goodness of fit'!B864&gt;0,('Goodness of fit'!A864-'Goodness of fit'!B864)^2/'Goodness of fit'!B864,"")</f>
        <v/>
      </c>
      <c r="F864" s="2"/>
      <c r="G864" s="2"/>
    </row>
    <row r="865" spans="1:7" x14ac:dyDescent="0.35">
      <c r="A865">
        <f>'Goodness of fit'!D$6/1000+A864</f>
        <v>13.824000000000011</v>
      </c>
      <c r="B865">
        <f t="shared" si="27"/>
        <v>1.4770101149132765E-3</v>
      </c>
      <c r="C865">
        <f>IF(A865&gt;='Goodness of fit'!$D$3,B865,0)</f>
        <v>1.4770101149132765E-3</v>
      </c>
      <c r="D865" s="2">
        <f t="shared" si="26"/>
        <v>3.1547756359234778E-3</v>
      </c>
      <c r="E865" s="18" t="str">
        <f>IF('Goodness of fit'!B865&gt;0,('Goodness of fit'!A865-'Goodness of fit'!B865)^2/'Goodness of fit'!B865,"")</f>
        <v/>
      </c>
      <c r="F865" s="2"/>
      <c r="G865" s="2"/>
    </row>
    <row r="866" spans="1:7" x14ac:dyDescent="0.35">
      <c r="A866">
        <f>'Goodness of fit'!D$6/1000+A865</f>
        <v>13.840000000000011</v>
      </c>
      <c r="B866">
        <f t="shared" si="27"/>
        <v>1.4660888678132199E-3</v>
      </c>
      <c r="C866">
        <f>IF(A866&gt;='Goodness of fit'!$D$3,B866,0)</f>
        <v>1.4660888678132199E-3</v>
      </c>
      <c r="D866" s="2">
        <f t="shared" si="26"/>
        <v>3.1312309508201965E-3</v>
      </c>
      <c r="E866" s="18" t="str">
        <f>IF('Goodness of fit'!B866&gt;0,('Goodness of fit'!A866-'Goodness of fit'!B866)^2/'Goodness of fit'!B866,"")</f>
        <v/>
      </c>
      <c r="F866" s="2"/>
      <c r="G866" s="2"/>
    </row>
    <row r="867" spans="1:7" x14ac:dyDescent="0.35">
      <c r="A867">
        <f>'Goodness of fit'!D$6/1000+A866</f>
        <v>13.856000000000011</v>
      </c>
      <c r="B867">
        <f t="shared" si="27"/>
        <v>1.4552474016793361E-3</v>
      </c>
      <c r="C867">
        <f>IF(A867&gt;='Goodness of fit'!$D$3,B867,0)</f>
        <v>1.4552474016793361E-3</v>
      </c>
      <c r="D867" s="2">
        <f t="shared" si="26"/>
        <v>3.1078603666556898E-3</v>
      </c>
      <c r="E867" s="18" t="str">
        <f>IF('Goodness of fit'!B867&gt;0,('Goodness of fit'!A867-'Goodness of fit'!B867)^2/'Goodness of fit'!B867,"")</f>
        <v/>
      </c>
      <c r="F867" s="2"/>
      <c r="G867" s="2"/>
    </row>
    <row r="868" spans="1:7" x14ac:dyDescent="0.35">
      <c r="A868">
        <f>'Goodness of fit'!D$6/1000+A867</f>
        <v>13.872000000000011</v>
      </c>
      <c r="B868">
        <f t="shared" si="27"/>
        <v>1.4444851432095839E-3</v>
      </c>
      <c r="C868">
        <f>IF(A868&gt;='Goodness of fit'!$D$3,B868,0)</f>
        <v>1.4444851432095839E-3</v>
      </c>
      <c r="D868" s="2">
        <f t="shared" si="26"/>
        <v>3.0846626115262994E-3</v>
      </c>
      <c r="E868" s="18" t="str">
        <f>IF('Goodness of fit'!B868&gt;0,('Goodness of fit'!A868-'Goodness of fit'!B868)^2/'Goodness of fit'!B868,"")</f>
        <v/>
      </c>
      <c r="F868" s="2"/>
      <c r="G868" s="2"/>
    </row>
    <row r="869" spans="1:7" x14ac:dyDescent="0.35">
      <c r="A869">
        <f>'Goodness of fit'!D$6/1000+A868</f>
        <v>13.888000000000011</v>
      </c>
      <c r="B869">
        <f t="shared" si="27"/>
        <v>1.4338015231262942E-3</v>
      </c>
      <c r="C869">
        <f>IF(A869&gt;='Goodness of fit'!$D$3,B869,0)</f>
        <v>1.4338015231262942E-3</v>
      </c>
      <c r="D869" s="2">
        <f t="shared" si="26"/>
        <v>3.0616364226689636E-3</v>
      </c>
      <c r="E869" s="18" t="str">
        <f>IF('Goodness of fit'!B869&gt;0,('Goodness of fit'!A869-'Goodness of fit'!B869)^2/'Goodness of fit'!B869,"")</f>
        <v/>
      </c>
      <c r="F869" s="2"/>
      <c r="G869" s="2"/>
    </row>
    <row r="870" spans="1:7" x14ac:dyDescent="0.35">
      <c r="A870">
        <f>'Goodness of fit'!D$6/1000+A869</f>
        <v>13.904000000000011</v>
      </c>
      <c r="B870">
        <f t="shared" si="27"/>
        <v>1.4231959761489058E-3</v>
      </c>
      <c r="C870">
        <f>IF(A870&gt;='Goodness of fit'!$D$3,B870,0)</f>
        <v>1.4231959761489058E-3</v>
      </c>
      <c r="D870" s="2">
        <f t="shared" si="26"/>
        <v>3.0387805463970626E-3</v>
      </c>
      <c r="E870" s="18" t="str">
        <f>IF('Goodness of fit'!B870&gt;0,('Goodness of fit'!A870-'Goodness of fit'!B870)^2/'Goodness of fit'!B870,"")</f>
        <v/>
      </c>
      <c r="F870" s="2"/>
      <c r="G870" s="2"/>
    </row>
    <row r="871" spans="1:7" x14ac:dyDescent="0.35">
      <c r="A871">
        <f>'Goodness of fit'!D$6/1000+A870</f>
        <v>13.920000000000011</v>
      </c>
      <c r="B871">
        <f t="shared" si="27"/>
        <v>1.4126679409668793E-3</v>
      </c>
      <c r="C871">
        <f>IF(A871&gt;='Goodness of fit'!$D$3,B871,0)</f>
        <v>1.4126679409668793E-3</v>
      </c>
      <c r="D871" s="2">
        <f t="shared" si="26"/>
        <v>3.0160937380366609E-3</v>
      </c>
      <c r="E871" s="18" t="str">
        <f>IF('Goodness of fit'!B871&gt;0,('Goodness of fit'!A871-'Goodness of fit'!B871)^2/'Goodness of fit'!B871,"")</f>
        <v/>
      </c>
      <c r="F871" s="2"/>
      <c r="G871" s="2"/>
    </row>
    <row r="872" spans="1:7" x14ac:dyDescent="0.35">
      <c r="A872">
        <f>'Goodness of fit'!D$6/1000+A871</f>
        <v>13.936000000000011</v>
      </c>
      <c r="B872">
        <f t="shared" si="27"/>
        <v>1.4022168602127799E-3</v>
      </c>
      <c r="C872">
        <f>IF(A872&gt;='Goodness of fit'!$D$3,B872,0)</f>
        <v>1.4022168602127799E-3</v>
      </c>
      <c r="D872" s="2">
        <f t="shared" si="26"/>
        <v>2.9935747618632042E-3</v>
      </c>
      <c r="E872" s="18" t="str">
        <f>IF('Goodness of fit'!B872&gt;0,('Goodness of fit'!A872-'Goodness of fit'!B872)^2/'Goodness of fit'!B872,"")</f>
        <v/>
      </c>
      <c r="F872" s="2"/>
      <c r="G872" s="2"/>
    </row>
    <row r="873" spans="1:7" x14ac:dyDescent="0.35">
      <c r="A873">
        <f>'Goodness of fit'!D$6/1000+A872</f>
        <v>13.952000000000011</v>
      </c>
      <c r="B873">
        <f t="shared" si="27"/>
        <v>1.3918421804355338E-3</v>
      </c>
      <c r="C873">
        <f>IF(A873&gt;='Goodness of fit'!$D$3,B873,0)</f>
        <v>1.3918421804355338E-3</v>
      </c>
      <c r="D873" s="2">
        <f t="shared" si="26"/>
        <v>2.9712223910386653E-3</v>
      </c>
      <c r="E873" s="18" t="str">
        <f>IF('Goodness of fit'!B873&gt;0,('Goodness of fit'!A873-'Goodness of fit'!B873)^2/'Goodness of fit'!B873,"")</f>
        <v/>
      </c>
      <c r="F873" s="2"/>
      <c r="G873" s="2"/>
    </row>
    <row r="874" spans="1:7" x14ac:dyDescent="0.35">
      <c r="A874">
        <f>'Goodness of fit'!D$6/1000+A873</f>
        <v>13.968000000000011</v>
      </c>
      <c r="B874">
        <f t="shared" si="27"/>
        <v>1.3815433520738595E-3</v>
      </c>
      <c r="C874">
        <f>IF(A874&gt;='Goodness of fit'!$D$3,B874,0)</f>
        <v>1.3815433520738595E-3</v>
      </c>
      <c r="D874" s="2">
        <f t="shared" si="26"/>
        <v>2.9490354075490709E-3</v>
      </c>
      <c r="E874" s="18" t="str">
        <f>IF('Goodness of fit'!B874&gt;0,('Goodness of fit'!A874-'Goodness of fit'!B874)^2/'Goodness of fit'!B874,"")</f>
        <v/>
      </c>
      <c r="F874" s="2"/>
      <c r="G874" s="2"/>
    </row>
    <row r="875" spans="1:7" x14ac:dyDescent="0.35">
      <c r="A875">
        <f>'Goodness of fit'!D$6/1000+A874</f>
        <v>13.984000000000011</v>
      </c>
      <c r="B875">
        <f t="shared" si="27"/>
        <v>1.3713198294298603E-3</v>
      </c>
      <c r="C875">
        <f>IF(A875&gt;='Goodness of fit'!$D$3,B875,0)</f>
        <v>1.3713198294298603E-3</v>
      </c>
      <c r="D875" s="2">
        <f t="shared" si="26"/>
        <v>2.9270126021424901E-3</v>
      </c>
      <c r="E875" s="18" t="str">
        <f>IF('Goodness of fit'!B875&gt;0,('Goodness of fit'!A875-'Goodness of fit'!B875)^2/'Goodness of fit'!B875,"")</f>
        <v/>
      </c>
      <c r="F875" s="2"/>
      <c r="G875" s="2"/>
    </row>
    <row r="876" spans="1:7" x14ac:dyDescent="0.35">
      <c r="A876">
        <f>'Goodness of fit'!D$6/1000+A875</f>
        <v>14.000000000000011</v>
      </c>
      <c r="B876">
        <f t="shared" si="27"/>
        <v>1.361171070642795E-3</v>
      </c>
      <c r="C876">
        <f>IF(A876&gt;='Goodness of fit'!$D$3,B876,0)</f>
        <v>1.361171070642795E-3</v>
      </c>
      <c r="D876" s="2">
        <f t="shared" si="26"/>
        <v>2.9051527742674234E-3</v>
      </c>
      <c r="E876" s="18" t="str">
        <f>IF('Goodness of fit'!B876&gt;0,('Goodness of fit'!A876-'Goodness of fit'!B876)^2/'Goodness of fit'!B876,"")</f>
        <v/>
      </c>
      <c r="F876" s="2"/>
      <c r="G876" s="2"/>
    </row>
    <row r="877" spans="1:7" x14ac:dyDescent="0.35">
      <c r="A877">
        <f>'Goodness of fit'!D$6/1000+A876</f>
        <v>14.016000000000011</v>
      </c>
      <c r="B877">
        <f t="shared" si="27"/>
        <v>1.3510965376630131E-3</v>
      </c>
      <c r="C877">
        <f>IF(A877&gt;='Goodness of fit'!$D$3,B877,0)</f>
        <v>1.3510965376630131E-3</v>
      </c>
      <c r="D877" s="2">
        <f t="shared" si="26"/>
        <v>2.8834547320116225E-3</v>
      </c>
      <c r="E877" s="18" t="str">
        <f>IF('Goodness of fit'!B877&gt;0,('Goodness of fit'!A877-'Goodness of fit'!B877)^2/'Goodness of fit'!B877,"")</f>
        <v/>
      </c>
      <c r="F877" s="2"/>
      <c r="G877" s="2"/>
    </row>
    <row r="878" spans="1:7" x14ac:dyDescent="0.35">
      <c r="A878">
        <f>'Goodness of fit'!D$6/1000+A877</f>
        <v>14.032000000000011</v>
      </c>
      <c r="B878">
        <f t="shared" si="27"/>
        <v>1.3410956962260545E-3</v>
      </c>
      <c r="C878">
        <f>IF(A878&gt;='Goodness of fit'!$D$3,B878,0)</f>
        <v>1.3410956962260545E-3</v>
      </c>
      <c r="D878" s="2">
        <f t="shared" si="26"/>
        <v>2.861917292041312E-3</v>
      </c>
      <c r="E878" s="18" t="str">
        <f>IF('Goodness of fit'!B878&gt;0,('Goodness of fit'!A878-'Goodness of fit'!B878)^2/'Goodness of fit'!B878,"")</f>
        <v/>
      </c>
      <c r="F878" s="2"/>
      <c r="G878" s="2"/>
    </row>
    <row r="879" spans="1:7" x14ac:dyDescent="0.35">
      <c r="A879">
        <f>'Goodness of fit'!D$6/1000+A878</f>
        <v>14.048000000000011</v>
      </c>
      <c r="B879">
        <f t="shared" si="27"/>
        <v>1.331168015826922E-3</v>
      </c>
      <c r="C879">
        <f>IF(A879&gt;='Goodness of fit'!$D$3,B879,0)</f>
        <v>1.331168015826922E-3</v>
      </c>
      <c r="D879" s="2">
        <f t="shared" si="26"/>
        <v>2.8405392795408492E-3</v>
      </c>
      <c r="E879" s="18" t="str">
        <f>IF('Goodness of fit'!B879&gt;0,('Goodness of fit'!A879-'Goodness of fit'!B879)^2/'Goodness of fit'!B879,"")</f>
        <v/>
      </c>
      <c r="F879" s="2"/>
      <c r="G879" s="2"/>
    </row>
    <row r="880" spans="1:7" x14ac:dyDescent="0.35">
      <c r="A880">
        <f>'Goodness of fit'!D$6/1000+A879</f>
        <v>14.064000000000011</v>
      </c>
      <c r="B880">
        <f t="shared" si="27"/>
        <v>1.3213129696945114E-3</v>
      </c>
      <c r="C880">
        <f>IF(A880&gt;='Goodness of fit'!$D$3,B880,0)</f>
        <v>1.3213129696945114E-3</v>
      </c>
      <c r="D880" s="2">
        <f t="shared" si="26"/>
        <v>2.819319528152757E-3</v>
      </c>
      <c r="E880" s="18" t="str">
        <f>IF('Goodness of fit'!B880&gt;0,('Goodness of fit'!A880-'Goodness of fit'!B880)^2/'Goodness of fit'!B880,"")</f>
        <v/>
      </c>
      <c r="F880" s="2"/>
      <c r="G880" s="2"/>
    </row>
    <row r="881" spans="1:7" x14ac:dyDescent="0.35">
      <c r="A881">
        <f>'Goodness of fit'!D$6/1000+A880</f>
        <v>14.080000000000011</v>
      </c>
      <c r="B881">
        <f t="shared" si="27"/>
        <v>1.3115300347662129E-3</v>
      </c>
      <c r="C881">
        <f>IF(A881&gt;='Goodness of fit'!$D$3,B881,0)</f>
        <v>1.3115300347662129E-3</v>
      </c>
      <c r="D881" s="2">
        <f t="shared" si="26"/>
        <v>2.7982568799181894E-3</v>
      </c>
      <c r="E881" s="18" t="str">
        <f>IF('Goodness of fit'!B881&gt;0,('Goodness of fit'!A881-'Goodness of fit'!B881)^2/'Goodness of fit'!B881,"")</f>
        <v/>
      </c>
      <c r="F881" s="2"/>
      <c r="G881" s="2"/>
    </row>
    <row r="882" spans="1:7" x14ac:dyDescent="0.35">
      <c r="A882">
        <f>'Goodness of fit'!D$6/1000+A881</f>
        <v>14.096000000000011</v>
      </c>
      <c r="B882">
        <f t="shared" si="27"/>
        <v>1.30181869166267E-3</v>
      </c>
      <c r="C882">
        <f>IF(A882&gt;='Goodness of fit'!$D$3,B882,0)</f>
        <v>1.30181869166267E-3</v>
      </c>
      <c r="D882" s="2">
        <f t="shared" si="26"/>
        <v>2.7773501852178207E-3</v>
      </c>
      <c r="E882" s="18" t="str">
        <f>IF('Goodness of fit'!B882&gt;0,('Goodness of fit'!A882-'Goodness of fit'!B882)^2/'Goodness of fit'!B882,"")</f>
        <v/>
      </c>
      <c r="F882" s="2"/>
      <c r="G882" s="2"/>
    </row>
    <row r="883" spans="1:7" x14ac:dyDescent="0.35">
      <c r="A883">
        <f>'Goodness of fit'!D$6/1000+A882</f>
        <v>14.112000000000011</v>
      </c>
      <c r="B883">
        <f t="shared" si="27"/>
        <v>1.2921784246627049E-3</v>
      </c>
      <c r="C883">
        <f>IF(A883&gt;='Goodness of fit'!$D$3,B883,0)</f>
        <v>1.2921784246627049E-3</v>
      </c>
      <c r="D883" s="2">
        <f t="shared" si="26"/>
        <v>2.756598302713078E-3</v>
      </c>
      <c r="E883" s="18" t="str">
        <f>IF('Goodness of fit'!B883&gt;0,('Goodness of fit'!A883-'Goodness of fit'!B883)^2/'Goodness of fit'!B883,"")</f>
        <v/>
      </c>
      <c r="F883" s="2"/>
      <c r="G883" s="2"/>
    </row>
    <row r="884" spans="1:7" x14ac:dyDescent="0.35">
      <c r="A884">
        <f>'Goodness of fit'!D$6/1000+A883</f>
        <v>14.128000000000011</v>
      </c>
      <c r="B884">
        <f t="shared" si="27"/>
        <v>1.2826087216784047E-3</v>
      </c>
      <c r="C884">
        <f>IF(A884&gt;='Goodness of fit'!$D$3,B884,0)</f>
        <v>1.2826087216784047E-3</v>
      </c>
      <c r="D884" s="2">
        <f t="shared" si="26"/>
        <v>2.7360000992878398E-3</v>
      </c>
      <c r="E884" s="18" t="str">
        <f>IF('Goodness of fit'!B884&gt;0,('Goodness of fit'!A884-'Goodness of fit'!B884)^2/'Goodness of fit'!B884,"")</f>
        <v/>
      </c>
      <c r="F884" s="2"/>
      <c r="G884" s="2"/>
    </row>
    <row r="885" spans="1:7" x14ac:dyDescent="0.35">
      <c r="A885">
        <f>'Goodness of fit'!D$6/1000+A884</f>
        <v>14.144000000000011</v>
      </c>
      <c r="B885">
        <f t="shared" si="27"/>
        <v>1.2731090742303655E-3</v>
      </c>
      <c r="C885">
        <f>IF(A885&gt;='Goodness of fit'!$D$3,B885,0)</f>
        <v>1.2731090742303655E-3</v>
      </c>
      <c r="D885" s="2">
        <f t="shared" si="26"/>
        <v>2.7155544499904822E-3</v>
      </c>
      <c r="E885" s="18" t="str">
        <f>IF('Goodness of fit'!B885&gt;0,('Goodness of fit'!A885-'Goodness of fit'!B885)^2/'Goodness of fit'!B885,"")</f>
        <v/>
      </c>
      <c r="F885" s="2"/>
      <c r="G885" s="2"/>
    </row>
    <row r="886" spans="1:7" x14ac:dyDescent="0.35">
      <c r="A886">
        <f>'Goodness of fit'!D$6/1000+A885</f>
        <v>14.160000000000011</v>
      </c>
      <c r="B886">
        <f t="shared" si="27"/>
        <v>1.2636789774231006E-3</v>
      </c>
      <c r="C886">
        <f>IF(A886&gt;='Goodness of fit'!$D$3,B886,0)</f>
        <v>1.2636789774231006E-3</v>
      </c>
      <c r="D886" s="2">
        <f t="shared" si="26"/>
        <v>2.6952602379763475E-3</v>
      </c>
      <c r="E886" s="18" t="str">
        <f>IF('Goodness of fit'!B886&gt;0,('Goodness of fit'!A886-'Goodness of fit'!B886)^2/'Goodness of fit'!B886,"")</f>
        <v/>
      </c>
      <c r="F886" s="2"/>
      <c r="G886" s="2"/>
    </row>
    <row r="887" spans="1:7" x14ac:dyDescent="0.35">
      <c r="A887">
        <f>'Goodness of fit'!D$6/1000+A886</f>
        <v>14.176000000000011</v>
      </c>
      <c r="B887">
        <f t="shared" si="27"/>
        <v>1.254317929920603E-3</v>
      </c>
      <c r="C887">
        <f>IF(A887&gt;='Goodness of fit'!$D$3,B887,0)</f>
        <v>1.254317929920603E-3</v>
      </c>
      <c r="D887" s="2">
        <f t="shared" si="26"/>
        <v>2.675116354450609E-3</v>
      </c>
      <c r="E887" s="18" t="str">
        <f>IF('Goodness of fit'!B887&gt;0,('Goodness of fit'!A887-'Goodness of fit'!B887)^2/'Goodness of fit'!B887,"")</f>
        <v/>
      </c>
      <c r="F887" s="2"/>
      <c r="G887" s="2"/>
    </row>
    <row r="888" spans="1:7" x14ac:dyDescent="0.35">
      <c r="A888">
        <f>'Goodness of fit'!D$6/1000+A887</f>
        <v>14.192000000000011</v>
      </c>
      <c r="B888">
        <f t="shared" si="27"/>
        <v>1.2450254339220678E-3</v>
      </c>
      <c r="C888">
        <f>IF(A888&gt;='Goodness of fit'!$D$3,B888,0)</f>
        <v>1.2450254339220678E-3</v>
      </c>
      <c r="D888" s="2">
        <f t="shared" si="26"/>
        <v>2.6551216986114914E-3</v>
      </c>
      <c r="E888" s="18" t="str">
        <f>IF('Goodness of fit'!B888&gt;0,('Goodness of fit'!A888-'Goodness of fit'!B888)^2/'Goodness of fit'!B888,"")</f>
        <v/>
      </c>
      <c r="F888" s="2"/>
      <c r="G888" s="2"/>
    </row>
    <row r="889" spans="1:7" x14ac:dyDescent="0.35">
      <c r="A889">
        <f>'Goodness of fit'!D$6/1000+A888</f>
        <v>14.208000000000011</v>
      </c>
      <c r="B889">
        <f t="shared" si="27"/>
        <v>1.2358009951377734E-3</v>
      </c>
      <c r="C889">
        <f>IF(A889&gt;='Goodness of fit'!$D$3,B889,0)</f>
        <v>1.2358009951377734E-3</v>
      </c>
      <c r="D889" s="2">
        <f t="shared" si="26"/>
        <v>2.6352751775939147E-3</v>
      </c>
      <c r="E889" s="18" t="str">
        <f>IF('Goodness of fit'!B889&gt;0,('Goodness of fit'!A889-'Goodness of fit'!B889)^2/'Goodness of fit'!B889,"")</f>
        <v/>
      </c>
      <c r="F889" s="2"/>
      <c r="G889" s="2"/>
    </row>
    <row r="890" spans="1:7" x14ac:dyDescent="0.35">
      <c r="A890">
        <f>'Goodness of fit'!D$6/1000+A889</f>
        <v>14.224000000000011</v>
      </c>
      <c r="B890">
        <f t="shared" si="27"/>
        <v>1.2266441227651119E-3</v>
      </c>
      <c r="C890">
        <f>IF(A890&gt;='Goodness of fit'!$D$3,B890,0)</f>
        <v>1.2266441227651119E-3</v>
      </c>
      <c r="D890" s="2">
        <f t="shared" si="26"/>
        <v>2.615575706413503E-3</v>
      </c>
      <c r="E890" s="18" t="str">
        <f>IF('Goodness of fit'!B890&gt;0,('Goodness of fit'!A890-'Goodness of fit'!B890)^2/'Goodness of fit'!B890,"")</f>
        <v/>
      </c>
      <c r="F890" s="2"/>
      <c r="G890" s="2"/>
    </row>
    <row r="891" spans="1:7" x14ac:dyDescent="0.35">
      <c r="A891">
        <f>'Goodness of fit'!D$6/1000+A890</f>
        <v>14.240000000000011</v>
      </c>
      <c r="B891">
        <f t="shared" si="27"/>
        <v>1.2175543294647858E-3</v>
      </c>
      <c r="C891">
        <f>IF(A891&gt;='Goodness of fit'!$D$3,B891,0)</f>
        <v>1.2175543294647858E-3</v>
      </c>
      <c r="D891" s="2">
        <f t="shared" si="26"/>
        <v>2.5960222079109922E-3</v>
      </c>
      <c r="E891" s="18" t="str">
        <f>IF('Goodness of fit'!B891&gt;0,('Goodness of fit'!A891-'Goodness of fit'!B891)^2/'Goodness of fit'!B891,"")</f>
        <v/>
      </c>
      <c r="F891" s="2"/>
      <c r="G891" s="2"/>
    </row>
    <row r="892" spans="1:7" x14ac:dyDescent="0.35">
      <c r="A892">
        <f>'Goodness of fit'!D$6/1000+A891</f>
        <v>14.256000000000011</v>
      </c>
      <c r="B892">
        <f t="shared" si="27"/>
        <v>1.2085311313371448E-3</v>
      </c>
      <c r="C892">
        <f>IF(A892&gt;='Goodness of fit'!$D$3,B892,0)</f>
        <v>1.2085311313371448E-3</v>
      </c>
      <c r="D892" s="2">
        <f t="shared" si="26"/>
        <v>2.5766136126969827E-3</v>
      </c>
      <c r="E892" s="18" t="str">
        <f>IF('Goodness of fit'!B892&gt;0,('Goodness of fit'!A892-'Goodness of fit'!B892)^2/'Goodness of fit'!B892,"")</f>
        <v/>
      </c>
      <c r="F892" s="2"/>
      <c r="G892" s="2"/>
    </row>
    <row r="893" spans="1:7" x14ac:dyDescent="0.35">
      <c r="A893">
        <f>'Goodness of fit'!D$6/1000+A892</f>
        <v>14.272000000000011</v>
      </c>
      <c r="B893">
        <f t="shared" si="27"/>
        <v>1.1995740478986893E-3</v>
      </c>
      <c r="C893">
        <f>IF(A893&gt;='Goodness of fit'!$D$3,B893,0)</f>
        <v>1.1995740478986893E-3</v>
      </c>
      <c r="D893" s="2">
        <f t="shared" si="26"/>
        <v>2.5573488590971316E-3</v>
      </c>
      <c r="E893" s="18" t="str">
        <f>IF('Goodness of fit'!B893&gt;0,('Goodness of fit'!A893-'Goodness of fit'!B893)^2/'Goodness of fit'!B893,"")</f>
        <v/>
      </c>
      <c r="F893" s="2"/>
      <c r="G893" s="2"/>
    </row>
    <row r="894" spans="1:7" x14ac:dyDescent="0.35">
      <c r="A894">
        <f>'Goodness of fit'!D$6/1000+A893</f>
        <v>14.288000000000011</v>
      </c>
      <c r="B894">
        <f t="shared" si="27"/>
        <v>1.1906826020587164E-3</v>
      </c>
      <c r="C894">
        <f>IF(A894&gt;='Goodness of fit'!$D$3,B894,0)</f>
        <v>1.1906826020587164E-3</v>
      </c>
      <c r="D894" s="2">
        <f t="shared" si="26"/>
        <v>2.5382268930976334E-3</v>
      </c>
      <c r="E894" s="18" t="str">
        <f>IF('Goodness of fit'!B894&gt;0,('Goodness of fit'!A894-'Goodness of fit'!B894)^2/'Goodness of fit'!B894,"")</f>
        <v/>
      </c>
      <c r="F894" s="2"/>
      <c r="G894" s="2"/>
    </row>
    <row r="895" spans="1:7" x14ac:dyDescent="0.35">
      <c r="A895">
        <f>'Goodness of fit'!D$6/1000+A894</f>
        <v>14.304000000000011</v>
      </c>
      <c r="B895">
        <f t="shared" si="27"/>
        <v>1.1818563200961224E-3</v>
      </c>
      <c r="C895">
        <f>IF(A895&gt;='Goodness of fit'!$D$3,B895,0)</f>
        <v>1.1818563200961224E-3</v>
      </c>
      <c r="D895" s="2">
        <f t="shared" si="26"/>
        <v>2.5192466682911682E-3</v>
      </c>
      <c r="E895" s="18" t="str">
        <f>IF('Goodness of fit'!B895&gt;0,('Goodness of fit'!A895-'Goodness of fit'!B895)^2/'Goodness of fit'!B895,"")</f>
        <v/>
      </c>
      <c r="F895" s="2"/>
      <c r="G895" s="2"/>
    </row>
    <row r="896" spans="1:7" x14ac:dyDescent="0.35">
      <c r="A896">
        <f>'Goodness of fit'!D$6/1000+A895</f>
        <v>14.320000000000011</v>
      </c>
      <c r="B896">
        <f t="shared" si="27"/>
        <v>1.1730947316363552E-3</v>
      </c>
      <c r="C896">
        <f>IF(A896&gt;='Goodness of fit'!$D$3,B896,0)</f>
        <v>1.1730947316363552E-3</v>
      </c>
      <c r="D896" s="2">
        <f t="shared" si="26"/>
        <v>2.5004071458231323E-3</v>
      </c>
      <c r="E896" s="18" t="str">
        <f>IF('Goodness of fit'!B896&gt;0,('Goodness of fit'!A896-'Goodness of fit'!B896)^2/'Goodness of fit'!B896,"")</f>
        <v/>
      </c>
      <c r="F896" s="2"/>
      <c r="G896" s="2"/>
    </row>
    <row r="897" spans="1:7" x14ac:dyDescent="0.35">
      <c r="A897">
        <f>'Goodness of fit'!D$6/1000+A896</f>
        <v>14.336000000000011</v>
      </c>
      <c r="B897">
        <f t="shared" si="27"/>
        <v>1.1643973696285129E-3</v>
      </c>
      <c r="C897">
        <f>IF(A897&gt;='Goodness of fit'!$D$3,B897,0)</f>
        <v>1.1643973696285129E-3</v>
      </c>
      <c r="D897" s="2">
        <f t="shared" si="26"/>
        <v>2.4817072943383125E-3</v>
      </c>
      <c r="E897" s="18" t="str">
        <f>IF('Goodness of fit'!B897&gt;0,('Goodness of fit'!A897-'Goodness of fit'!B897)^2/'Goodness of fit'!B897,"")</f>
        <v/>
      </c>
      <c r="F897" s="2"/>
      <c r="G897" s="2"/>
    </row>
    <row r="898" spans="1:7" x14ac:dyDescent="0.35">
      <c r="A898">
        <f>'Goodness of fit'!D$6/1000+A897</f>
        <v>14.352000000000011</v>
      </c>
      <c r="B898">
        <f t="shared" si="27"/>
        <v>1.1557637703225969E-3</v>
      </c>
      <c r="C898">
        <f>IF(A898&gt;='Goodness of fit'!$D$3,B898,0)</f>
        <v>1.1557637703225969E-3</v>
      </c>
      <c r="D898" s="2">
        <f t="shared" ref="D898:D961" si="28">CHIDIST(A898,F$1)</f>
        <v>2.4631460899278619E-3</v>
      </c>
      <c r="E898" s="18" t="str">
        <f>IF('Goodness of fit'!B898&gt;0,('Goodness of fit'!A898-'Goodness of fit'!B898)^2/'Goodness of fit'!B898,"")</f>
        <v/>
      </c>
      <c r="F898" s="2"/>
      <c r="G898" s="2"/>
    </row>
    <row r="899" spans="1:7" x14ac:dyDescent="0.35">
      <c r="A899">
        <f>'Goodness of fit'!D$6/1000+A898</f>
        <v>14.368000000000011</v>
      </c>
      <c r="B899">
        <f t="shared" ref="B899:B962" si="29">_xlfn.CHISQ.DIST(A899,F$1,FALSE)</f>
        <v>1.1471934732469099E-3</v>
      </c>
      <c r="C899">
        <f>IF(A899&gt;='Goodness of fit'!$D$3,B899,0)</f>
        <v>1.1471934732469099E-3</v>
      </c>
      <c r="D899" s="2">
        <f t="shared" si="28"/>
        <v>2.4447225160766726E-3</v>
      </c>
      <c r="E899" s="18" t="str">
        <f>IF('Goodness of fit'!B899&gt;0,('Goodness of fit'!A899-'Goodness of fit'!B899)^2/'Goodness of fit'!B899,"")</f>
        <v/>
      </c>
      <c r="F899" s="2"/>
      <c r="G899" s="2"/>
    </row>
    <row r="900" spans="1:7" x14ac:dyDescent="0.35">
      <c r="A900">
        <f>'Goodness of fit'!D$6/1000+A899</f>
        <v>14.384000000000011</v>
      </c>
      <c r="B900">
        <f t="shared" si="29"/>
        <v>1.1386860211855965E-3</v>
      </c>
      <c r="C900">
        <f>IF(A900&gt;='Goodness of fit'!$D$3,B900,0)</f>
        <v>1.1386860211855965E-3</v>
      </c>
      <c r="D900" s="2">
        <f t="shared" si="28"/>
        <v>2.4264355636111228E-3</v>
      </c>
      <c r="E900" s="18" t="str">
        <f>IF('Goodness of fit'!B900&gt;0,('Goodness of fit'!A900-'Goodness of fit'!B900)^2/'Goodness of fit'!B900,"")</f>
        <v/>
      </c>
      <c r="F900" s="2"/>
      <c r="G900" s="2"/>
    </row>
    <row r="901" spans="1:7" x14ac:dyDescent="0.35">
      <c r="A901">
        <f>'Goodness of fit'!D$6/1000+A900</f>
        <v>14.400000000000011</v>
      </c>
      <c r="B901">
        <f t="shared" si="29"/>
        <v>1.1302409601563412E-3</v>
      </c>
      <c r="C901">
        <f>IF(A901&gt;='Goodness of fit'!$D$3,B901,0)</f>
        <v>1.1302409601563412E-3</v>
      </c>
      <c r="D901" s="2">
        <f t="shared" si="28"/>
        <v>2.4082842306471339E-3</v>
      </c>
      <c r="E901" s="18" t="str">
        <f>IF('Goodness of fit'!B901&gt;0,('Goodness of fit'!A901-'Goodness of fit'!B901)^2/'Goodness of fit'!B901,"")</f>
        <v/>
      </c>
      <c r="F901" s="2"/>
      <c r="G901" s="2"/>
    </row>
    <row r="902" spans="1:7" x14ac:dyDescent="0.35">
      <c r="A902">
        <f>'Goodness of fit'!D$6/1000+A901</f>
        <v>14.416000000000011</v>
      </c>
      <c r="B902">
        <f t="shared" si="29"/>
        <v>1.121857839388198E-3</v>
      </c>
      <c r="C902">
        <f>IF(A902&gt;='Goodness of fit'!$D$3,B902,0)</f>
        <v>1.121857839388198E-3</v>
      </c>
      <c r="D902" s="2">
        <f t="shared" si="28"/>
        <v>2.3902675225386289E-3</v>
      </c>
      <c r="E902" s="18" t="str">
        <f>IF('Goodness of fit'!B902&gt;0,('Goodness of fit'!A902-'Goodness of fit'!B902)^2/'Goodness of fit'!B902,"")</f>
        <v/>
      </c>
      <c r="F902" s="2"/>
      <c r="G902" s="2"/>
    </row>
    <row r="903" spans="1:7" x14ac:dyDescent="0.35">
      <c r="A903">
        <f>'Goodness of fit'!D$6/1000+A902</f>
        <v>14.432000000000011</v>
      </c>
      <c r="B903">
        <f t="shared" si="29"/>
        <v>1.1135362112995775E-3</v>
      </c>
      <c r="C903">
        <f>IF(A903&gt;='Goodness of fit'!$D$3,B903,0)</f>
        <v>1.1135362112995775E-3</v>
      </c>
      <c r="D903" s="2">
        <f t="shared" si="28"/>
        <v>2.3723844518263172E-3</v>
      </c>
      <c r="E903" s="18" t="str">
        <f>IF('Goodness of fit'!B903&gt;0,('Goodness of fit'!A903-'Goodness of fit'!B903)^2/'Goodness of fit'!B903,"")</f>
        <v/>
      </c>
      <c r="F903" s="2"/>
      <c r="G903" s="2"/>
    </row>
    <row r="904" spans="1:7" x14ac:dyDescent="0.35">
      <c r="A904">
        <f>'Goodness of fit'!D$6/1000+A903</f>
        <v>14.448000000000011</v>
      </c>
      <c r="B904">
        <f t="shared" si="29"/>
        <v>1.1052756314763662E-3</v>
      </c>
      <c r="C904">
        <f>IF(A904&gt;='Goodness of fit'!$D$3,B904,0)</f>
        <v>1.1052756314763662E-3</v>
      </c>
      <c r="D904" s="2">
        <f t="shared" si="28"/>
        <v>2.3546340381868521E-3</v>
      </c>
      <c r="E904" s="18" t="str">
        <f>IF('Goodness of fit'!B904&gt;0,('Goodness of fit'!A904-'Goodness of fit'!B904)^2/'Goodness of fit'!B904,"")</f>
        <v/>
      </c>
      <c r="F904" s="2"/>
      <c r="G904" s="2"/>
    </row>
    <row r="905" spans="1:7" x14ac:dyDescent="0.35">
      <c r="A905">
        <f>'Goodness of fit'!D$6/1000+A904</f>
        <v>14.464000000000011</v>
      </c>
      <c r="B905">
        <f t="shared" si="29"/>
        <v>1.0970756586501955E-3</v>
      </c>
      <c r="C905">
        <f>IF(A905&gt;='Goodness of fit'!$D$3,B905,0)</f>
        <v>1.0970756586501955E-3</v>
      </c>
      <c r="D905" s="2">
        <f t="shared" si="28"/>
        <v>2.3370153083823141E-3</v>
      </c>
      <c r="E905" s="18" t="str">
        <f>IF('Goodness of fit'!B905&gt;0,('Goodness of fit'!A905-'Goodness of fit'!B905)^2/'Goodness of fit'!B905,"")</f>
        <v/>
      </c>
      <c r="F905" s="2"/>
      <c r="G905" s="2"/>
    </row>
    <row r="906" spans="1:7" x14ac:dyDescent="0.35">
      <c r="A906">
        <f>'Goodness of fit'!D$6/1000+A905</f>
        <v>14.480000000000011</v>
      </c>
      <c r="B906">
        <f t="shared" si="29"/>
        <v>1.0889358546768526E-3</v>
      </c>
      <c r="C906">
        <f>IF(A906&gt;='Goodness of fit'!$D$3,B906,0)</f>
        <v>1.0889358546768526E-3</v>
      </c>
      <c r="D906" s="2">
        <f t="shared" si="28"/>
        <v>2.3195272962100509E-3</v>
      </c>
      <c r="E906" s="18" t="str">
        <f>IF('Goodness of fit'!B906&gt;0,('Goodness of fit'!A906-'Goodness of fit'!B906)^2/'Goodness of fit'!B906,"")</f>
        <v/>
      </c>
      <c r="F906" s="2"/>
      <c r="G906" s="2"/>
    </row>
    <row r="907" spans="1:7" x14ac:dyDescent="0.35">
      <c r="A907">
        <f>'Goodness of fit'!D$6/1000+A906</f>
        <v>14.496000000000011</v>
      </c>
      <c r="B907">
        <f t="shared" si="29"/>
        <v>1.0808557845148282E-3</v>
      </c>
      <c r="C907">
        <f>IF(A907&gt;='Goodness of fit'!$D$3,B907,0)</f>
        <v>1.0808557845148282E-3</v>
      </c>
      <c r="D907" s="2">
        <f t="shared" si="28"/>
        <v>2.302169042452873E-3</v>
      </c>
      <c r="E907" s="18" t="str">
        <f>IF('Goodness of fit'!B907&gt;0,('Goodness of fit'!A907-'Goodness of fit'!B907)^2/'Goodness of fit'!B907,"")</f>
        <v/>
      </c>
      <c r="F907" s="2"/>
      <c r="G907" s="2"/>
    </row>
    <row r="908" spans="1:7" x14ac:dyDescent="0.35">
      <c r="A908">
        <f>'Goodness of fit'!D$6/1000+A907</f>
        <v>14.512000000000011</v>
      </c>
      <c r="B908">
        <f t="shared" si="29"/>
        <v>1.0728350162040063E-3</v>
      </c>
      <c r="C908">
        <f>IF(A908&gt;='Goodness of fit'!$D$3,B908,0)</f>
        <v>1.0728350162040063E-3</v>
      </c>
      <c r="D908" s="2">
        <f t="shared" si="28"/>
        <v>2.2849395948295807E-3</v>
      </c>
      <c r="E908" s="18" t="str">
        <f>IF('Goodness of fit'!B908&gt;0,('Goodness of fit'!A908-'Goodness of fit'!B908)^2/'Goodness of fit'!B908,"")</f>
        <v/>
      </c>
      <c r="F908" s="2"/>
      <c r="G908" s="2"/>
    </row>
    <row r="909" spans="1:7" x14ac:dyDescent="0.35">
      <c r="A909">
        <f>'Goodness of fit'!D$6/1000+A908</f>
        <v>14.528000000000011</v>
      </c>
      <c r="B909">
        <f t="shared" si="29"/>
        <v>1.0648731208444974E-3</v>
      </c>
      <c r="C909">
        <f>IF(A909&gt;='Goodness of fit'!$D$3,B909,0)</f>
        <v>1.0648731208444974E-3</v>
      </c>
      <c r="D909" s="2">
        <f t="shared" si="28"/>
        <v>2.2678380079458106E-3</v>
      </c>
      <c r="E909" s="18" t="str">
        <f>IF('Goodness of fit'!B909&gt;0,('Goodness of fit'!A909-'Goodness of fit'!B909)^2/'Goodness of fit'!B909,"")</f>
        <v/>
      </c>
      <c r="F909" s="2"/>
      <c r="G909" s="2"/>
    </row>
    <row r="910" spans="1:7" x14ac:dyDescent="0.35">
      <c r="A910">
        <f>'Goodness of fit'!D$6/1000+A909</f>
        <v>14.544000000000011</v>
      </c>
      <c r="B910">
        <f t="shared" si="29"/>
        <v>1.0569696725756003E-3</v>
      </c>
      <c r="C910">
        <f>IF(A910&gt;='Goodness of fit'!$D$3,B910,0)</f>
        <v>1.0569696725756003E-3</v>
      </c>
      <c r="D910" s="2">
        <f t="shared" si="28"/>
        <v>2.2508633432452756E-3</v>
      </c>
      <c r="E910" s="18" t="str">
        <f>IF('Goodness of fit'!B910&gt;0,('Goodness of fit'!A910-'Goodness of fit'!B910)^2/'Goodness of fit'!B910,"")</f>
        <v/>
      </c>
      <c r="F910" s="2"/>
      <c r="G910" s="2"/>
    </row>
    <row r="911" spans="1:7" x14ac:dyDescent="0.35">
      <c r="A911">
        <f>'Goodness of fit'!D$6/1000+A910</f>
        <v>14.560000000000011</v>
      </c>
      <c r="B911">
        <f t="shared" si="29"/>
        <v>1.0491242485549145E-3</v>
      </c>
      <c r="C911">
        <f>IF(A911&gt;='Goodness of fit'!$D$3,B911,0)</f>
        <v>1.0491242485549145E-3</v>
      </c>
      <c r="D911" s="2">
        <f t="shared" si="28"/>
        <v>2.2340146689612699E-3</v>
      </c>
      <c r="E911" s="18" t="str">
        <f>IF('Goodness of fit'!B911&gt;0,('Goodness of fit'!A911-'Goodness of fit'!B911)^2/'Goodness of fit'!B911,"")</f>
        <v/>
      </c>
      <c r="F911" s="2"/>
      <c r="G911" s="2"/>
    </row>
    <row r="912" spans="1:7" x14ac:dyDescent="0.35">
      <c r="A912">
        <f>'Goodness of fit'!D$6/1000+A911</f>
        <v>14.576000000000011</v>
      </c>
      <c r="B912">
        <f t="shared" si="29"/>
        <v>1.0413364289375785E-3</v>
      </c>
      <c r="C912">
        <f>IF(A912&gt;='Goodness of fit'!$D$3,B912,0)</f>
        <v>1.0413364289375785E-3</v>
      </c>
      <c r="D912" s="2">
        <f t="shared" si="28"/>
        <v>2.2172910600685618E-3</v>
      </c>
      <c r="E912" s="18" t="str">
        <f>IF('Goodness of fit'!B912&gt;0,('Goodness of fit'!A912-'Goodness of fit'!B912)^2/'Goodness of fit'!B912,"")</f>
        <v/>
      </c>
      <c r="F912" s="2"/>
      <c r="G912" s="2"/>
    </row>
    <row r="913" spans="1:7" x14ac:dyDescent="0.35">
      <c r="A913">
        <f>'Goodness of fit'!D$6/1000+A912</f>
        <v>14.592000000000011</v>
      </c>
      <c r="B913">
        <f t="shared" si="29"/>
        <v>1.03360579685565E-3</v>
      </c>
      <c r="C913">
        <f>IF(A913&gt;='Goodness of fit'!$D$3,B913,0)</f>
        <v>1.03360579685565E-3</v>
      </c>
      <c r="D913" s="2">
        <f t="shared" si="28"/>
        <v>2.2006915982356033E-3</v>
      </c>
      <c r="E913" s="18" t="str">
        <f>IF('Goodness of fit'!B913&gt;0,('Goodness of fit'!A913-'Goodness of fit'!B913)^2/'Goodness of fit'!B913,"")</f>
        <v/>
      </c>
      <c r="F913" s="2"/>
      <c r="G913" s="2"/>
    </row>
    <row r="914" spans="1:7" x14ac:dyDescent="0.35">
      <c r="A914">
        <f>'Goodness of fit'!D$6/1000+A913</f>
        <v>14.608000000000011</v>
      </c>
      <c r="B914">
        <f t="shared" si="29"/>
        <v>1.0259319383976186E-3</v>
      </c>
      <c r="C914">
        <f>IF(A914&gt;='Goodness of fit'!$D$3,B914,0)</f>
        <v>1.0259319383976186E-3</v>
      </c>
      <c r="D914" s="2">
        <f t="shared" si="28"/>
        <v>2.1842153717770447E-3</v>
      </c>
      <c r="E914" s="18" t="str">
        <f>IF('Goodness of fit'!B914&gt;0,('Goodness of fit'!A914-'Goodness of fit'!B914)^2/'Goodness of fit'!B914,"")</f>
        <v/>
      </c>
      <c r="F914" s="2"/>
      <c r="G914" s="2"/>
    </row>
    <row r="915" spans="1:7" x14ac:dyDescent="0.35">
      <c r="A915">
        <f>'Goodness of fit'!D$6/1000+A914</f>
        <v>14.624000000000011</v>
      </c>
      <c r="B915">
        <f t="shared" si="29"/>
        <v>1.0183144425880558E-3</v>
      </c>
      <c r="C915">
        <f>IF(A915&gt;='Goodness of fit'!$D$3,B915,0)</f>
        <v>1.0183144425880558E-3</v>
      </c>
      <c r="D915" s="2">
        <f t="shared" si="28"/>
        <v>2.1678614756066071E-3</v>
      </c>
      <c r="E915" s="18" t="str">
        <f>IF('Goodness of fit'!B915&gt;0,('Goodness of fit'!A915-'Goodness of fit'!B915)^2/'Goodness of fit'!B915,"")</f>
        <v/>
      </c>
      <c r="F915" s="2"/>
      <c r="G915" s="2"/>
    </row>
    <row r="916" spans="1:7" x14ac:dyDescent="0.35">
      <c r="A916">
        <f>'Goodness of fit'!D$6/1000+A915</f>
        <v>14.640000000000011</v>
      </c>
      <c r="B916">
        <f t="shared" si="29"/>
        <v>1.0107529013673952E-3</v>
      </c>
      <c r="C916">
        <f>IF(A916&gt;='Goodness of fit'!$D$3,B916,0)</f>
        <v>1.0107529013673952E-3</v>
      </c>
      <c r="D916" s="2">
        <f t="shared" si="28"/>
        <v>2.1516290111902644E-3</v>
      </c>
      <c r="E916" s="18" t="str">
        <f>IF('Goodness of fit'!B916&gt;0,('Goodness of fit'!A916-'Goodness of fit'!B916)^2/'Goodness of fit'!B916,"")</f>
        <v/>
      </c>
      <c r="F916" s="2"/>
      <c r="G916" s="2"/>
    </row>
    <row r="917" spans="1:7" x14ac:dyDescent="0.35">
      <c r="A917">
        <f>'Goodness of fit'!D$6/1000+A916</f>
        <v>14.656000000000011</v>
      </c>
      <c r="B917">
        <f t="shared" si="29"/>
        <v>1.0032469095718475E-3</v>
      </c>
      <c r="C917">
        <f>IF(A917&gt;='Goodness of fit'!$D$3,B917,0)</f>
        <v>1.0032469095718475E-3</v>
      </c>
      <c r="D917" s="2">
        <f t="shared" si="28"/>
        <v>2.1355170864997583E-3</v>
      </c>
      <c r="E917" s="18" t="str">
        <f>IF('Goodness of fit'!B917&gt;0,('Goodness of fit'!A917-'Goodness of fit'!B917)^2/'Goodness of fit'!B917,"")</f>
        <v/>
      </c>
      <c r="F917" s="2"/>
      <c r="G917" s="2"/>
    </row>
    <row r="918" spans="1:7" x14ac:dyDescent="0.35">
      <c r="A918">
        <f>'Goodness of fit'!D$6/1000+A917</f>
        <v>14.672000000000011</v>
      </c>
      <c r="B918">
        <f t="shared" si="29"/>
        <v>9.9579606491344763E-4</v>
      </c>
      <c r="C918">
        <f>IF(A918&gt;='Goodness of fit'!$D$3,B918,0)</f>
        <v>9.9579606491344763E-4</v>
      </c>
      <c r="D918" s="2">
        <f t="shared" si="28"/>
        <v>2.1195248159664084E-3</v>
      </c>
      <c r="E918" s="18" t="str">
        <f>IF('Goodness of fit'!B918&gt;0,('Goodness of fit'!A918-'Goodness of fit'!B918)^2/'Goodness of fit'!B918,"")</f>
        <v/>
      </c>
      <c r="F918" s="2"/>
      <c r="G918" s="2"/>
    </row>
    <row r="919" spans="1:7" x14ac:dyDescent="0.35">
      <c r="A919">
        <f>'Goodness of fit'!D$6/1000+A918</f>
        <v>14.688000000000011</v>
      </c>
      <c r="B919">
        <f t="shared" si="29"/>
        <v>9.8839996796023285E-4</v>
      </c>
      <c r="C919">
        <f>IF(A919&gt;='Goodness of fit'!$D$3,B919,0)</f>
        <v>9.8839996796023285E-4</v>
      </c>
      <c r="D919" s="2">
        <f t="shared" si="28"/>
        <v>2.1036513204352714E-3</v>
      </c>
      <c r="E919" s="18" t="str">
        <f>IF('Goodness of fit'!B919&gt;0,('Goodness of fit'!A919-'Goodness of fit'!B919)^2/'Goodness of fit'!B919,"")</f>
        <v/>
      </c>
      <c r="F919" s="2"/>
      <c r="G919" s="2"/>
    </row>
    <row r="920" spans="1:7" x14ac:dyDescent="0.35">
      <c r="A920">
        <f>'Goodness of fit'!D$6/1000+A919</f>
        <v>14.704000000000011</v>
      </c>
      <c r="B920">
        <f t="shared" si="29"/>
        <v>9.8105822211654774E-4</v>
      </c>
      <c r="C920">
        <f>IF(A920&gt;='Goodness of fit'!$D$3,B920,0)</f>
        <v>9.8105822211654774E-4</v>
      </c>
      <c r="D920" s="2">
        <f t="shared" si="28"/>
        <v>2.0878957271195987E-3</v>
      </c>
      <c r="E920" s="18" t="str">
        <f>IF('Goodness of fit'!B920&gt;0,('Goodness of fit'!A920-'Goodness of fit'!B920)^2/'Goodness of fit'!B920,"")</f>
        <v/>
      </c>
      <c r="F920" s="2"/>
      <c r="G920" s="2"/>
    </row>
    <row r="921" spans="1:7" x14ac:dyDescent="0.35">
      <c r="A921">
        <f>'Goodness of fit'!D$6/1000+A920</f>
        <v>14.720000000000011</v>
      </c>
      <c r="B921">
        <f t="shared" si="29"/>
        <v>9.7377043360348785E-4</v>
      </c>
      <c r="C921">
        <f>IF(A921&gt;='Goodness of fit'!$D$3,B921,0)</f>
        <v>9.7377043360348785E-4</v>
      </c>
      <c r="D921" s="2">
        <f t="shared" si="28"/>
        <v>2.0722571695556092E-3</v>
      </c>
      <c r="E921" s="18" t="str">
        <f>IF('Goodness of fit'!B921&gt;0,('Goodness of fit'!A921-'Goodness of fit'!B921)^2/'Goodness of fit'!B921,"")</f>
        <v/>
      </c>
      <c r="F921" s="2"/>
      <c r="G921" s="2"/>
    </row>
    <row r="922" spans="1:7" x14ac:dyDescent="0.35">
      <c r="A922">
        <f>'Goodness of fit'!D$6/1000+A921</f>
        <v>14.736000000000011</v>
      </c>
      <c r="B922">
        <f t="shared" si="29"/>
        <v>9.6653621143946136E-4</v>
      </c>
      <c r="C922">
        <f>IF(A922&gt;='Goodness of fit'!$D$3,B922,0)</f>
        <v>9.6653621143946136E-4</v>
      </c>
      <c r="D922" s="2">
        <f t="shared" si="28"/>
        <v>2.0567347875575875E-3</v>
      </c>
      <c r="E922" s="18" t="str">
        <f>IF('Goodness of fit'!B922&gt;0,('Goodness of fit'!A922-'Goodness of fit'!B922)^2/'Goodness of fit'!B922,"")</f>
        <v/>
      </c>
      <c r="F922" s="2"/>
      <c r="G922" s="2"/>
    </row>
    <row r="923" spans="1:7" x14ac:dyDescent="0.35">
      <c r="A923">
        <f>'Goodness of fit'!D$6/1000+A922</f>
        <v>14.752000000000011</v>
      </c>
      <c r="B923">
        <f t="shared" si="29"/>
        <v>9.5935516742088407E-4</v>
      </c>
      <c r="C923">
        <f>IF(A923&gt;='Goodness of fit'!$D$3,B923,0)</f>
        <v>9.5935516742088407E-4</v>
      </c>
      <c r="D923" s="2">
        <f t="shared" si="28"/>
        <v>2.0413277271732633E-3</v>
      </c>
      <c r="E923" s="18" t="str">
        <f>IF('Goodness of fit'!B923&gt;0,('Goodness of fit'!A923-'Goodness of fit'!B923)^2/'Goodness of fit'!B923,"")</f>
        <v/>
      </c>
      <c r="F923" s="2"/>
      <c r="G923" s="2"/>
    </row>
    <row r="924" spans="1:7" x14ac:dyDescent="0.35">
      <c r="A924">
        <f>'Goodness of fit'!D$6/1000+A923</f>
        <v>14.768000000000011</v>
      </c>
      <c r="B924">
        <f t="shared" si="29"/>
        <v>9.522269161030049E-4</v>
      </c>
      <c r="C924">
        <f>IF(A924&gt;='Goodness of fit'!$D$3,B924,0)</f>
        <v>9.522269161030049E-4</v>
      </c>
      <c r="D924" s="2">
        <f t="shared" si="28"/>
        <v>2.0260351406395346E-3</v>
      </c>
      <c r="E924" s="18" t="str">
        <f>IF('Goodness of fit'!B924&gt;0,('Goodness of fit'!A924-'Goodness of fit'!B924)^2/'Goodness of fit'!B924,"")</f>
        <v/>
      </c>
      <c r="F924" s="2"/>
      <c r="G924" s="2"/>
    </row>
    <row r="925" spans="1:7" x14ac:dyDescent="0.35">
      <c r="A925">
        <f>'Goodness of fit'!D$6/1000+A924</f>
        <v>14.784000000000011</v>
      </c>
      <c r="B925">
        <f t="shared" si="29"/>
        <v>9.4515107478085054E-4</v>
      </c>
      <c r="C925">
        <f>IF(A925&gt;='Goodness of fit'!$D$3,B925,0)</f>
        <v>9.4515107478085054E-4</v>
      </c>
      <c r="D925" s="2">
        <f t="shared" si="28"/>
        <v>2.0108561863384708E-3</v>
      </c>
      <c r="E925" s="18" t="str">
        <f>IF('Goodness of fit'!B925&gt;0,('Goodness of fit'!A925-'Goodness of fit'!B925)^2/'Goodness of fit'!B925,"")</f>
        <v/>
      </c>
      <c r="F925" s="2"/>
      <c r="G925" s="2"/>
    </row>
    <row r="926" spans="1:7" x14ac:dyDescent="0.35">
      <c r="A926">
        <f>'Goodness of fit'!D$6/1000+A925</f>
        <v>14.800000000000011</v>
      </c>
      <c r="B926">
        <f t="shared" si="29"/>
        <v>9.3812726347030143E-4</v>
      </c>
      <c r="C926">
        <f>IF(A926&gt;='Goodness of fit'!$D$3,B926,0)</f>
        <v>9.3812726347030143E-4</v>
      </c>
      <c r="D926" s="2">
        <f t="shared" si="28"/>
        <v>1.9957900287536309E-3</v>
      </c>
      <c r="E926" s="18" t="str">
        <f>IF('Goodness of fit'!B926&gt;0,('Goodness of fit'!A926-'Goodness of fit'!B926)^2/'Goodness of fit'!B926,"")</f>
        <v/>
      </c>
      <c r="F926" s="2"/>
      <c r="G926" s="2"/>
    </row>
    <row r="927" spans="1:7" x14ac:dyDescent="0.35">
      <c r="A927">
        <f>'Goodness of fit'!D$6/1000+A926</f>
        <v>14.816000000000011</v>
      </c>
      <c r="B927">
        <f t="shared" si="29"/>
        <v>9.3115510488929107E-4</v>
      </c>
      <c r="C927">
        <f>IF(A927&gt;='Goodness of fit'!$D$3,B927,0)</f>
        <v>9.3115510488929107E-4</v>
      </c>
      <c r="D927" s="2">
        <f t="shared" si="28"/>
        <v>1.9808358384266773E-3</v>
      </c>
      <c r="E927" s="18" t="str">
        <f>IF('Goodness of fit'!B927&gt;0,('Goodness of fit'!A927-'Goodness of fit'!B927)^2/'Goodness of fit'!B927,"")</f>
        <v/>
      </c>
      <c r="F927" s="2"/>
      <c r="G927" s="2"/>
    </row>
    <row r="928" spans="1:7" x14ac:dyDescent="0.35">
      <c r="A928">
        <f>'Goodness of fit'!D$6/1000+A927</f>
        <v>14.832000000000011</v>
      </c>
      <c r="B928">
        <f t="shared" si="29"/>
        <v>9.2423422443912756E-4</v>
      </c>
      <c r="C928">
        <f>IF(A928&gt;='Goodness of fit'!$D$3,B928,0)</f>
        <v>9.2423422443912756E-4</v>
      </c>
      <c r="D928" s="2">
        <f t="shared" si="28"/>
        <v>1.9659927919142839E-3</v>
      </c>
      <c r="E928" s="18" t="str">
        <f>IF('Goodness of fit'!B928&gt;0,('Goodness of fit'!A928-'Goodness of fit'!B928)^2/'Goodness of fit'!B928,"")</f>
        <v/>
      </c>
      <c r="F928" s="2"/>
      <c r="G928" s="2"/>
    </row>
    <row r="929" spans="1:7" x14ac:dyDescent="0.35">
      <c r="A929">
        <f>'Goodness of fit'!D$6/1000+A928</f>
        <v>14.848000000000011</v>
      </c>
      <c r="B929">
        <f t="shared" si="29"/>
        <v>9.1736425018594232E-4</v>
      </c>
      <c r="C929">
        <f>IF(A929&gt;='Goodness of fit'!$D$3,B929,0)</f>
        <v>9.1736425018594232E-4</v>
      </c>
      <c r="D929" s="2">
        <f t="shared" si="28"/>
        <v>1.9512600717453779E-3</v>
      </c>
      <c r="E929" s="18" t="str">
        <f>IF('Goodness of fit'!B929&gt;0,('Goodness of fit'!A929-'Goodness of fit'!B929)^2/'Goodness of fit'!B929,"")</f>
        <v/>
      </c>
      <c r="F929" s="2"/>
      <c r="G929" s="2"/>
    </row>
    <row r="930" spans="1:7" x14ac:dyDescent="0.35">
      <c r="A930">
        <f>'Goodness of fit'!D$6/1000+A929</f>
        <v>14.864000000000011</v>
      </c>
      <c r="B930">
        <f t="shared" si="29"/>
        <v>9.105448128422577E-4</v>
      </c>
      <c r="C930">
        <f>IF(A930&gt;='Goodness of fit'!$D$3,B930,0)</f>
        <v>9.105448128422577E-4</v>
      </c>
      <c r="D930" s="2">
        <f t="shared" si="28"/>
        <v>1.9366368663786191E-3</v>
      </c>
      <c r="E930" s="18" t="str">
        <f>IF('Goodness of fit'!B930&gt;0,('Goodness of fit'!A930-'Goodness of fit'!B930)^2/'Goodness of fit'!B930,"")</f>
        <v/>
      </c>
      <c r="F930" s="2"/>
      <c r="G930" s="2"/>
    </row>
    <row r="931" spans="1:7" x14ac:dyDescent="0.35">
      <c r="A931">
        <f>'Goodness of fit'!D$6/1000+A930</f>
        <v>14.880000000000011</v>
      </c>
      <c r="B931">
        <f t="shared" si="29"/>
        <v>9.0377554574868062E-4</v>
      </c>
      <c r="C931">
        <f>IF(A931&gt;='Goodness of fit'!$D$3,B931,0)</f>
        <v>9.0377554574868062E-4</v>
      </c>
      <c r="D931" s="2">
        <f t="shared" si="28"/>
        <v>1.9221223701602205E-3</v>
      </c>
      <c r="E931" s="18" t="str">
        <f>IF('Goodness of fit'!B931&gt;0,('Goodness of fit'!A931-'Goodness of fit'!B931)^2/'Goodness of fit'!B931,"")</f>
        <v/>
      </c>
      <c r="F931" s="2"/>
      <c r="G931" s="2"/>
    </row>
    <row r="932" spans="1:7" x14ac:dyDescent="0.35">
      <c r="A932">
        <f>'Goodness of fit'!D$6/1000+A931</f>
        <v>14.896000000000011</v>
      </c>
      <c r="B932">
        <f t="shared" si="29"/>
        <v>8.970560848557133E-4</v>
      </c>
      <c r="C932">
        <f>IF(A932&gt;='Goodness of fit'!$D$3,B932,0)</f>
        <v>8.970560848557133E-4</v>
      </c>
      <c r="D932" s="2">
        <f t="shared" si="28"/>
        <v>1.9077157832820509E-3</v>
      </c>
      <c r="E932" s="18" t="str">
        <f>IF('Goodness of fit'!B932&gt;0,('Goodness of fit'!A932-'Goodness of fit'!B932)^2/'Goodness of fit'!B932,"")</f>
        <v/>
      </c>
      <c r="F932" s="2"/>
      <c r="G932" s="2"/>
    </row>
    <row r="933" spans="1:7" x14ac:dyDescent="0.35">
      <c r="A933">
        <f>'Goodness of fit'!D$6/1000+A932</f>
        <v>14.912000000000011</v>
      </c>
      <c r="B933">
        <f t="shared" si="29"/>
        <v>8.9038606870568639E-4</v>
      </c>
      <c r="C933">
        <f>IF(A933&gt;='Goodness of fit'!$D$3,B933,0)</f>
        <v>8.9038606870568639E-4</v>
      </c>
      <c r="D933" s="2">
        <f t="shared" si="28"/>
        <v>1.8934163117400001E-3</v>
      </c>
      <c r="E933" s="18" t="str">
        <f>IF('Goodness of fit'!B933&gt;0,('Goodness of fit'!A933-'Goodness of fit'!B933)^2/'Goodness of fit'!B933,"")</f>
        <v/>
      </c>
      <c r="F933" s="2"/>
      <c r="G933" s="2"/>
    </row>
    <row r="934" spans="1:7" x14ac:dyDescent="0.35">
      <c r="A934">
        <f>'Goodness of fit'!D$6/1000+A933</f>
        <v>14.928000000000011</v>
      </c>
      <c r="B934">
        <f t="shared" si="29"/>
        <v>8.8376513841481282E-4</v>
      </c>
      <c r="C934">
        <f>IF(A934&gt;='Goodness of fit'!$D$3,B934,0)</f>
        <v>8.8376513841481282E-4</v>
      </c>
      <c r="D934" s="2">
        <f t="shared" si="28"/>
        <v>1.8792231672926732E-3</v>
      </c>
      <c r="E934" s="18" t="str">
        <f>IF('Goodness of fit'!B934&gt;0,('Goodness of fit'!A934-'Goodness of fit'!B934)^2/'Goodness of fit'!B934,"")</f>
        <v/>
      </c>
      <c r="F934" s="2"/>
      <c r="G934" s="2"/>
    </row>
    <row r="935" spans="1:7" x14ac:dyDescent="0.35">
      <c r="A935">
        <f>'Goodness of fit'!D$6/1000+A934</f>
        <v>14.944000000000011</v>
      </c>
      <c r="B935">
        <f t="shared" si="29"/>
        <v>8.7719293765535814E-4</v>
      </c>
      <c r="C935">
        <f>IF(A935&gt;='Goodness of fit'!$D$3,B935,0)</f>
        <v>8.7719293765535814E-4</v>
      </c>
      <c r="D935" s="2">
        <f t="shared" si="28"/>
        <v>1.8651355674203435E-3</v>
      </c>
      <c r="E935" s="18" t="str">
        <f>IF('Goodness of fit'!B935&gt;0,('Goodness of fit'!A935-'Goodness of fit'!B935)^2/'Goodness of fit'!B935,"")</f>
        <v/>
      </c>
      <c r="F935" s="2"/>
      <c r="G935" s="2"/>
    </row>
    <row r="936" spans="1:7" x14ac:dyDescent="0.35">
      <c r="A936">
        <f>'Goodness of fit'!D$6/1000+A935</f>
        <v>14.960000000000012</v>
      </c>
      <c r="B936">
        <f t="shared" si="29"/>
        <v>8.7066911263793047E-4</v>
      </c>
      <c r="C936">
        <f>IF(A936&gt;='Goodness of fit'!$D$3,B936,0)</f>
        <v>8.7066911263793047E-4</v>
      </c>
      <c r="D936" s="2">
        <f t="shared" si="28"/>
        <v>1.8511527352841916E-3</v>
      </c>
      <c r="E936" s="18" t="str">
        <f>IF('Goodness of fit'!B936&gt;0,('Goodness of fit'!A936-'Goodness of fit'!B936)^2/'Goodness of fit'!B936,"")</f>
        <v/>
      </c>
      <c r="F936" s="2"/>
      <c r="G936" s="2"/>
    </row>
    <row r="937" spans="1:7" x14ac:dyDescent="0.35">
      <c r="A937">
        <f>'Goodness of fit'!D$6/1000+A936</f>
        <v>14.976000000000012</v>
      </c>
      <c r="B937">
        <f t="shared" si="29"/>
        <v>8.6419331209388998E-4</v>
      </c>
      <c r="C937">
        <f>IF(A937&gt;='Goodness of fit'!$D$3,B937,0)</f>
        <v>8.6419331209388998E-4</v>
      </c>
      <c r="D937" s="2">
        <f t="shared" si="28"/>
        <v>1.8372738996858499E-3</v>
      </c>
      <c r="E937" s="18" t="str">
        <f>IF('Goodness of fit'!B937&gt;0,('Goodness of fit'!A937-'Goodness of fit'!B937)^2/'Goodness of fit'!B937,"")</f>
        <v/>
      </c>
      <c r="F937" s="2"/>
      <c r="G937" s="2"/>
    </row>
    <row r="938" spans="1:7" x14ac:dyDescent="0.35">
      <c r="A938">
        <f>'Goodness of fit'!D$6/1000+A937</f>
        <v>14.992000000000012</v>
      </c>
      <c r="B938">
        <f t="shared" si="29"/>
        <v>8.5776518725787069E-4</v>
      </c>
      <c r="C938">
        <f>IF(A938&gt;='Goodness of fit'!$D$3,B938,0)</f>
        <v>8.5776518725787069E-4</v>
      </c>
      <c r="D938" s="2">
        <f t="shared" si="28"/>
        <v>1.8234982950271867E-3</v>
      </c>
      <c r="E938" s="18" t="str">
        <f>IF('Goodness of fit'!B938&gt;0,('Goodness of fit'!A938-'Goodness of fit'!B938)^2/'Goodness of fit'!B938,"")</f>
        <v/>
      </c>
      <c r="F938" s="2"/>
      <c r="G938" s="2"/>
    </row>
    <row r="939" spans="1:7" x14ac:dyDescent="0.35">
      <c r="A939">
        <f>'Goodness of fit'!D$6/1000+A938</f>
        <v>15.008000000000012</v>
      </c>
      <c r="B939">
        <f t="shared" si="29"/>
        <v>8.5138439185042207E-4</v>
      </c>
      <c r="C939">
        <f>IF(A939&gt;='Goodness of fit'!$D$3,B939,0)</f>
        <v>8.5138439185042207E-4</v>
      </c>
      <c r="D939" s="2">
        <f t="shared" si="28"/>
        <v>1.8098251612704188E-3</v>
      </c>
      <c r="E939" s="18" t="str">
        <f>IF('Goodness of fit'!B939&gt;0,('Goodness of fit'!A939-'Goodness of fit'!B939)^2/'Goodness of fit'!B939,"")</f>
        <v/>
      </c>
      <c r="F939" s="2"/>
      <c r="G939" s="2"/>
    </row>
    <row r="940" spans="1:7" x14ac:dyDescent="0.35">
      <c r="A940">
        <f>'Goodness of fit'!D$6/1000+A939</f>
        <v>15.024000000000012</v>
      </c>
      <c r="B940">
        <f t="shared" si="29"/>
        <v>8.4505058206076403E-4</v>
      </c>
      <c r="C940">
        <f>IF(A940&gt;='Goodness of fit'!$D$3,B940,0)</f>
        <v>8.4505058206076403E-4</v>
      </c>
      <c r="D940" s="2">
        <f t="shared" si="28"/>
        <v>1.796253743898449E-3</v>
      </c>
      <c r="E940" s="18" t="str">
        <f>IF('Goodness of fit'!B940&gt;0,('Goodness of fit'!A940-'Goodness of fit'!B940)^2/'Goodness of fit'!B940,"")</f>
        <v/>
      </c>
      <c r="F940" s="2"/>
      <c r="G940" s="2"/>
    </row>
    <row r="941" spans="1:7" x14ac:dyDescent="0.35">
      <c r="A941">
        <f>'Goodness of fit'!D$6/1000+A940</f>
        <v>15.040000000000012</v>
      </c>
      <c r="B941">
        <f t="shared" si="29"/>
        <v>8.3876341652965849E-4</v>
      </c>
      <c r="C941">
        <f>IF(A941&gt;='Goodness of fit'!$D$3,B941,0)</f>
        <v>8.3876341652965849E-4</v>
      </c>
      <c r="D941" s="2">
        <f t="shared" si="28"/>
        <v>1.7827832938755272E-3</v>
      </c>
      <c r="E941" s="18" t="str">
        <f>IF('Goodness of fit'!B941&gt;0,('Goodness of fit'!A941-'Goodness of fit'!B941)^2/'Goodness of fit'!B941,"")</f>
        <v/>
      </c>
      <c r="F941" s="2"/>
      <c r="G941" s="2"/>
    </row>
    <row r="942" spans="1:7" x14ac:dyDescent="0.35">
      <c r="A942">
        <f>'Goodness of fit'!D$6/1000+A941</f>
        <v>15.056000000000012</v>
      </c>
      <c r="B942">
        <f t="shared" si="29"/>
        <v>8.3252255633239197E-4</v>
      </c>
      <c r="C942">
        <f>IF(A942&gt;='Goodness of fit'!$D$3,B942,0)</f>
        <v>8.3252255633239197E-4</v>
      </c>
      <c r="D942" s="2">
        <f t="shared" si="28"/>
        <v>1.7694130676081496E-3</v>
      </c>
      <c r="E942" s="18" t="str">
        <f>IF('Goodness of fit'!B942&gt;0,('Goodness of fit'!A942-'Goodness of fit'!B942)^2/'Goodness of fit'!B942,"")</f>
        <v/>
      </c>
      <c r="F942" s="2"/>
      <c r="G942" s="2"/>
    </row>
    <row r="943" spans="1:7" x14ac:dyDescent="0.35">
      <c r="A943">
        <f>'Goodness of fit'!D$6/1000+A942</f>
        <v>15.072000000000012</v>
      </c>
      <c r="B943">
        <f t="shared" si="29"/>
        <v>8.2632766496187437E-4</v>
      </c>
      <c r="C943">
        <f>IF(A943&gt;='Goodness of fit'!$D$3,B943,0)</f>
        <v>8.2632766496187437E-4</v>
      </c>
      <c r="D943" s="2">
        <f t="shared" si="28"/>
        <v>1.7561423269062423E-3</v>
      </c>
      <c r="E943" s="18" t="str">
        <f>IF('Goodness of fit'!B943&gt;0,('Goodness of fit'!A943-'Goodness of fit'!B943)^2/'Goodness of fit'!B943,"")</f>
        <v/>
      </c>
      <c r="F943" s="2"/>
      <c r="G943" s="2"/>
    </row>
    <row r="944" spans="1:7" x14ac:dyDescent="0.35">
      <c r="A944">
        <f>'Goodness of fit'!D$6/1000+A943</f>
        <v>15.088000000000012</v>
      </c>
      <c r="B944">
        <f t="shared" si="29"/>
        <v>8.201784083118486E-4</v>
      </c>
      <c r="C944">
        <f>IF(A944&gt;='Goodness of fit'!$D$3,B944,0)</f>
        <v>8.201784083118486E-4</v>
      </c>
      <c r="D944" s="2">
        <f t="shared" si="28"/>
        <v>1.7429703389446178E-3</v>
      </c>
      <c r="E944" s="18" t="str">
        <f>IF('Goodness of fit'!B944&gt;0,('Goodness of fit'!A944-'Goodness of fit'!B944)^2/'Goodness of fit'!B944,"")</f>
        <v/>
      </c>
      <c r="F944" s="2"/>
      <c r="G944" s="2"/>
    </row>
    <row r="945" spans="1:7" x14ac:dyDescent="0.35">
      <c r="A945">
        <f>'Goodness of fit'!D$6/1000+A944</f>
        <v>15.104000000000012</v>
      </c>
      <c r="B945">
        <f t="shared" si="29"/>
        <v>8.1407445466021185E-4</v>
      </c>
      <c r="C945">
        <f>IF(A945&gt;='Goodness of fit'!$D$3,B945,0)</f>
        <v>8.1407445466021185E-4</v>
      </c>
      <c r="D945" s="2">
        <f t="shared" si="28"/>
        <v>1.7298963762246923E-3</v>
      </c>
      <c r="E945" s="18" t="str">
        <f>IF('Goodness of fit'!B945&gt;0,('Goodness of fit'!A945-'Goodness of fit'!B945)^2/'Goodness of fit'!B945,"")</f>
        <v/>
      </c>
      <c r="F945" s="2"/>
      <c r="G945" s="2"/>
    </row>
    <row r="946" spans="1:7" x14ac:dyDescent="0.35">
      <c r="A946">
        <f>'Goodness of fit'!D$6/1000+A945</f>
        <v>15.120000000000012</v>
      </c>
      <c r="B946">
        <f t="shared" si="29"/>
        <v>8.0801547465245106E-4</v>
      </c>
      <c r="C946">
        <f>IF(A946&gt;='Goodness of fit'!$D$3,B946,0)</f>
        <v>8.0801547465245106E-4</v>
      </c>
      <c r="D946" s="2">
        <f t="shared" si="28"/>
        <v>1.7169197165364746E-3</v>
      </c>
      <c r="E946" s="18" t="str">
        <f>IF('Goodness of fit'!B946&gt;0,('Goodness of fit'!A946-'Goodness of fit'!B946)^2/'Goodness of fit'!B946,"")</f>
        <v/>
      </c>
      <c r="F946" s="2"/>
      <c r="G946" s="2"/>
    </row>
    <row r="947" spans="1:7" x14ac:dyDescent="0.35">
      <c r="A947">
        <f>'Goodness of fit'!D$6/1000+A946</f>
        <v>15.136000000000012</v>
      </c>
      <c r="B947">
        <f t="shared" si="29"/>
        <v>8.020011412851819E-4</v>
      </c>
      <c r="C947">
        <f>IF(A947&gt;='Goodness of fit'!$D$3,B947,0)</f>
        <v>8.020011412851819E-4</v>
      </c>
      <c r="D947" s="2">
        <f t="shared" si="28"/>
        <v>1.7040396429208128E-3</v>
      </c>
      <c r="E947" s="18" t="str">
        <f>IF('Goodness of fit'!B947&gt;0,('Goodness of fit'!A947-'Goodness of fit'!B947)^2/'Goodness of fit'!B947,"")</f>
        <v/>
      </c>
      <c r="F947" s="2"/>
      <c r="G947" s="2"/>
    </row>
    <row r="948" spans="1:7" x14ac:dyDescent="0.35">
      <c r="A948">
        <f>'Goodness of fit'!D$6/1000+A947</f>
        <v>15.152000000000012</v>
      </c>
      <c r="B948">
        <f t="shared" si="29"/>
        <v>7.9603112988980789E-4</v>
      </c>
      <c r="C948">
        <f>IF(A948&gt;='Goodness of fit'!$D$3,B948,0)</f>
        <v>7.9603112988980789E-4</v>
      </c>
      <c r="D948" s="2">
        <f t="shared" si="28"/>
        <v>1.6912554436319099E-3</v>
      </c>
      <c r="E948" s="18" t="str">
        <f>IF('Goodness of fit'!B948&gt;0,('Goodness of fit'!A948-'Goodness of fit'!B948)^2/'Goodness of fit'!B948,"")</f>
        <v/>
      </c>
      <c r="F948" s="2"/>
      <c r="G948" s="2"/>
    </row>
    <row r="949" spans="1:7" x14ac:dyDescent="0.35">
      <c r="A949">
        <f>'Goodness of fit'!D$6/1000+A948</f>
        <v>15.168000000000012</v>
      </c>
      <c r="B949">
        <f t="shared" si="29"/>
        <v>7.9010511811627667E-4</v>
      </c>
      <c r="C949">
        <f>IF(A949&gt;='Goodness of fit'!$D$3,B949,0)</f>
        <v>7.9010511811627667E-4</v>
      </c>
      <c r="D949" s="2">
        <f t="shared" si="28"/>
        <v>1.6785664121000993E-3</v>
      </c>
      <c r="E949" s="18" t="str">
        <f>IF('Goodness of fit'!B949&gt;0,('Goodness of fit'!A949-'Goodness of fit'!B949)^2/'Goodness of fit'!B949,"")</f>
        <v/>
      </c>
      <c r="F949" s="2"/>
      <c r="G949" s="2"/>
    </row>
    <row r="950" spans="1:7" x14ac:dyDescent="0.35">
      <c r="A950">
        <f>'Goodness of fit'!D$6/1000+A949</f>
        <v>15.184000000000012</v>
      </c>
      <c r="B950">
        <f t="shared" si="29"/>
        <v>7.8422278591695576E-4</v>
      </c>
      <c r="C950">
        <f>IF(A950&gt;='Goodness of fit'!$D$3,B950,0)</f>
        <v>7.8422278591695576E-4</v>
      </c>
      <c r="D950" s="2">
        <f t="shared" si="28"/>
        <v>1.6659718468948674E-3</v>
      </c>
      <c r="E950" s="18" t="str">
        <f>IF('Goodness of fit'!B950&gt;0,('Goodness of fit'!A950-'Goodness of fit'!B950)^2/'Goodness of fit'!B950,"")</f>
        <v/>
      </c>
      <c r="F950" s="2"/>
      <c r="G950" s="2"/>
    </row>
    <row r="951" spans="1:7" x14ac:dyDescent="0.35">
      <c r="A951">
        <f>'Goodness of fit'!D$6/1000+A950</f>
        <v>15.200000000000012</v>
      </c>
      <c r="B951">
        <f t="shared" si="29"/>
        <v>7.7838381553060822E-4</v>
      </c>
      <c r="C951">
        <f>IF(A951&gt;='Goodness of fit'!$D$3,B951,0)</f>
        <v>7.7838381553060822E-4</v>
      </c>
      <c r="D951" s="2">
        <f t="shared" si="28"/>
        <v>1.6534710516881578E-3</v>
      </c>
      <c r="E951" s="18" t="str">
        <f>IF('Goodness of fit'!B951&gt;0,('Goodness of fit'!A951-'Goodness of fit'!B951)^2/'Goodness of fit'!B951,"")</f>
        <v/>
      </c>
      <c r="F951" s="2"/>
      <c r="G951" s="2"/>
    </row>
    <row r="952" spans="1:7" x14ac:dyDescent="0.35">
      <c r="A952">
        <f>'Goodness of fit'!D$6/1000+A951</f>
        <v>15.216000000000012</v>
      </c>
      <c r="B952">
        <f t="shared" si="29"/>
        <v>7.7258789146647956E-4</v>
      </c>
      <c r="C952">
        <f>IF(A952&gt;='Goodness of fit'!$D$3,B952,0)</f>
        <v>7.7258789146647956E-4</v>
      </c>
      <c r="D952" s="2">
        <f t="shared" si="28"/>
        <v>1.6410633352179039E-3</v>
      </c>
      <c r="E952" s="18" t="str">
        <f>IF('Goodness of fit'!B952&gt;0,('Goodness of fit'!A952-'Goodness of fit'!B952)^2/'Goodness of fit'!B952,"")</f>
        <v/>
      </c>
      <c r="F952" s="2"/>
      <c r="G952" s="2"/>
    </row>
    <row r="953" spans="1:7" x14ac:dyDescent="0.35">
      <c r="A953">
        <f>'Goodness of fit'!D$6/1000+A952</f>
        <v>15.232000000000012</v>
      </c>
      <c r="B953">
        <f t="shared" si="29"/>
        <v>7.6683470048848849E-4</v>
      </c>
      <c r="C953">
        <f>IF(A953&gt;='Goodness of fit'!$D$3,B953,0)</f>
        <v>7.6683470048848849E-4</v>
      </c>
      <c r="D953" s="2">
        <f t="shared" si="28"/>
        <v>1.6287480112518351E-3</v>
      </c>
      <c r="E953" s="18" t="str">
        <f>IF('Goodness of fit'!B953&gt;0,('Goodness of fit'!A953-'Goodness of fit'!B953)^2/'Goodness of fit'!B953,"")</f>
        <v/>
      </c>
      <c r="F953" s="2"/>
      <c r="G953" s="2"/>
    </row>
    <row r="954" spans="1:7" x14ac:dyDescent="0.35">
      <c r="A954">
        <f>'Goodness of fit'!D$6/1000+A953</f>
        <v>15.248000000000012</v>
      </c>
      <c r="B954">
        <f t="shared" si="29"/>
        <v>7.6112393159952631E-4</v>
      </c>
      <c r="C954">
        <f>IF(A954&gt;='Goodness of fit'!$D$3,B954,0)</f>
        <v>7.6112393159952631E-4</v>
      </c>
      <c r="D954" s="2">
        <f t="shared" si="28"/>
        <v>1.6165243985515245E-3</v>
      </c>
      <c r="E954" s="18" t="str">
        <f>IF('Goodness of fit'!B954&gt;0,('Goodness of fit'!A954-'Goodness of fit'!B954)^2/'Goodness of fit'!B954,"")</f>
        <v/>
      </c>
      <c r="F954" s="2"/>
      <c r="G954" s="2"/>
    </row>
    <row r="955" spans="1:7" x14ac:dyDescent="0.35">
      <c r="A955">
        <f>'Goodness of fit'!D$6/1000+A954</f>
        <v>15.264000000000012</v>
      </c>
      <c r="B955">
        <f t="shared" si="29"/>
        <v>7.5545527602585824E-4</v>
      </c>
      <c r="C955">
        <f>IF(A955&gt;='Goodness of fit'!$D$3,B955,0)</f>
        <v>7.5545527602585824E-4</v>
      </c>
      <c r="D955" s="2">
        <f t="shared" si="28"/>
        <v>1.6043918208366946E-3</v>
      </c>
      <c r="E955" s="18" t="str">
        <f>IF('Goodness of fit'!B955&gt;0,('Goodness of fit'!A955-'Goodness of fit'!B955)^2/'Goodness of fit'!B955,"")</f>
        <v/>
      </c>
      <c r="F955" s="2"/>
      <c r="G955" s="2"/>
    </row>
    <row r="956" spans="1:7" x14ac:dyDescent="0.35">
      <c r="A956">
        <f>'Goodness of fit'!D$6/1000+A955</f>
        <v>15.280000000000012</v>
      </c>
      <c r="B956">
        <f t="shared" si="29"/>
        <v>7.4982842720163086E-4</v>
      </c>
      <c r="C956">
        <f>IF(A956&gt;='Goodness of fit'!$D$3,B956,0)</f>
        <v>7.4982842720163086E-4</v>
      </c>
      <c r="D956" s="2">
        <f t="shared" si="28"/>
        <v>1.5923496067497575E-3</v>
      </c>
      <c r="E956" s="18" t="str">
        <f>IF('Goodness of fit'!B956&gt;0,('Goodness of fit'!A956-'Goodness of fit'!B956)^2/'Goodness of fit'!B956,"")</f>
        <v/>
      </c>
      <c r="F956" s="2"/>
      <c r="G956" s="2"/>
    </row>
    <row r="957" spans="1:7" x14ac:dyDescent="0.35">
      <c r="A957">
        <f>'Goodness of fit'!D$6/1000+A956</f>
        <v>15.296000000000012</v>
      </c>
      <c r="B957">
        <f t="shared" si="29"/>
        <v>7.442430807534842E-4</v>
      </c>
      <c r="C957">
        <f>IF(A957&gt;='Goodness of fit'!$D$3,B957,0)</f>
        <v>7.442430807534842E-4</v>
      </c>
      <c r="D957" s="2">
        <f t="shared" si="28"/>
        <v>1.5803970898206241E-3</v>
      </c>
      <c r="E957" s="18" t="str">
        <f>IF('Goodness of fit'!B957&gt;0,('Goodness of fit'!A957-'Goodness of fit'!B957)^2/'Goodness of fit'!B957,"")</f>
        <v/>
      </c>
      <c r="F957" s="2"/>
      <c r="G957" s="2"/>
    </row>
    <row r="958" spans="1:7" x14ac:dyDescent="0.35">
      <c r="A958">
        <f>'Goodness of fit'!D$6/1000+A957</f>
        <v>15.312000000000012</v>
      </c>
      <c r="B958">
        <f t="shared" si="29"/>
        <v>7.3869893448526465E-4</v>
      </c>
      <c r="C958">
        <f>IF(A958&gt;='Goodness of fit'!$D$3,B958,0)</f>
        <v>7.3869893448526465E-4</v>
      </c>
      <c r="D958" s="2">
        <f t="shared" si="28"/>
        <v>1.5685336084317384E-3</v>
      </c>
      <c r="E958" s="18" t="str">
        <f>IF('Goodness of fit'!B958&gt;0,('Goodness of fit'!A958-'Goodness of fit'!B958)^2/'Goodness of fit'!B958,"")</f>
        <v/>
      </c>
      <c r="F958" s="2"/>
      <c r="G958" s="2"/>
    </row>
    <row r="959" spans="1:7" x14ac:dyDescent="0.35">
      <c r="A959">
        <f>'Goodness of fit'!D$6/1000+A958</f>
        <v>15.328000000000012</v>
      </c>
      <c r="B959">
        <f t="shared" si="29"/>
        <v>7.3319568836284195E-4</v>
      </c>
      <c r="C959">
        <f>IF(A959&gt;='Goodness of fit'!$D$3,B959,0)</f>
        <v>7.3319568836284195E-4</v>
      </c>
      <c r="D959" s="2">
        <f t="shared" si="28"/>
        <v>1.5567585057833643E-3</v>
      </c>
      <c r="E959" s="18" t="str">
        <f>IF('Goodness of fit'!B959&gt;0,('Goodness of fit'!A959-'Goodness of fit'!B959)^2/'Goodness of fit'!B959,"")</f>
        <v/>
      </c>
      <c r="F959" s="2"/>
      <c r="G959" s="2"/>
    </row>
    <row r="960" spans="1:7" x14ac:dyDescent="0.35">
      <c r="A960">
        <f>'Goodness of fit'!D$6/1000+A959</f>
        <v>15.344000000000012</v>
      </c>
      <c r="B960">
        <f t="shared" si="29"/>
        <v>7.2773304449902777E-4</v>
      </c>
      <c r="C960">
        <f>IF(A960&gt;='Goodness of fit'!$D$3,B960,0)</f>
        <v>7.2773304449902777E-4</v>
      </c>
      <c r="D960" s="2">
        <f t="shared" si="28"/>
        <v>1.5450711298591263E-3</v>
      </c>
      <c r="E960" s="18" t="str">
        <f>IF('Goodness of fit'!B960&gt;0,('Goodness of fit'!A960-'Goodness of fit'!B960)^2/'Goodness of fit'!B960,"")</f>
        <v/>
      </c>
      <c r="F960" s="2"/>
      <c r="G960" s="2"/>
    </row>
    <row r="961" spans="1:7" x14ac:dyDescent="0.35">
      <c r="A961">
        <f>'Goodness of fit'!D$6/1000+A960</f>
        <v>15.360000000000012</v>
      </c>
      <c r="B961">
        <f t="shared" si="29"/>
        <v>7.2231070713859463E-4</v>
      </c>
      <c r="C961">
        <f>IF(A961&gt;='Goodness of fit'!$D$3,B961,0)</f>
        <v>7.2231070713859463E-4</v>
      </c>
      <c r="D961" s="2">
        <f t="shared" si="28"/>
        <v>1.5334708333917544E-3</v>
      </c>
      <c r="E961" s="18" t="str">
        <f>IF('Goodness of fit'!B961&gt;0,('Goodness of fit'!A961-'Goodness of fit'!B961)^2/'Goodness of fit'!B961,"")</f>
        <v/>
      </c>
      <c r="F961" s="2"/>
      <c r="G961" s="2"/>
    </row>
    <row r="962" spans="1:7" x14ac:dyDescent="0.35">
      <c r="A962">
        <f>'Goodness of fit'!D$6/1000+A961</f>
        <v>15.376000000000012</v>
      </c>
      <c r="B962">
        <f t="shared" si="29"/>
        <v>7.1692838264339638E-4</v>
      </c>
      <c r="C962">
        <f>IF(A962&gt;='Goodness of fit'!$D$3,B962,0)</f>
        <v>7.1692838264339638E-4</v>
      </c>
      <c r="D962" s="2">
        <f t="shared" ref="D962:D1000" si="30">CHIDIST(A962,F$1)</f>
        <v>1.5219569738291168E-3</v>
      </c>
      <c r="E962" s="18" t="str">
        <f>IF('Goodness of fit'!B962&gt;0,('Goodness of fit'!A962-'Goodness of fit'!B962)^2/'Goodness of fit'!B962,"")</f>
        <v/>
      </c>
      <c r="F962" s="2"/>
      <c r="G962" s="2"/>
    </row>
    <row r="963" spans="1:7" x14ac:dyDescent="0.35">
      <c r="A963">
        <f>'Goodness of fit'!D$6/1000+A962</f>
        <v>15.392000000000012</v>
      </c>
      <c r="B963">
        <f t="shared" ref="B963:B1000" si="31">_xlfn.CHISQ.DIST(A963,F$1,FALSE)</f>
        <v>7.1158577947758983E-4</v>
      </c>
      <c r="C963">
        <f>IF(A963&gt;='Goodness of fit'!$D$3,B963,0)</f>
        <v>7.1158577947758983E-4</v>
      </c>
      <c r="D963" s="2">
        <f t="shared" si="30"/>
        <v>1.510528913300448E-3</v>
      </c>
      <c r="E963" s="18" t="str">
        <f>IF('Goodness of fit'!B963&gt;0,('Goodness of fit'!A963-'Goodness of fit'!B963)^2/'Goodness of fit'!B963,"")</f>
        <v/>
      </c>
      <c r="F963" s="2"/>
      <c r="G963" s="2"/>
    </row>
    <row r="964" spans="1:7" x14ac:dyDescent="0.35">
      <c r="A964">
        <f>'Goodness of fit'!D$6/1000+A963</f>
        <v>15.408000000000012</v>
      </c>
      <c r="B964">
        <f t="shared" si="31"/>
        <v>7.0628260819295045E-4</v>
      </c>
      <c r="C964">
        <f>IF(A964&gt;='Goodness of fit'!$D$3,B964,0)</f>
        <v>7.0628260819295045E-4</v>
      </c>
      <c r="D964" s="2">
        <f t="shared" si="30"/>
        <v>1.4991860185828354E-3</v>
      </c>
      <c r="E964" s="18" t="str">
        <f>IF('Goodness of fit'!B964&gt;0,('Goodness of fit'!A964-'Goodness of fit'!B964)^2/'Goodness of fit'!B964,"")</f>
        <v/>
      </c>
      <c r="F964" s="2"/>
      <c r="G964" s="2"/>
    </row>
    <row r="965" spans="1:7" x14ac:dyDescent="0.35">
      <c r="A965">
        <f>'Goodness of fit'!D$6/1000+A964</f>
        <v>15.424000000000012</v>
      </c>
      <c r="B965">
        <f t="shared" si="31"/>
        <v>7.0101858141429429E-4</v>
      </c>
      <c r="C965">
        <f>IF(A965&gt;='Goodness of fit'!$D$3,B965,0)</f>
        <v>7.0101858141429429E-4</v>
      </c>
      <c r="D965" s="2">
        <f t="shared" si="30"/>
        <v>1.4879276610679391E-3</v>
      </c>
      <c r="E965" s="18" t="str">
        <f>IF('Goodness of fit'!B965&gt;0,('Goodness of fit'!A965-'Goodness of fit'!B965)^2/'Goodness of fit'!B965,"")</f>
        <v/>
      </c>
      <c r="F965" s="2"/>
      <c r="G965" s="2"/>
    </row>
    <row r="966" spans="1:7" x14ac:dyDescent="0.35">
      <c r="A966">
        <f>'Goodness of fit'!D$6/1000+A965</f>
        <v>15.440000000000012</v>
      </c>
      <c r="B966">
        <f t="shared" si="31"/>
        <v>6.9579341382499163E-4</v>
      </c>
      <c r="C966">
        <f>IF(A966&gt;='Goodness of fit'!$D$3,B966,0)</f>
        <v>6.9579341382499163E-4</v>
      </c>
      <c r="D966" s="2">
        <f t="shared" si="30"/>
        <v>1.4767532167289329E-3</v>
      </c>
      <c r="E966" s="18" t="str">
        <f>IF('Goodness of fit'!B966&gt;0,('Goodness of fit'!A966-'Goodness of fit'!B966)^2/'Goodness of fit'!B966,"")</f>
        <v/>
      </c>
      <c r="F966" s="2"/>
      <c r="G966" s="2"/>
    </row>
    <row r="967" spans="1:7" x14ac:dyDescent="0.35">
      <c r="A967">
        <f>'Goodness of fit'!D$6/1000+A966</f>
        <v>15.456000000000012</v>
      </c>
      <c r="B967">
        <f t="shared" si="31"/>
        <v>6.9060682215258155E-4</v>
      </c>
      <c r="C967">
        <f>IF(A967&gt;='Goodness of fit'!$D$3,B967,0)</f>
        <v>6.9060682215258155E-4</v>
      </c>
      <c r="D967" s="2">
        <f t="shared" si="30"/>
        <v>1.465662066087677E-3</v>
      </c>
      <c r="E967" s="18" t="str">
        <f>IF('Goodness of fit'!B967&gt;0,('Goodness of fit'!A967-'Goodness of fit'!B967)^2/'Goodness of fit'!B967,"")</f>
        <v/>
      </c>
      <c r="F967" s="2"/>
      <c r="G967" s="2"/>
    </row>
    <row r="968" spans="1:7" x14ac:dyDescent="0.35">
      <c r="A968">
        <f>'Goodness of fit'!D$6/1000+A967</f>
        <v>15.472000000000012</v>
      </c>
      <c r="B968">
        <f t="shared" si="31"/>
        <v>6.8545852515448133E-4</v>
      </c>
      <c r="C968">
        <f>IF(A968&gt;='Goodness of fit'!$D$3,B968,0)</f>
        <v>6.8545852515448133E-4</v>
      </c>
      <c r="D968" s="2">
        <f t="shared" si="30"/>
        <v>1.4546535941821451E-3</v>
      </c>
      <c r="E968" s="18" t="str">
        <f>IF('Goodness of fit'!B968&gt;0,('Goodness of fit'!A968-'Goodness of fit'!B968)^2/'Goodness of fit'!B968,"")</f>
        <v/>
      </c>
      <c r="F968" s="2"/>
      <c r="G968" s="2"/>
    </row>
    <row r="969" spans="1:7" x14ac:dyDescent="0.35">
      <c r="A969">
        <f>'Goodness of fit'!D$6/1000+A968</f>
        <v>15.488000000000012</v>
      </c>
      <c r="B969">
        <f t="shared" si="31"/>
        <v>6.8034824360379425E-4</v>
      </c>
      <c r="C969">
        <f>IF(A969&gt;='Goodness of fit'!$D$3,B969,0)</f>
        <v>6.8034824360379425E-4</v>
      </c>
      <c r="D969" s="2">
        <f t="shared" si="30"/>
        <v>1.4437271905340385E-3</v>
      </c>
      <c r="E969" s="18" t="str">
        <f>IF('Goodness of fit'!B969&gt;0,('Goodness of fit'!A969-'Goodness of fit'!B969)^2/'Goodness of fit'!B969,"")</f>
        <v/>
      </c>
      <c r="F969" s="2"/>
      <c r="G969" s="2"/>
    </row>
    <row r="970" spans="1:7" x14ac:dyDescent="0.35">
      <c r="A970">
        <f>'Goodness of fit'!D$6/1000+A969</f>
        <v>15.504000000000012</v>
      </c>
      <c r="B970">
        <f t="shared" si="31"/>
        <v>6.7527570027521068E-4</v>
      </c>
      <c r="C970">
        <f>IF(A970&gt;='Goodness of fit'!$D$3,B970,0)</f>
        <v>6.7527570027521068E-4</v>
      </c>
      <c r="D970" s="2">
        <f t="shared" si="30"/>
        <v>1.4328822491166586E-3</v>
      </c>
      <c r="E970" s="18" t="str">
        <f>IF('Goodness of fit'!B970&gt;0,('Goodness of fit'!A970-'Goodness of fit'!B970)^2/'Goodness of fit'!B970,"")</f>
        <v/>
      </c>
      <c r="F970" s="2"/>
      <c r="G970" s="2"/>
    </row>
    <row r="971" spans="1:7" x14ac:dyDescent="0.35">
      <c r="A971">
        <f>'Goodness of fit'!D$6/1000+A970</f>
        <v>15.520000000000012</v>
      </c>
      <c r="B971">
        <f t="shared" si="31"/>
        <v>6.702406199310053E-4</v>
      </c>
      <c r="C971">
        <f>IF(A971&gt;='Goodness of fit'!$D$3,B971,0)</f>
        <v>6.702406199310053E-4</v>
      </c>
      <c r="D971" s="2">
        <f t="shared" si="30"/>
        <v>1.4221181683229975E-3</v>
      </c>
      <c r="E971" s="18" t="str">
        <f>IF('Goodness of fit'!B971&gt;0,('Goodness of fit'!A971-'Goodness of fit'!B971)^2/'Goodness of fit'!B971,"")</f>
        <v/>
      </c>
      <c r="F971" s="2"/>
      <c r="G971" s="2"/>
    </row>
    <row r="972" spans="1:7" x14ac:dyDescent="0.35">
      <c r="A972">
        <f>'Goodness of fit'!D$6/1000+A971</f>
        <v>15.536000000000012</v>
      </c>
      <c r="B972">
        <f t="shared" si="31"/>
        <v>6.6524272930712871E-4</v>
      </c>
      <c r="C972">
        <f>IF(A972&gt;='Goodness of fit'!$D$3,B972,0)</f>
        <v>6.6524272930712871E-4</v>
      </c>
      <c r="D972" s="2">
        <f t="shared" si="30"/>
        <v>1.4114343509340401E-3</v>
      </c>
      <c r="E972" s="18" t="str">
        <f>IF('Goodness of fit'!B972&gt;0,('Goodness of fit'!A972-'Goodness of fit'!B972)^2/'Goodness of fit'!B972,"")</f>
        <v/>
      </c>
      <c r="F972" s="2"/>
      <c r="G972" s="2"/>
    </row>
    <row r="973" spans="1:7" x14ac:dyDescent="0.35">
      <c r="A973">
        <f>'Goodness of fit'!D$6/1000+A972</f>
        <v>15.552000000000012</v>
      </c>
      <c r="B973">
        <f t="shared" si="31"/>
        <v>6.6028175709939335E-4</v>
      </c>
      <c r="C973">
        <f>IF(A973&gt;='Goodness of fit'!$D$3,B973,0)</f>
        <v>6.6028175709939335E-4</v>
      </c>
      <c r="D973" s="2">
        <f t="shared" si="30"/>
        <v>1.4008302040872972E-3</v>
      </c>
      <c r="E973" s="18" t="str">
        <f>IF('Goodness of fit'!B973&gt;0,('Goodness of fit'!A973-'Goodness of fit'!B973)^2/'Goodness of fit'!B973,"")</f>
        <v/>
      </c>
      <c r="F973" s="2"/>
      <c r="G973" s="2"/>
    </row>
    <row r="974" spans="1:7" x14ac:dyDescent="0.35">
      <c r="A974">
        <f>'Goodness of fit'!D$6/1000+A973</f>
        <v>15.568000000000012</v>
      </c>
      <c r="B974">
        <f t="shared" si="31"/>
        <v>6.5535743394975088E-4</v>
      </c>
      <c r="C974">
        <f>IF(A974&gt;='Goodness of fit'!$D$3,B974,0)</f>
        <v>6.5535743394975088E-4</v>
      </c>
      <c r="D974" s="2">
        <f t="shared" si="30"/>
        <v>1.390305139245559E-3</v>
      </c>
      <c r="E974" s="18" t="str">
        <f>IF('Goodness of fit'!B974&gt;0,('Goodness of fit'!A974-'Goodness of fit'!B974)^2/'Goodness of fit'!B974,"")</f>
        <v/>
      </c>
      <c r="F974" s="2"/>
      <c r="G974" s="2"/>
    </row>
    <row r="975" spans="1:7" x14ac:dyDescent="0.35">
      <c r="A975">
        <f>'Goodness of fit'!D$6/1000+A974</f>
        <v>15.584000000000012</v>
      </c>
      <c r="B975">
        <f t="shared" si="31"/>
        <v>6.504694924326644E-4</v>
      </c>
      <c r="C975">
        <f>IF(A975&gt;='Goodness of fit'!$D$3,B975,0)</f>
        <v>6.504694924326644E-4</v>
      </c>
      <c r="D975" s="2">
        <f t="shared" si="30"/>
        <v>1.379858572165871E-3</v>
      </c>
      <c r="E975" s="18" t="str">
        <f>IF('Goodness of fit'!B975&gt;0,('Goodness of fit'!A975-'Goodness of fit'!B975)^2/'Goodness of fit'!B975,"")</f>
        <v/>
      </c>
      <c r="F975" s="2"/>
      <c r="G975" s="2"/>
    </row>
    <row r="976" spans="1:7" x14ac:dyDescent="0.35">
      <c r="A976">
        <f>'Goodness of fit'!D$6/1000+A975</f>
        <v>15.600000000000012</v>
      </c>
      <c r="B976">
        <f t="shared" si="31"/>
        <v>6.4561766704157044E-4</v>
      </c>
      <c r="C976">
        <f>IF(A976&gt;='Goodness of fit'!$D$3,B976,0)</f>
        <v>6.4561766704157044E-4</v>
      </c>
      <c r="D976" s="2">
        <f t="shared" si="30"/>
        <v>1.3694899228687139E-3</v>
      </c>
      <c r="E976" s="18" t="str">
        <f>IF('Goodness of fit'!B976&gt;0,('Goodness of fit'!A976-'Goodness of fit'!B976)^2/'Goodness of fit'!B976,"")</f>
        <v/>
      </c>
      <c r="F976" s="2"/>
      <c r="G976" s="2"/>
    </row>
    <row r="977" spans="1:7" x14ac:dyDescent="0.35">
      <c r="A977">
        <f>'Goodness of fit'!D$6/1000+A976</f>
        <v>15.616000000000012</v>
      </c>
      <c r="B977">
        <f t="shared" si="31"/>
        <v>6.408016941754338E-4</v>
      </c>
      <c r="C977">
        <f>IF(A977&gt;='Goodness of fit'!$D$3,B977,0)</f>
        <v>6.408016941754338E-4</v>
      </c>
      <c r="D977" s="2">
        <f t="shared" si="30"/>
        <v>1.3591986156074123E-3</v>
      </c>
      <c r="E977" s="18" t="str">
        <f>IF('Goodness of fit'!B977&gt;0,('Goodness of fit'!A977-'Goodness of fit'!B977)^2/'Goodness of fit'!B977,"")</f>
        <v/>
      </c>
      <c r="F977" s="2"/>
      <c r="G977" s="2"/>
    </row>
    <row r="978" spans="1:7" x14ac:dyDescent="0.35">
      <c r="A978">
        <f>'Goodness of fit'!D$6/1000+A977</f>
        <v>15.632000000000012</v>
      </c>
      <c r="B978">
        <f t="shared" si="31"/>
        <v>6.3602131212539385E-4</v>
      </c>
      <c r="C978">
        <f>IF(A978&gt;='Goodness of fit'!$D$3,B978,0)</f>
        <v>6.3602131212539385E-4</v>
      </c>
      <c r="D978" s="2">
        <f t="shared" si="30"/>
        <v>1.3489840788377489E-3</v>
      </c>
      <c r="E978" s="18" t="str">
        <f>IF('Goodness of fit'!B978&gt;0,('Goodness of fit'!A978-'Goodness of fit'!B978)^2/'Goodness of fit'!B978,"")</f>
        <v/>
      </c>
      <c r="F978" s="2"/>
      <c r="G978" s="2"/>
    </row>
    <row r="979" spans="1:7" x14ac:dyDescent="0.35">
      <c r="A979">
        <f>'Goodness of fit'!D$6/1000+A978</f>
        <v>15.648000000000012</v>
      </c>
      <c r="B979">
        <f t="shared" si="31"/>
        <v>6.312762610614993E-4</v>
      </c>
      <c r="C979">
        <f>IF(A979&gt;='Goodness of fit'!$D$3,B979,0)</f>
        <v>6.312762610614993E-4</v>
      </c>
      <c r="D979" s="2">
        <f t="shared" si="30"/>
        <v>1.3388457451878042E-3</v>
      </c>
      <c r="E979" s="18" t="str">
        <f>IF('Goodness of fit'!B979&gt;0,('Goodness of fit'!A979-'Goodness of fit'!B979)^2/'Goodness of fit'!B979,"")</f>
        <v/>
      </c>
      <c r="F979" s="2"/>
      <c r="G979" s="2"/>
    </row>
    <row r="980" spans="1:7" x14ac:dyDescent="0.35">
      <c r="A980">
        <f>'Goodness of fit'!D$6/1000+A979</f>
        <v>15.664000000000012</v>
      </c>
      <c r="B980">
        <f t="shared" si="31"/>
        <v>6.2656628301953365E-4</v>
      </c>
      <c r="C980">
        <f>IF(A980&gt;='Goodness of fit'!$D$3,B980,0)</f>
        <v>6.2656628301953365E-4</v>
      </c>
      <c r="D980" s="2">
        <f t="shared" si="30"/>
        <v>1.3287830514279923E-3</v>
      </c>
      <c r="E980" s="18" t="str">
        <f>IF('Goodness of fit'!B980&gt;0,('Goodness of fit'!A980-'Goodness of fit'!B980)^2/'Goodness of fit'!B980,"")</f>
        <v/>
      </c>
      <c r="F980" s="2"/>
      <c r="G980" s="2"/>
    </row>
    <row r="981" spans="1:7" x14ac:dyDescent="0.35">
      <c r="A981">
        <f>'Goodness of fit'!D$6/1000+A980</f>
        <v>15.680000000000012</v>
      </c>
      <c r="B981">
        <f t="shared" si="31"/>
        <v>6.2189112188793005E-4</v>
      </c>
      <c r="C981">
        <f>IF(A981&gt;='Goodness of fit'!$D$3,B981,0)</f>
        <v>6.2189112188793005E-4</v>
      </c>
      <c r="D981" s="2">
        <f t="shared" si="30"/>
        <v>1.3187954384413184E-3</v>
      </c>
      <c r="E981" s="18" t="str">
        <f>IF('Goodness of fit'!B981&gt;0,('Goodness of fit'!A981-'Goodness of fit'!B981)^2/'Goodness of fit'!B981,"")</f>
        <v/>
      </c>
      <c r="F981" s="2"/>
      <c r="G981" s="2"/>
    </row>
    <row r="982" spans="1:7" x14ac:dyDescent="0.35">
      <c r="A982">
        <f>'Goodness of fit'!D$6/1000+A981</f>
        <v>15.696000000000012</v>
      </c>
      <c r="B982">
        <f t="shared" si="31"/>
        <v>6.1725052339477345E-4</v>
      </c>
      <c r="C982">
        <f>IF(A982&gt;='Goodness of fit'!$D$3,B982,0)</f>
        <v>6.1725052339477345E-4</v>
      </c>
      <c r="D982" s="2">
        <f t="shared" si="30"/>
        <v>1.3088823511938313E-3</v>
      </c>
      <c r="E982" s="18" t="str">
        <f>IF('Goodness of fit'!B982&gt;0,('Goodness of fit'!A982-'Goodness of fit'!B982)^2/'Goodness of fit'!B982,"")</f>
        <v/>
      </c>
      <c r="F982" s="2"/>
      <c r="G982" s="2"/>
    </row>
    <row r="983" spans="1:7" x14ac:dyDescent="0.35">
      <c r="A983">
        <f>'Goodness of fit'!D$6/1000+A982</f>
        <v>15.712000000000012</v>
      </c>
      <c r="B983">
        <f t="shared" si="31"/>
        <v>6.1264423509489361E-4</v>
      </c>
      <c r="C983">
        <f>IF(A983&gt;='Goodness of fit'!$D$3,B983,0)</f>
        <v>6.1264423509489361E-4</v>
      </c>
      <c r="D983" s="2">
        <f t="shared" si="30"/>
        <v>1.2990432387053109E-3</v>
      </c>
      <c r="E983" s="18" t="str">
        <f>IF('Goodness of fit'!B983&gt;0,('Goodness of fit'!A983-'Goodness of fit'!B983)^2/'Goodness of fit'!B983,"")</f>
        <v/>
      </c>
      <c r="F983" s="2"/>
      <c r="G983" s="2"/>
    </row>
    <row r="984" spans="1:7" x14ac:dyDescent="0.35">
      <c r="A984">
        <f>'Goodness of fit'!D$6/1000+A983</f>
        <v>15.728000000000012</v>
      </c>
      <c r="B984">
        <f t="shared" si="31"/>
        <v>6.0807200635704139E-4</v>
      </c>
      <c r="C984">
        <f>IF(A984&gt;='Goodness of fit'!$D$3,B984,0)</f>
        <v>6.0807200635704139E-4</v>
      </c>
      <c r="D984" s="2">
        <f t="shared" si="30"/>
        <v>1.289277554020119E-3</v>
      </c>
      <c r="E984" s="18" t="str">
        <f>IF('Goodness of fit'!B984&gt;0,('Goodness of fit'!A984-'Goodness of fit'!B984)^2/'Goodness of fit'!B984,"")</f>
        <v/>
      </c>
      <c r="F984" s="2"/>
      <c r="G984" s="2"/>
    </row>
    <row r="985" spans="1:7" x14ac:dyDescent="0.35">
      <c r="A985">
        <f>'Goodness of fit'!D$6/1000+A984</f>
        <v>15.744000000000012</v>
      </c>
      <c r="B985">
        <f t="shared" si="31"/>
        <v>6.0353358835115519E-4</v>
      </c>
      <c r="C985">
        <f>IF(A985&gt;='Goodness of fit'!$D$3,B985,0)</f>
        <v>6.0353358835115519E-4</v>
      </c>
      <c r="D985" s="2">
        <f t="shared" si="30"/>
        <v>1.2795847541782986E-3</v>
      </c>
      <c r="E985" s="18" t="str">
        <f>IF('Goodness of fit'!B985&gt;0,('Goodness of fit'!A985-'Goodness of fit'!B985)^2/'Goodness of fit'!B985,"")</f>
        <v/>
      </c>
      <c r="F985" s="2"/>
      <c r="G985" s="2"/>
    </row>
    <row r="986" spans="1:7" x14ac:dyDescent="0.35">
      <c r="A986">
        <f>'Goodness of fit'!D$6/1000+A985</f>
        <v>15.760000000000012</v>
      </c>
      <c r="B986">
        <f t="shared" si="31"/>
        <v>5.9902873403571268E-4</v>
      </c>
      <c r="C986">
        <f>IF(A986&gt;='Goodness of fit'!$D$3,B986,0)</f>
        <v>5.9902873403571268E-4</v>
      </c>
      <c r="D986" s="2">
        <f t="shared" si="30"/>
        <v>1.2699643001868484E-3</v>
      </c>
      <c r="E986" s="18" t="str">
        <f>IF('Goodness of fit'!B986&gt;0,('Goodness of fit'!A986-'Goodness of fit'!B986)^2/'Goodness of fit'!B986,"")</f>
        <v/>
      </c>
      <c r="F986" s="2"/>
      <c r="G986" s="2"/>
    </row>
    <row r="987" spans="1:7" x14ac:dyDescent="0.35">
      <c r="A987">
        <f>'Goodness of fit'!D$6/1000+A986</f>
        <v>15.776000000000012</v>
      </c>
      <c r="B987">
        <f t="shared" si="31"/>
        <v>5.9455719814516836E-4</v>
      </c>
      <c r="C987">
        <f>IF(A987&gt;='Goodness of fit'!$D$3,B987,0)</f>
        <v>5.9455719814516836E-4</v>
      </c>
      <c r="D987" s="2">
        <f t="shared" si="30"/>
        <v>1.2604156569912032E-3</v>
      </c>
      <c r="E987" s="18" t="str">
        <f>IF('Goodness of fit'!B987&gt;0,('Goodness of fit'!A987-'Goodness of fit'!B987)^2/'Goodness of fit'!B987,"")</f>
        <v/>
      </c>
      <c r="F987" s="2"/>
      <c r="G987" s="2"/>
    </row>
    <row r="988" spans="1:7" x14ac:dyDescent="0.35">
      <c r="A988">
        <f>'Goodness of fit'!D$6/1000+A987</f>
        <v>15.792000000000012</v>
      </c>
      <c r="B988">
        <f t="shared" si="31"/>
        <v>5.9011873717747557E-4</v>
      </c>
      <c r="C988">
        <f>IF(A988&gt;='Goodness of fit'!$D$3,B988,0)</f>
        <v>5.9011873717747557E-4</v>
      </c>
      <c r="D988" s="2">
        <f t="shared" si="30"/>
        <v>1.2509382934469267E-3</v>
      </c>
      <c r="E988" s="18" t="str">
        <f>IF('Goodness of fit'!B988&gt;0,('Goodness of fit'!A988-'Goodness of fit'!B988)^2/'Goodness of fit'!B988,"")</f>
        <v/>
      </c>
      <c r="F988" s="2"/>
      <c r="G988" s="2"/>
    </row>
    <row r="989" spans="1:7" x14ac:dyDescent="0.35">
      <c r="A989">
        <f>'Goodness of fit'!D$6/1000+A988</f>
        <v>15.808000000000012</v>
      </c>
      <c r="B989">
        <f t="shared" si="31"/>
        <v>5.8571310938169421E-4</v>
      </c>
      <c r="C989">
        <f>IF(A989&gt;='Goodness of fit'!$D$3,B989,0)</f>
        <v>5.8571310938169421E-4</v>
      </c>
      <c r="D989" s="2">
        <f t="shared" si="30"/>
        <v>1.2415316822915828E-3</v>
      </c>
      <c r="E989" s="18" t="str">
        <f>IF('Goodness of fit'!B989&gt;0,('Goodness of fit'!A989-'Goodness of fit'!B989)^2/'Goodness of fit'!B989,"")</f>
        <v/>
      </c>
      <c r="F989" s="2"/>
      <c r="G989" s="2"/>
    </row>
    <row r="990" spans="1:7" x14ac:dyDescent="0.35">
      <c r="A990">
        <f>'Goodness of fit'!D$6/1000+A989</f>
        <v>15.824000000000012</v>
      </c>
      <c r="B990">
        <f t="shared" si="31"/>
        <v>5.8134007474568291E-4</v>
      </c>
      <c r="C990">
        <f>IF(A990&gt;='Goodness of fit'!$D$3,B990,0)</f>
        <v>5.8134007474568291E-4</v>
      </c>
      <c r="D990" s="2">
        <f t="shared" si="30"/>
        <v>1.2321953001168326E-3</v>
      </c>
      <c r="E990" s="18" t="str">
        <f>IF('Goodness of fit'!B990&gt;0,('Goodness of fit'!A990-'Goodness of fit'!B990)^2/'Goodness of fit'!B990,"")</f>
        <v/>
      </c>
      <c r="F990" s="2"/>
      <c r="G990" s="2"/>
    </row>
    <row r="991" spans="1:7" x14ac:dyDescent="0.35">
      <c r="A991">
        <f>'Goodness of fit'!D$6/1000+A990</f>
        <v>15.840000000000012</v>
      </c>
      <c r="B991">
        <f t="shared" si="31"/>
        <v>5.7699939498387224E-4</v>
      </c>
      <c r="C991">
        <f>IF(A991&gt;='Goodness of fit'!$D$3,B991,0)</f>
        <v>5.7699939498387224E-4</v>
      </c>
      <c r="D991" s="2">
        <f t="shared" si="30"/>
        <v>1.2229286273406983E-3</v>
      </c>
      <c r="E991" s="18" t="str">
        <f>IF('Goodness of fit'!B991&gt;0,('Goodness of fit'!A991-'Goodness of fit'!B991)^2/'Goodness of fit'!B991,"")</f>
        <v/>
      </c>
      <c r="F991" s="2"/>
      <c r="G991" s="2"/>
    </row>
    <row r="992" spans="1:7" x14ac:dyDescent="0.35">
      <c r="A992">
        <f>'Goodness of fit'!D$6/1000+A991</f>
        <v>15.856000000000012</v>
      </c>
      <c r="B992">
        <f t="shared" si="31"/>
        <v>5.726908335251257E-4</v>
      </c>
      <c r="C992">
        <f>IF(A992&gt;='Goodness of fit'!$D$3,B992,0)</f>
        <v>5.726908335251257E-4</v>
      </c>
      <c r="D992" s="2">
        <f t="shared" si="30"/>
        <v>1.2137311481800355E-3</v>
      </c>
      <c r="E992" s="18" t="str">
        <f>IF('Goodness of fit'!B992&gt;0,('Goodness of fit'!A992-'Goodness of fit'!B992)^2/'Goodness of fit'!B992,"")</f>
        <v/>
      </c>
      <c r="F992" s="2"/>
      <c r="G992" s="2"/>
    </row>
    <row r="993" spans="1:7" x14ac:dyDescent="0.35">
      <c r="A993">
        <f>'Goodness of fit'!D$6/1000+A992</f>
        <v>15.872000000000012</v>
      </c>
      <c r="B993">
        <f t="shared" si="31"/>
        <v>5.684141555006776E-4</v>
      </c>
      <c r="C993">
        <f>IF(A993&gt;='Goodness of fit'!$D$3,B993,0)</f>
        <v>5.684141555006776E-4</v>
      </c>
      <c r="D993" s="2">
        <f t="shared" si="30"/>
        <v>1.2046023506232101E-3</v>
      </c>
      <c r="E993" s="18" t="str">
        <f>IF('Goodness of fit'!B993&gt;0,('Goodness of fit'!A993-'Goodness of fit'!B993)^2/'Goodness of fit'!B993,"")</f>
        <v/>
      </c>
      <c r="F993" s="2"/>
      <c r="G993" s="2"/>
    </row>
    <row r="994" spans="1:7" x14ac:dyDescent="0.35">
      <c r="A994">
        <f>'Goodness of fit'!D$6/1000+A993</f>
        <v>15.888000000000012</v>
      </c>
      <c r="B994">
        <f t="shared" si="31"/>
        <v>5.641691277321571E-4</v>
      </c>
      <c r="C994">
        <f>IF(A994&gt;='Goodness of fit'!$D$3,B994,0)</f>
        <v>5.641691277321571E-4</v>
      </c>
      <c r="D994" s="2">
        <f t="shared" si="30"/>
        <v>1.1955417264029474E-3</v>
      </c>
      <c r="E994" s="18" t="str">
        <f>IF('Goodness of fit'!B994&gt;0,('Goodness of fit'!A994-'Goodness of fit'!B994)^2/'Goodness of fit'!B994,"")</f>
        <v/>
      </c>
      <c r="F994" s="2"/>
      <c r="G994" s="2"/>
    </row>
    <row r="995" spans="1:7" x14ac:dyDescent="0.35">
      <c r="A995">
        <f>'Goodness of fit'!D$6/1000+A994</f>
        <v>15.904000000000012</v>
      </c>
      <c r="B995">
        <f t="shared" si="31"/>
        <v>5.5995551871969263E-4</v>
      </c>
      <c r="C995">
        <f>IF(A995&gt;='Goodness of fit'!$D$3,B995,0)</f>
        <v>5.5995551871969263E-4</v>
      </c>
      <c r="D995" s="2">
        <f t="shared" si="30"/>
        <v>1.1865487709693794E-3</v>
      </c>
      <c r="E995" s="18" t="str">
        <f>IF('Goodness of fit'!B995&gt;0,('Goodness of fit'!A995-'Goodness of fit'!B995)^2/'Goodness of fit'!B995,"")</f>
        <v/>
      </c>
      <c r="F995" s="2"/>
      <c r="G995" s="2"/>
    </row>
    <row r="996" spans="1:7" x14ac:dyDescent="0.35">
      <c r="A996">
        <f>'Goodness of fit'!D$6/1000+A995</f>
        <v>15.920000000000012</v>
      </c>
      <c r="B996">
        <f t="shared" si="31"/>
        <v>5.5577309863009505E-4</v>
      </c>
      <c r="C996">
        <f>IF(A996&gt;='Goodness of fit'!$D$3,B996,0)</f>
        <v>5.5577309863009505E-4</v>
      </c>
      <c r="D996" s="2">
        <f t="shared" si="30"/>
        <v>1.1776229834632899E-3</v>
      </c>
      <c r="E996" s="18" t="str">
        <f>IF('Goodness of fit'!B996&gt;0,('Goodness of fit'!A996-'Goodness of fit'!B996)^2/'Goodness of fit'!B996,"")</f>
        <v/>
      </c>
      <c r="F996" s="2"/>
      <c r="G996" s="2"/>
    </row>
    <row r="997" spans="1:7" x14ac:dyDescent="0.35">
      <c r="A997">
        <f>'Goodness of fit'!D$6/1000+A996</f>
        <v>15.936000000000012</v>
      </c>
      <c r="B997">
        <f t="shared" si="31"/>
        <v>5.5162163928512632E-4</v>
      </c>
      <c r="C997">
        <f>IF(A997&gt;='Goodness of fit'!$D$3,B997,0)</f>
        <v>5.5162163928512632E-4</v>
      </c>
      <c r="D997" s="2">
        <f t="shared" si="30"/>
        <v>1.1687638666895372E-3</v>
      </c>
      <c r="E997" s="18" t="str">
        <f>IF('Goodness of fit'!B997&gt;0,('Goodness of fit'!A997-'Goodness of fit'!B997)^2/'Goodness of fit'!B997,"")</f>
        <v/>
      </c>
      <c r="F997" s="2"/>
      <c r="G997" s="2"/>
    </row>
    <row r="998" spans="1:7" x14ac:dyDescent="0.35">
      <c r="A998">
        <f>'Goodness of fit'!D$6/1000+A997</f>
        <v>15.952000000000012</v>
      </c>
      <c r="B998">
        <f t="shared" si="31"/>
        <v>5.4750091414984135E-4</v>
      </c>
      <c r="C998">
        <f>IF(A998&gt;='Goodness of fit'!$D$3,B998,0)</f>
        <v>5.4750091414984135E-4</v>
      </c>
      <c r="D998" s="2">
        <f t="shared" si="30"/>
        <v>1.1599709270906705E-3</v>
      </c>
      <c r="E998" s="18" t="str">
        <f>IF('Goodness of fit'!B998&gt;0,('Goodness of fit'!A998-'Goodness of fit'!B998)^2/'Goodness of fit'!B998,"")</f>
        <v/>
      </c>
      <c r="F998" s="2"/>
      <c r="G998" s="2"/>
    </row>
    <row r="999" spans="1:7" x14ac:dyDescent="0.35">
      <c r="A999">
        <f>'Goodness of fit'!D$6/1000+A998</f>
        <v>15.968000000000012</v>
      </c>
      <c r="B999">
        <f t="shared" si="31"/>
        <v>5.4341069832101563E-4</v>
      </c>
      <c r="C999">
        <f>IF(A999&gt;='Goodness of fit'!$D$3,B999,0)</f>
        <v>5.4341069832101563E-4</v>
      </c>
      <c r="D999" s="2">
        <f t="shared" si="30"/>
        <v>1.1512436747207282E-3</v>
      </c>
      <c r="E999" s="18" t="str">
        <f>IF('Goodness of fit'!B999&gt;0,('Goodness of fit'!A999-'Goodness of fit'!B999)^2/'Goodness of fit'!B999,"")</f>
        <v/>
      </c>
      <c r="F999" s="2"/>
      <c r="G999" s="2"/>
    </row>
    <row r="1000" spans="1:7" x14ac:dyDescent="0.35">
      <c r="A1000">
        <f>'Goodness of fit'!D$6/1000+A999</f>
        <v>15.984000000000012</v>
      </c>
      <c r="B1000">
        <f t="shared" si="31"/>
        <v>5.3935076851564713E-4</v>
      </c>
      <c r="C1000">
        <f>IF(A1000&gt;='Goodness of fit'!$D$3,B1000,0)</f>
        <v>5.3935076851564713E-4</v>
      </c>
      <c r="D1000" s="2">
        <f t="shared" si="30"/>
        <v>1.1425816232192259E-3</v>
      </c>
      <c r="E1000" s="18" t="str">
        <f>IF('Goodness of fit'!B1000&gt;0,('Goodness of fit'!A1000-'Goodness of fit'!B1000)^2/'Goodness of fit'!B1000,"")</f>
        <v/>
      </c>
      <c r="F1000" s="2"/>
      <c r="G1000" s="2"/>
    </row>
    <row r="1001" spans="1:7" x14ac:dyDescent="0.35">
      <c r="B1001">
        <f>MAX(B1:B1000)</f>
        <v>0.24196687354326268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Goodness of fit</vt:lpstr>
      <vt:lpstr>Hjælp</vt:lpstr>
      <vt:lpstr>Højresumgraf</vt:lpstr>
      <vt:lpstr>Frekvensfunktion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2010-11-17T20:11:39Z</dcterms:created>
  <dcterms:modified xsi:type="dcterms:W3CDTF">2019-11-11T15:35:00Z</dcterms:modified>
</cp:coreProperties>
</file>