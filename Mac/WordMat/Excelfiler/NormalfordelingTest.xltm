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Denne_projektmappe" defaultThemeVersion="124226"/>
  <bookViews>
    <workbookView xWindow="240" yWindow="150" windowWidth="20115" windowHeight="7995"/>
  </bookViews>
  <sheets>
    <sheet name="Start" sheetId="2" r:id="rId1"/>
    <sheet name="Grafisk" sheetId="1" r:id="rId2"/>
    <sheet name="T-test" sheetId="3" r:id="rId3"/>
  </sheets>
  <calcPr calcId="144525"/>
</workbook>
</file>

<file path=xl/calcChain.xml><?xml version="1.0" encoding="utf-8"?>
<calcChain xmlns="http://schemas.openxmlformats.org/spreadsheetml/2006/main">
  <c r="C7" i="3" l="1"/>
  <c r="C4" i="1"/>
  <c r="C3" i="1"/>
  <c r="B11" i="1"/>
  <c r="B10" i="1"/>
  <c r="B9" i="1"/>
  <c r="B8" i="1"/>
  <c r="B7" i="1"/>
  <c r="B6" i="1"/>
  <c r="B5" i="1"/>
  <c r="B4" i="1"/>
  <c r="B3" i="1"/>
</calcChain>
</file>

<file path=xl/sharedStrings.xml><?xml version="1.0" encoding="utf-8"?>
<sst xmlns="http://schemas.openxmlformats.org/spreadsheetml/2006/main" count="11" uniqueCount="9">
  <si>
    <t>Grafisk normalfordelingstest</t>
  </si>
  <si>
    <t>Data</t>
  </si>
  <si>
    <t>Normalfordelingstest</t>
  </si>
  <si>
    <t>Der findes flere forskellige måder at teste en fordeling for normalitet</t>
  </si>
  <si>
    <t>Punkterne skal være lineære for at kunne bekræfte en normalfordeling. Middelværdi kan aflæses på x-aksen hvor regressionslinjen skærer. Spredningen aflæses på x-aksen som springet fra -0,5 til 0,5 på y-aksen.</t>
  </si>
  <si>
    <t>µ=</t>
  </si>
  <si>
    <t>T-test (Students)</t>
  </si>
  <si>
    <t>(Indtast middelværdi der skal testes for)</t>
  </si>
  <si>
    <t>Tester for om fordelingen har en bestemt middelværdi.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</si>
</sst>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3" xfId="0" applyBorder="1"/>
    <xf numFmtId="0" fontId="1" fillId="0" borderId="2" xfId="0" applyFont="1" applyBorder="1"/>
    <xf numFmtId="0" fontId="0" fillId="0" borderId="4" xfId="0" applyBorder="1"/>
    <xf numFmtId="0" fontId="0" fillId="0" borderId="5" xfId="0" applyBorder="1"/>
    <xf numFmtId="0" fontId="3" fillId="0" borderId="0" xfId="0" applyFont="1"/>
    <xf numFmtId="0" fontId="0" fillId="0" borderId="0" xfId="0" applyAlignment="1">
      <alignment horizontal="left" wrapText="1"/>
    </xf>
    <xf numFmtId="0" fontId="4" fillId="0" borderId="0" xfId="0" applyFont="1" applyAlignment="1">
      <alignment horizontal="right"/>
    </xf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5"/>
          </c:marker>
          <c:trendline>
            <c:trendlineType val="linear"/>
            <c:dispRSqr val="0"/>
            <c:dispEq val="0"/>
          </c:trendline>
          <c:xVal>
            <c:numRef>
              <c:f>Grafisk!$A$3:$A$11</c:f>
              <c:numCache>
                <c:formatCode>General</c:formatCode>
                <c:ptCount val="9"/>
                <c:pt idx="0">
                  <c:v>-3</c:v>
                </c:pt>
                <c:pt idx="1">
                  <c:v>3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18</c:v>
                </c:pt>
              </c:numCache>
            </c:numRef>
          </c:xVal>
          <c:yVal>
            <c:numRef>
              <c:f>Grafisk!$B$3:$B$711</c:f>
              <c:numCache>
                <c:formatCode>General</c:formatCode>
                <c:ptCount val="709"/>
                <c:pt idx="0">
                  <c:v>-1.5932188180230502</c:v>
                </c:pt>
                <c:pt idx="1">
                  <c:v>-0.96742156610170071</c:v>
                </c:pt>
                <c:pt idx="2">
                  <c:v>-0.58945579784977842</c:v>
                </c:pt>
                <c:pt idx="3">
                  <c:v>-0.28221614706250814</c:v>
                </c:pt>
                <c:pt idx="4">
                  <c:v>0</c:v>
                </c:pt>
                <c:pt idx="5">
                  <c:v>0.28221614706250825</c:v>
                </c:pt>
                <c:pt idx="6">
                  <c:v>0.58945579784977842</c:v>
                </c:pt>
                <c:pt idx="7">
                  <c:v>0.96742156610170071</c:v>
                </c:pt>
                <c:pt idx="8">
                  <c:v>1.59321881802305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91200"/>
        <c:axId val="40689664"/>
      </c:scatterChart>
      <c:valAx>
        <c:axId val="40691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0689664"/>
        <c:crosses val="autoZero"/>
        <c:crossBetween val="midCat"/>
      </c:valAx>
      <c:valAx>
        <c:axId val="40689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691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5</xdr:row>
      <xdr:rowOff>80962</xdr:rowOff>
    </xdr:from>
    <xdr:to>
      <xdr:col>9</xdr:col>
      <xdr:colOff>438150</xdr:colOff>
      <xdr:row>19</xdr:row>
      <xdr:rowOff>157162</xdr:rowOff>
    </xdr:to>
    <xdr:graphicFrame macro="">
      <xdr:nvGraphicFramePr>
        <xdr:cNvPr id="2" name="Diagra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ontor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A1:A14"/>
  <sheetViews>
    <sheetView tabSelected="1" workbookViewId="0">
      <selection activeCell="C4" sqref="C4"/>
    </sheetView>
  </sheetViews>
  <sheetFormatPr defaultRowHeight="15" x14ac:dyDescent="0.25"/>
  <sheetData>
    <row r="1" spans="1:1" ht="23.25" x14ac:dyDescent="0.35">
      <c r="A1" s="2" t="s">
        <v>2</v>
      </c>
    </row>
    <row r="2" spans="1:1" x14ac:dyDescent="0.25">
      <c r="A2" t="s">
        <v>3</v>
      </c>
    </row>
    <row r="3" spans="1:1" ht="15.75" thickBot="1" x14ac:dyDescent="0.3"/>
    <row r="4" spans="1:1" ht="15.75" thickBot="1" x14ac:dyDescent="0.3">
      <c r="A4" s="5" t="s">
        <v>1</v>
      </c>
    </row>
    <row r="5" spans="1:1" x14ac:dyDescent="0.25">
      <c r="A5" s="4"/>
    </row>
    <row r="6" spans="1:1" x14ac:dyDescent="0.25">
      <c r="A6" s="3"/>
    </row>
    <row r="7" spans="1:1" x14ac:dyDescent="0.25">
      <c r="A7" s="3"/>
    </row>
    <row r="8" spans="1:1" x14ac:dyDescent="0.25">
      <c r="A8" s="3"/>
    </row>
    <row r="9" spans="1:1" x14ac:dyDescent="0.25">
      <c r="A9" s="3"/>
    </row>
    <row r="10" spans="1:1" x14ac:dyDescent="0.25">
      <c r="A10" s="3"/>
    </row>
    <row r="11" spans="1:1" x14ac:dyDescent="0.25">
      <c r="A11" s="3"/>
    </row>
    <row r="12" spans="1:1" x14ac:dyDescent="0.25">
      <c r="A12" s="3"/>
    </row>
    <row r="13" spans="1:1" x14ac:dyDescent="0.25">
      <c r="A13" s="3"/>
    </row>
    <row r="14" spans="1:1" x14ac:dyDescent="0.25">
      <c r="A14" s="7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J13"/>
  <sheetViews>
    <sheetView workbookViewId="0">
      <selection activeCell="B2" sqref="B2"/>
    </sheetView>
  </sheetViews>
  <sheetFormatPr defaultRowHeight="15" x14ac:dyDescent="0.25"/>
  <sheetData>
    <row r="1" spans="1:10" ht="18.75" x14ac:dyDescent="0.3">
      <c r="A1" s="8" t="s">
        <v>0</v>
      </c>
    </row>
    <row r="2" spans="1:10" ht="45" customHeight="1" x14ac:dyDescent="0.25">
      <c r="A2" s="1" t="s">
        <v>1</v>
      </c>
      <c r="C2" s="9" t="s">
        <v>4</v>
      </c>
      <c r="D2" s="9"/>
      <c r="E2" s="9"/>
      <c r="F2" s="9"/>
      <c r="G2" s="9"/>
      <c r="H2" s="9"/>
      <c r="I2" s="9"/>
      <c r="J2" s="9"/>
    </row>
    <row r="3" spans="1:10" x14ac:dyDescent="0.25">
      <c r="A3" s="3">
        <v>-3</v>
      </c>
      <c r="B3">
        <f>NORMINV((1-0.5)/9,0,1)</f>
        <v>-1.5932188180230502</v>
      </c>
      <c r="C3">
        <f>NORMINV(0.38,0,1)</f>
        <v>-0.30548078809939727</v>
      </c>
    </row>
    <row r="4" spans="1:10" x14ac:dyDescent="0.25">
      <c r="A4" s="3">
        <v>3</v>
      </c>
      <c r="B4">
        <f>NORMINV((2-0.5)/9,0,1)</f>
        <v>-0.96742156610170071</v>
      </c>
      <c r="C4">
        <f>NORMINV(0.38,0,1)</f>
        <v>-0.30548078809939727</v>
      </c>
      <c r="D4">
        <v>0.5</v>
      </c>
    </row>
    <row r="5" spans="1:10" x14ac:dyDescent="0.25">
      <c r="A5" s="3">
        <v>5</v>
      </c>
      <c r="B5">
        <f>NORMINV((3-0.5)/9,0,1)</f>
        <v>-0.58945579784977842</v>
      </c>
    </row>
    <row r="6" spans="1:10" x14ac:dyDescent="0.25">
      <c r="A6" s="3">
        <v>6</v>
      </c>
      <c r="B6">
        <f>NORMINV((4-0.5)/9,0,1)</f>
        <v>-0.28221614706250814</v>
      </c>
    </row>
    <row r="7" spans="1:10" x14ac:dyDescent="0.25">
      <c r="A7" s="3">
        <v>8</v>
      </c>
      <c r="B7">
        <f>NORMINV((5-0.5)/9,0,1)</f>
        <v>0</v>
      </c>
    </row>
    <row r="8" spans="1:10" x14ac:dyDescent="0.25">
      <c r="A8" s="3">
        <v>10</v>
      </c>
      <c r="B8">
        <f>NORMINV((6-0.5)/9,0,1)</f>
        <v>0.28221614706250825</v>
      </c>
    </row>
    <row r="9" spans="1:10" x14ac:dyDescent="0.25">
      <c r="A9" s="3">
        <v>11</v>
      </c>
      <c r="B9">
        <f>NORMINV((7-0.5)/9,0,1)</f>
        <v>0.58945579784977842</v>
      </c>
    </row>
    <row r="10" spans="1:10" x14ac:dyDescent="0.25">
      <c r="A10" s="3">
        <v>12</v>
      </c>
      <c r="B10">
        <f>NORMINV((8-0.5)/9,0,1)</f>
        <v>0.96742156610170071</v>
      </c>
    </row>
    <row r="11" spans="1:10" x14ac:dyDescent="0.25">
      <c r="A11" s="3">
        <v>18</v>
      </c>
      <c r="B11">
        <f>NORMINV((9-0.5)/9,0,1)</f>
        <v>1.59321881802305</v>
      </c>
    </row>
    <row r="12" spans="1:10" x14ac:dyDescent="0.25">
      <c r="A12" s="3">
        <v>19</v>
      </c>
    </row>
    <row r="13" spans="1:10" x14ac:dyDescent="0.25">
      <c r="A13" s="6"/>
    </row>
  </sheetData>
  <mergeCells count="1">
    <mergeCell ref="C2:J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C14"/>
  <sheetViews>
    <sheetView workbookViewId="0">
      <selection activeCell="F24" sqref="F24"/>
    </sheetView>
  </sheetViews>
  <sheetFormatPr defaultRowHeight="15" x14ac:dyDescent="0.25"/>
  <sheetData>
    <row r="1" spans="1:3" ht="18.75" x14ac:dyDescent="0.3">
      <c r="A1" s="8" t="s">
        <v>6</v>
      </c>
    </row>
    <row r="2" spans="1:3" x14ac:dyDescent="0.25">
      <c r="A2" t="s">
        <v>8</v>
      </c>
    </row>
    <row r="3" spans="1:3" x14ac:dyDescent="0.25">
      <c r="A3" s="10" t="s">
        <v>5</v>
      </c>
      <c r="B3" s="3"/>
      <c r="C3" s="11" t="s">
        <v>7</v>
      </c>
    </row>
    <row r="5" spans="1:3" x14ac:dyDescent="0.25">
      <c r="A5" s="3" t="s">
        <v>1</v>
      </c>
    </row>
    <row r="6" spans="1:3" x14ac:dyDescent="0.25">
      <c r="A6" s="3">
        <v>1</v>
      </c>
      <c r="B6">
        <v>0</v>
      </c>
    </row>
    <row r="7" spans="1:3" x14ac:dyDescent="0.25">
      <c r="A7" s="3">
        <v>2</v>
      </c>
      <c r="B7">
        <v>0</v>
      </c>
      <c r="C7">
        <f>_xlfn.T.TEST(A6:A14,B6:B14,2,1)</f>
        <v>1.1758853372147802E-4</v>
      </c>
    </row>
    <row r="8" spans="1:3" x14ac:dyDescent="0.25">
      <c r="A8" s="3">
        <v>3</v>
      </c>
      <c r="B8">
        <v>0</v>
      </c>
    </row>
    <row r="9" spans="1:3" x14ac:dyDescent="0.25">
      <c r="A9" s="3">
        <v>4</v>
      </c>
      <c r="B9">
        <v>0</v>
      </c>
    </row>
    <row r="10" spans="1:3" x14ac:dyDescent="0.25">
      <c r="A10" s="3">
        <v>5</v>
      </c>
      <c r="B10">
        <v>0</v>
      </c>
    </row>
    <row r="11" spans="1:3" x14ac:dyDescent="0.25">
      <c r="A11" s="3">
        <v>6</v>
      </c>
      <c r="B11">
        <v>0</v>
      </c>
    </row>
    <row r="12" spans="1:3" x14ac:dyDescent="0.25">
      <c r="A12" s="3">
        <v>5</v>
      </c>
      <c r="B12">
        <v>0</v>
      </c>
    </row>
    <row r="13" spans="1:3" x14ac:dyDescent="0.25">
      <c r="A13" s="3">
        <v>4</v>
      </c>
      <c r="B13">
        <v>0</v>
      </c>
    </row>
    <row r="14" spans="1:3" x14ac:dyDescent="0.25">
      <c r="A14" s="3">
        <v>3</v>
      </c>
      <c r="B1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3</vt:i4>
      </vt:variant>
    </vt:vector>
  </HeadingPairs>
  <TitlesOfParts>
    <vt:vector size="3" baseType="lpstr">
      <vt:lpstr>Start</vt:lpstr>
      <vt:lpstr>Grafisk</vt:lpstr>
      <vt:lpstr>T-test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Samsøe Sørensen</dc:creator>
  <cp:lastModifiedBy>Mikael Samsøe Sørensen</cp:lastModifiedBy>
  <dcterms:created xsi:type="dcterms:W3CDTF">2011-03-21T19:19:25Z</dcterms:created>
  <dcterms:modified xsi:type="dcterms:W3CDTF">2011-03-21T21:56:59Z</dcterms:modified>
</cp:coreProperties>
</file>