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Denne_projektmappe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Windows\Excelfiles\"/>
    </mc:Choice>
  </mc:AlternateContent>
  <xr:revisionPtr revIDLastSave="0" documentId="13_ncr:1_{2CBAAB91-AF4D-4672-8115-90C1AAC20F95}" xr6:coauthVersionLast="47" xr6:coauthVersionMax="47" xr10:uidLastSave="{00000000-0000-0000-0000-000000000000}"/>
  <bookViews>
    <workbookView xWindow="9105" yWindow="1350" windowWidth="36825" windowHeight="15345" xr2:uid="{00000000-000D-0000-FFFF-FFFF00000000}"/>
  </bookViews>
  <sheets>
    <sheet name="Simulering" sheetId="1" r:id="rId1"/>
    <sheet name="Binomial-eksempel" sheetId="7" r:id="rId2"/>
    <sheet name="Eksempel" sheetId="5" r:id="rId3"/>
    <sheet name="N" sheetId="4" r:id="rId4"/>
  </sheets>
  <functionGroups builtInGroupCount="19"/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7" l="1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6" i="7"/>
  <c r="H17" i="5"/>
  <c r="H31" i="5"/>
  <c r="H32" i="5"/>
  <c r="H33" i="5"/>
  <c r="H34" i="5"/>
  <c r="H25" i="5"/>
  <c r="H26" i="5"/>
  <c r="H27" i="5"/>
  <c r="H28" i="5"/>
  <c r="H29" i="5"/>
  <c r="H30" i="5"/>
  <c r="H24" i="5"/>
  <c r="H23" i="5"/>
  <c r="H22" i="5"/>
  <c r="H18" i="5"/>
  <c r="H19" i="5"/>
  <c r="H20" i="5"/>
  <c r="H21" i="5"/>
  <c r="A3" i="7" l="1"/>
  <c r="H12" i="5"/>
  <c r="H13" i="5"/>
  <c r="G13" i="5"/>
  <c r="G12" i="5"/>
  <c r="D3" i="5"/>
  <c r="E3" i="5"/>
  <c r="B3" i="5"/>
  <c r="C3" i="5"/>
  <c r="A3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A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Her indsættes formlen til beregning af teststørrelsen. Der kan sagtens benyttes andre celler til mellemregninger</t>
        </r>
      </text>
    </comment>
    <comment ref="A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Når der trykkes på knappen omrører de markerede celler og teststørrelsen gemmes her hvorefter ny omrøring foretages osv.
</t>
        </r>
      </text>
    </comment>
    <comment ref="C5" authorId="0" shapeId="0" xr:uid="{00000000-0006-0000-0000-000003000000}">
      <text>
        <r>
          <rPr>
            <sz val="9"/>
            <color indexed="81"/>
            <rFont val="Tahoma"/>
            <family val="2"/>
          </rPr>
          <t>Her indtastes de mulige udfald som der skal omrøres. Evt. Optælling og andre beregninger kan laves her til højre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A3" authorId="0" shapeId="0" xr:uid="{2AB45BBA-04F1-4669-AF50-BCDFED322E66}">
      <text>
        <r>
          <rPr>
            <b/>
            <sz val="9"/>
            <color indexed="81"/>
            <rFont val="Tahoma"/>
            <family val="2"/>
          </rPr>
          <t>Her indsættes formlen til beregning af teststørrelsen. Der kan sagtens benyttes andre celler til mellemregninger</t>
        </r>
      </text>
    </comment>
    <comment ref="A5" authorId="0" shapeId="0" xr:uid="{C879F68E-EA91-49F7-BE27-9CCCE411554E}">
      <text>
        <r>
          <rPr>
            <b/>
            <sz val="9"/>
            <color indexed="81"/>
            <rFont val="Tahoma"/>
            <family val="2"/>
          </rPr>
          <t xml:space="preserve">Når der trykkes på knappen omrører de markerede celler og teststørrelsen gemmes her hvorefter ny omrøring foretages osv.
</t>
        </r>
      </text>
    </comment>
    <comment ref="C5" authorId="0" shapeId="0" xr:uid="{0D07E718-0D4D-49EB-8804-10277F876813}">
      <text>
        <r>
          <rPr>
            <sz val="9"/>
            <color indexed="81"/>
            <rFont val="Tahoma"/>
            <family val="2"/>
          </rPr>
          <t>Her indtastes de mulige udfald som der skal omrøres. Evt. Optælling og andre beregninger kan laves her til højre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A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Her indsættes formlen til beregning af teststørrelsen. Der kan sagtens benyttes andre celler til mellemregninger</t>
        </r>
      </text>
    </comment>
    <comment ref="C4" authorId="0" shapeId="0" xr:uid="{00000000-0006-0000-0100-000002000000}">
      <text>
        <r>
          <rPr>
            <sz val="9"/>
            <color indexed="81"/>
            <rFont val="Tahoma"/>
            <family val="2"/>
          </rPr>
          <t>Her indtastes de mulige udfald som der skal omrøres. Evt. Optælling og andre beregninger kan laves her til højre</t>
        </r>
      </text>
    </comment>
    <comment ref="A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Når der trykkes på knappen omrører de markerede celler og teststørrelsen gemmes her hvorefter ny omrøring foretages osv.
</t>
        </r>
      </text>
    </comment>
  </commentList>
</comments>
</file>

<file path=xl/sharedStrings.xml><?xml version="1.0" encoding="utf-8"?>
<sst xmlns="http://schemas.openxmlformats.org/spreadsheetml/2006/main" count="74" uniqueCount="31">
  <si>
    <t>Teststørrelse</t>
  </si>
  <si>
    <t>Gemte teststørrelser</t>
  </si>
  <si>
    <t>Udfald til omrøring</t>
  </si>
  <si>
    <t>m</t>
  </si>
  <si>
    <t>k</t>
  </si>
  <si>
    <t>j</t>
  </si>
  <si>
    <t>n</t>
  </si>
  <si>
    <t>ryger</t>
  </si>
  <si>
    <t>køn</t>
  </si>
  <si>
    <t>Hovedtotal</t>
  </si>
  <si>
    <t>Forventede</t>
  </si>
  <si>
    <t>Antal af ryger</t>
  </si>
  <si>
    <t>led til beregning af teststørrelse Q</t>
  </si>
  <si>
    <r>
      <t xml:space="preserve">Statistisk simulering eksempel: </t>
    </r>
    <r>
      <rPr>
        <b/>
        <sz val="16"/>
        <color theme="1"/>
        <rFont val="Calibri"/>
        <family val="2"/>
      </rPr>
      <t>χ² - test for sammenhæng</t>
    </r>
  </si>
  <si>
    <t>fra</t>
  </si>
  <si>
    <t>til</t>
  </si>
  <si>
    <t>hyp</t>
  </si>
  <si>
    <t>Kolonnemærkater</t>
  </si>
  <si>
    <t>Rækkemærkater</t>
  </si>
  <si>
    <t>Statistisk simulering</t>
  </si>
  <si>
    <t>Denne kolonne skal ikke anvendes i dette eksempel</t>
  </si>
  <si>
    <t>Teststørrelsen tæller hvor mange 1(krone) der kom</t>
  </si>
  <si>
    <t>20 møntkast (Plat=0, krone=1=succes)</t>
  </si>
  <si>
    <t>Øvelse:</t>
  </si>
  <si>
    <t>3. Pindediagrammet du får frem er en simulation af binomialfordelingen, men for hvilken n og p?</t>
  </si>
  <si>
    <t>Statistisk simulering eksempel: Binomialfordeling for møntkast</t>
  </si>
  <si>
    <t xml:space="preserve">1. Omrør og gem 50 teststørrelser </t>
  </si>
  <si>
    <t>2. Åben WordMats statistikark og kopier de gemte teststørrelser under rådata, og lav ugrupperet statistik</t>
  </si>
  <si>
    <t>4. Sammenligning pindediagrammet med WordMats binomialfordelingsarket for samme n og p.</t>
  </si>
  <si>
    <t>5. Prøv at gentage med et større antal teststørrelser og se om fordelingen bliver bedre</t>
  </si>
  <si>
    <t>6. Prøv at lave en simulering af et terningkast, hvor succes er en 6'er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</si>
</sst>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pivotButton="1"/>
    <xf numFmtId="0" fontId="0" fillId="0" borderId="0" xfId="0" applyAlignment="1">
      <alignment horizontal="left"/>
    </xf>
    <xf numFmtId="0" fontId="7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Eksempel!$H$17:$H$34</c:f>
              <c:numCache>
                <c:formatCode>General</c:formatCode>
                <c:ptCount val="18"/>
                <c:pt idx="0">
                  <c:v>87</c:v>
                </c:pt>
                <c:pt idx="1">
                  <c:v>25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8-40EF-AF0D-900268E4A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45998888"/>
        <c:axId val="345996144"/>
      </c:barChart>
      <c:catAx>
        <c:axId val="345998888"/>
        <c:scaling>
          <c:orientation val="minMax"/>
        </c:scaling>
        <c:delete val="0"/>
        <c:axPos val="b"/>
        <c:majorTickMark val="out"/>
        <c:minorTickMark val="none"/>
        <c:tickLblPos val="nextTo"/>
        <c:crossAx val="345996144"/>
        <c:crosses val="autoZero"/>
        <c:auto val="1"/>
        <c:lblAlgn val="ctr"/>
        <c:lblOffset val="100"/>
        <c:noMultiLvlLbl val="0"/>
      </c:catAx>
      <c:valAx>
        <c:axId val="34599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998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</xdr:row>
          <xdr:rowOff>9525</xdr:rowOff>
        </xdr:from>
        <xdr:to>
          <xdr:col>0</xdr:col>
          <xdr:colOff>1133475</xdr:colOff>
          <xdr:row>3</xdr:row>
          <xdr:rowOff>228600</xdr:rowOff>
        </xdr:to>
        <xdr:sp macro="" textlink="">
          <xdr:nvSpPr>
            <xdr:cNvPr id="1025" name="ButtonPermu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Omrør og gem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</xdr:row>
          <xdr:rowOff>9525</xdr:rowOff>
        </xdr:from>
        <xdr:to>
          <xdr:col>0</xdr:col>
          <xdr:colOff>1133475</xdr:colOff>
          <xdr:row>3</xdr:row>
          <xdr:rowOff>228600</xdr:rowOff>
        </xdr:to>
        <xdr:sp macro="" textlink="">
          <xdr:nvSpPr>
            <xdr:cNvPr id="5121" name="ButtonPermu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Omrør og gem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</xdr:row>
          <xdr:rowOff>9525</xdr:rowOff>
        </xdr:from>
        <xdr:to>
          <xdr:col>0</xdr:col>
          <xdr:colOff>1133475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Omrør og gem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376237</xdr:colOff>
      <xdr:row>0</xdr:row>
      <xdr:rowOff>171450</xdr:rowOff>
    </xdr:from>
    <xdr:to>
      <xdr:col>12</xdr:col>
      <xdr:colOff>571500</xdr:colOff>
      <xdr:row>9</xdr:row>
      <xdr:rowOff>9525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 Samsøe Sørensen" refreshedDate="43780.693153009262" createdVersion="4" refreshedVersion="6" minRefreshableVersion="3" recordCount="16" xr:uid="{00000000-000A-0000-FFFF-FFFF07000000}">
  <cacheSource type="worksheet">
    <worksheetSource ref="C5:D21" sheet="Eksempel"/>
  </cacheSource>
  <cacheFields count="2">
    <cacheField name="ryger" numFmtId="0">
      <sharedItems count="2">
        <s v="n"/>
        <s v="j"/>
      </sharedItems>
    </cacheField>
    <cacheField name="køn" numFmtId="0">
      <sharedItems count="2">
        <s v="m"/>
        <s v="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</r>
  <r>
    <x v="1"/>
    <x v="0"/>
  </r>
  <r>
    <x v="1"/>
    <x v="0"/>
  </r>
  <r>
    <x v="0"/>
    <x v="0"/>
  </r>
  <r>
    <x v="1"/>
    <x v="0"/>
  </r>
  <r>
    <x v="0"/>
    <x v="0"/>
  </r>
  <r>
    <x v="1"/>
    <x v="0"/>
  </r>
  <r>
    <x v="0"/>
    <x v="1"/>
  </r>
  <r>
    <x v="0"/>
    <x v="1"/>
  </r>
  <r>
    <x v="1"/>
    <x v="1"/>
  </r>
  <r>
    <x v="0"/>
    <x v="1"/>
  </r>
  <r>
    <x v="0"/>
    <x v="1"/>
  </r>
  <r>
    <x v="0"/>
    <x v="1"/>
  </r>
  <r>
    <x v="1"/>
    <x v="1"/>
  </r>
  <r>
    <x v="0"/>
    <x v="1"/>
  </r>
  <r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el2" cacheId="0" applyNumberFormats="0" applyBorderFormats="0" applyFontFormats="0" applyPatternFormats="0" applyAlignmentFormats="0" applyWidthHeightFormats="1" dataCaption="Værdier" updatedVersion="6" minRefreshableVersion="3" useAutoFormatting="1" itemPrintTitles="1" createdVersion="4" indent="0" outline="1" outlineData="1" multipleFieldFilters="0">
  <location ref="F5:I9" firstHeaderRow="1" firstDataRow="2" firstDataCol="1"/>
  <pivotFields count="2">
    <pivotField axis="axisCol" dataField="1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Antal af ryg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Sim"/>
  <dimension ref="A1:C16"/>
  <sheetViews>
    <sheetView tabSelected="1" workbookViewId="0">
      <selection activeCell="A3" sqref="A3"/>
    </sheetView>
  </sheetViews>
  <sheetFormatPr defaultRowHeight="15" x14ac:dyDescent="0.25"/>
  <cols>
    <col min="1" max="1" width="17.5703125" customWidth="1"/>
    <col min="2" max="2" width="8.42578125" customWidth="1"/>
    <col min="3" max="3" width="13.5703125" customWidth="1"/>
  </cols>
  <sheetData>
    <row r="1" spans="1:3" ht="21" x14ac:dyDescent="0.35">
      <c r="A1" s="2" t="s">
        <v>19</v>
      </c>
      <c r="B1" s="2"/>
    </row>
    <row r="2" spans="1:3" ht="20.25" customHeight="1" thickBot="1" x14ac:dyDescent="0.3">
      <c r="A2" s="1" t="s">
        <v>0</v>
      </c>
      <c r="B2" s="1"/>
    </row>
    <row r="3" spans="1:3" ht="20.25" customHeight="1" thickBot="1" x14ac:dyDescent="0.3">
      <c r="A3" s="3"/>
    </row>
    <row r="4" spans="1:3" ht="20.25" customHeight="1" x14ac:dyDescent="0.25"/>
    <row r="5" spans="1:3" x14ac:dyDescent="0.25">
      <c r="A5" s="1" t="s">
        <v>1</v>
      </c>
      <c r="B5" s="1"/>
      <c r="C5" s="1" t="s">
        <v>2</v>
      </c>
    </row>
    <row r="6" spans="1:3" x14ac:dyDescent="0.25">
      <c r="A6" s="4"/>
      <c r="C6" s="4"/>
    </row>
    <row r="7" spans="1:3" x14ac:dyDescent="0.25">
      <c r="A7" s="4"/>
      <c r="C7" s="4"/>
    </row>
    <row r="8" spans="1:3" x14ac:dyDescent="0.25">
      <c r="A8" s="4"/>
      <c r="C8" s="4"/>
    </row>
    <row r="9" spans="1:3" x14ac:dyDescent="0.25">
      <c r="A9" s="4"/>
      <c r="C9" s="4"/>
    </row>
    <row r="10" spans="1:3" x14ac:dyDescent="0.25">
      <c r="A10" s="4"/>
      <c r="C10" s="4"/>
    </row>
    <row r="11" spans="1:3" x14ac:dyDescent="0.25">
      <c r="A11" s="4"/>
      <c r="C11" s="4"/>
    </row>
    <row r="12" spans="1:3" x14ac:dyDescent="0.25">
      <c r="A12" s="4"/>
      <c r="C12" s="4"/>
    </row>
    <row r="13" spans="1:3" x14ac:dyDescent="0.25">
      <c r="A13" s="4"/>
      <c r="C13" s="4"/>
    </row>
    <row r="14" spans="1:3" x14ac:dyDescent="0.25">
      <c r="A14" s="4"/>
      <c r="C14" s="4"/>
    </row>
    <row r="15" spans="1:3" x14ac:dyDescent="0.25">
      <c r="A15" s="4"/>
      <c r="C15" s="4"/>
    </row>
    <row r="16" spans="1:3" x14ac:dyDescent="0.25">
      <c r="A16" s="5"/>
      <c r="C16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Permute">
              <controlPr defaultSize="0" print="0" autoFill="0" autoPict="0" macro="[0]!GemMange">
                <anchor moveWithCells="1" sizeWithCells="1">
                  <from>
                    <xdr:col>0</xdr:col>
                    <xdr:colOff>28575</xdr:colOff>
                    <xdr:row>3</xdr:row>
                    <xdr:rowOff>9525</xdr:rowOff>
                  </from>
                  <to>
                    <xdr:col>0</xdr:col>
                    <xdr:colOff>1133475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ADD2-00AF-47A3-9A1E-0CDA4BF60DFB}">
  <sheetPr codeName="ArkSim1"/>
  <dimension ref="A1:G25"/>
  <sheetViews>
    <sheetView workbookViewId="0">
      <selection activeCell="G14" sqref="G14"/>
    </sheetView>
  </sheetViews>
  <sheetFormatPr defaultRowHeight="15" x14ac:dyDescent="0.25"/>
  <cols>
    <col min="1" max="1" width="17.5703125" customWidth="1"/>
    <col min="2" max="2" width="8.42578125" customWidth="1"/>
    <col min="3" max="3" width="13.5703125" customWidth="1"/>
  </cols>
  <sheetData>
    <row r="1" spans="1:7" ht="21" x14ac:dyDescent="0.35">
      <c r="A1" s="2" t="s">
        <v>25</v>
      </c>
      <c r="B1" s="2"/>
    </row>
    <row r="2" spans="1:7" ht="20.25" customHeight="1" thickBot="1" x14ac:dyDescent="0.3">
      <c r="A2" s="1" t="s">
        <v>0</v>
      </c>
      <c r="B2" s="1"/>
    </row>
    <row r="3" spans="1:7" ht="20.25" customHeight="1" thickBot="1" x14ac:dyDescent="0.3">
      <c r="A3" s="3">
        <f ca="1">COUNTIF(E6:E25,"=1")</f>
        <v>6</v>
      </c>
      <c r="C3" s="10" t="s">
        <v>20</v>
      </c>
      <c r="E3" t="s">
        <v>21</v>
      </c>
    </row>
    <row r="4" spans="1:7" ht="20.25" customHeight="1" x14ac:dyDescent="0.25">
      <c r="C4" s="10"/>
    </row>
    <row r="5" spans="1:7" x14ac:dyDescent="0.25">
      <c r="A5" s="1" t="s">
        <v>1</v>
      </c>
      <c r="B5" s="1"/>
      <c r="C5" s="1" t="s">
        <v>2</v>
      </c>
      <c r="E5" t="s">
        <v>22</v>
      </c>
    </row>
    <row r="6" spans="1:7" x14ac:dyDescent="0.25">
      <c r="A6" s="4"/>
      <c r="C6" s="4"/>
      <c r="E6">
        <f ca="1">RANDBETWEEN(0,1)</f>
        <v>0</v>
      </c>
    </row>
    <row r="7" spans="1:7" x14ac:dyDescent="0.25">
      <c r="A7" s="4"/>
      <c r="C7" s="4"/>
      <c r="E7">
        <f t="shared" ref="E7:E25" ca="1" si="0">RANDBETWEEN(0,1)</f>
        <v>1</v>
      </c>
      <c r="G7" s="1" t="s">
        <v>23</v>
      </c>
    </row>
    <row r="8" spans="1:7" x14ac:dyDescent="0.25">
      <c r="A8" s="4"/>
      <c r="C8" s="4"/>
      <c r="E8">
        <f t="shared" ca="1" si="0"/>
        <v>0</v>
      </c>
      <c r="G8" t="s">
        <v>26</v>
      </c>
    </row>
    <row r="9" spans="1:7" x14ac:dyDescent="0.25">
      <c r="A9" s="4"/>
      <c r="C9" s="4"/>
      <c r="E9">
        <f t="shared" ca="1" si="0"/>
        <v>1</v>
      </c>
      <c r="G9" t="s">
        <v>27</v>
      </c>
    </row>
    <row r="10" spans="1:7" x14ac:dyDescent="0.25">
      <c r="A10" s="4"/>
      <c r="C10" s="4"/>
      <c r="E10">
        <f t="shared" ca="1" si="0"/>
        <v>0</v>
      </c>
      <c r="G10" t="s">
        <v>24</v>
      </c>
    </row>
    <row r="11" spans="1:7" x14ac:dyDescent="0.25">
      <c r="A11" s="4"/>
      <c r="C11" s="4"/>
      <c r="E11">
        <f t="shared" ca="1" si="0"/>
        <v>1</v>
      </c>
      <c r="G11" t="s">
        <v>28</v>
      </c>
    </row>
    <row r="12" spans="1:7" x14ac:dyDescent="0.25">
      <c r="A12" s="4"/>
      <c r="C12" s="4"/>
      <c r="E12">
        <f t="shared" ca="1" si="0"/>
        <v>0</v>
      </c>
      <c r="G12" t="s">
        <v>29</v>
      </c>
    </row>
    <row r="13" spans="1:7" x14ac:dyDescent="0.25">
      <c r="A13" s="4"/>
      <c r="C13" s="4"/>
      <c r="E13">
        <f t="shared" ca="1" si="0"/>
        <v>0</v>
      </c>
      <c r="G13" t="s">
        <v>30</v>
      </c>
    </row>
    <row r="14" spans="1:7" x14ac:dyDescent="0.25">
      <c r="A14" s="4"/>
      <c r="C14" s="4"/>
      <c r="E14">
        <f t="shared" ca="1" si="0"/>
        <v>0</v>
      </c>
    </row>
    <row r="15" spans="1:7" x14ac:dyDescent="0.25">
      <c r="A15" s="4"/>
      <c r="C15" s="4"/>
      <c r="E15">
        <f t="shared" ca="1" si="0"/>
        <v>1</v>
      </c>
    </row>
    <row r="16" spans="1:7" x14ac:dyDescent="0.25">
      <c r="A16" s="5"/>
      <c r="C16" s="6"/>
      <c r="E16">
        <f t="shared" ca="1" si="0"/>
        <v>0</v>
      </c>
    </row>
    <row r="17" spans="5:5" x14ac:dyDescent="0.25">
      <c r="E17">
        <f t="shared" ca="1" si="0"/>
        <v>1</v>
      </c>
    </row>
    <row r="18" spans="5:5" x14ac:dyDescent="0.25">
      <c r="E18">
        <f t="shared" ca="1" si="0"/>
        <v>0</v>
      </c>
    </row>
    <row r="19" spans="5:5" x14ac:dyDescent="0.25">
      <c r="E19">
        <f t="shared" ca="1" si="0"/>
        <v>0</v>
      </c>
    </row>
    <row r="20" spans="5:5" x14ac:dyDescent="0.25">
      <c r="E20">
        <f t="shared" ca="1" si="0"/>
        <v>0</v>
      </c>
    </row>
    <row r="21" spans="5:5" x14ac:dyDescent="0.25">
      <c r="E21">
        <f t="shared" ca="1" si="0"/>
        <v>0</v>
      </c>
    </row>
    <row r="22" spans="5:5" x14ac:dyDescent="0.25">
      <c r="E22">
        <f t="shared" ca="1" si="0"/>
        <v>1</v>
      </c>
    </row>
    <row r="23" spans="5:5" x14ac:dyDescent="0.25">
      <c r="E23">
        <f t="shared" ca="1" si="0"/>
        <v>0</v>
      </c>
    </row>
    <row r="24" spans="5:5" x14ac:dyDescent="0.25">
      <c r="E24">
        <f t="shared" ca="1" si="0"/>
        <v>0</v>
      </c>
    </row>
    <row r="25" spans="5:5" x14ac:dyDescent="0.25">
      <c r="E25">
        <f t="shared" ca="1" si="0"/>
        <v>0</v>
      </c>
    </row>
  </sheetData>
  <mergeCells count="1">
    <mergeCell ref="C3:C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Permute">
              <controlPr defaultSize="0" print="0" autoFill="0" autoPict="0" macro="[0]!GemMange">
                <anchor moveWithCells="1" sizeWithCells="1">
                  <from>
                    <xdr:col>0</xdr:col>
                    <xdr:colOff>28575</xdr:colOff>
                    <xdr:row>3</xdr:row>
                    <xdr:rowOff>9525</xdr:rowOff>
                  </from>
                  <to>
                    <xdr:col>0</xdr:col>
                    <xdr:colOff>1133475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Example"/>
  <dimension ref="A1:I208"/>
  <sheetViews>
    <sheetView workbookViewId="0">
      <selection activeCell="H18" sqref="H18"/>
    </sheetView>
  </sheetViews>
  <sheetFormatPr defaultRowHeight="15" x14ac:dyDescent="0.25"/>
  <cols>
    <col min="1" max="1" width="17.5703125" customWidth="1"/>
    <col min="2" max="2" width="8.42578125" customWidth="1"/>
    <col min="3" max="3" width="13.5703125" customWidth="1"/>
    <col min="4" max="4" width="6.5703125" customWidth="1"/>
    <col min="5" max="5" width="5.85546875" customWidth="1"/>
    <col min="6" max="6" width="17.42578125" bestFit="1" customWidth="1"/>
    <col min="7" max="7" width="18.85546875" bestFit="1" customWidth="1"/>
    <col min="8" max="8" width="2" bestFit="1" customWidth="1"/>
    <col min="9" max="9" width="10.42578125" bestFit="1" customWidth="1"/>
  </cols>
  <sheetData>
    <row r="1" spans="1:9" ht="21" x14ac:dyDescent="0.35">
      <c r="A1" s="2" t="s">
        <v>13</v>
      </c>
      <c r="B1" s="2"/>
    </row>
    <row r="2" spans="1:9" ht="20.25" customHeight="1" thickBot="1" x14ac:dyDescent="0.3">
      <c r="A2" s="1" t="s">
        <v>0</v>
      </c>
      <c r="B2" s="1" t="s">
        <v>12</v>
      </c>
    </row>
    <row r="3" spans="1:9" ht="20.25" customHeight="1" thickBot="1" x14ac:dyDescent="0.3">
      <c r="A3" s="3">
        <f>SUM(B3:E3)</f>
        <v>0.90702947845804993</v>
      </c>
      <c r="B3">
        <f>(G12-GETPIVOTDATA("ryger",$F$5,"ryger","j","køn","k"))^2/G12</f>
        <v>0.22321428571428573</v>
      </c>
      <c r="C3">
        <f>(H12-GETPIVOTDATA("ryger",$F$5,"ryger","n","køn","k"))^2/H12</f>
        <v>0.1736111111111111</v>
      </c>
      <c r="D3">
        <f>(GETPIVOTDATA("ryger",$F$5,"ryger","j","køn","m")-G13)^2/G13</f>
        <v>0.28698979591836737</v>
      </c>
      <c r="E3">
        <f>(H13-GETPIVOTDATA("ryger",$F$5,"ryger","n","køn","m"))^2/H13</f>
        <v>0.22321428571428573</v>
      </c>
    </row>
    <row r="4" spans="1:9" ht="20.25" customHeight="1" x14ac:dyDescent="0.25">
      <c r="C4" s="1" t="s">
        <v>2</v>
      </c>
    </row>
    <row r="5" spans="1:9" x14ac:dyDescent="0.25">
      <c r="A5" s="1" t="s">
        <v>1</v>
      </c>
      <c r="B5" s="1"/>
      <c r="C5" t="s">
        <v>7</v>
      </c>
      <c r="D5" t="s">
        <v>8</v>
      </c>
      <c r="F5" s="8" t="s">
        <v>11</v>
      </c>
      <c r="G5" s="8" t="s">
        <v>17</v>
      </c>
    </row>
    <row r="6" spans="1:9" x14ac:dyDescent="0.25">
      <c r="A6" s="4">
        <v>4.3900226757369616</v>
      </c>
      <c r="C6" s="4" t="s">
        <v>6</v>
      </c>
      <c r="D6" t="s">
        <v>3</v>
      </c>
      <c r="F6" s="8" t="s">
        <v>18</v>
      </c>
      <c r="G6" t="s">
        <v>5</v>
      </c>
      <c r="H6" t="s">
        <v>6</v>
      </c>
      <c r="I6" t="s">
        <v>9</v>
      </c>
    </row>
    <row r="7" spans="1:9" x14ac:dyDescent="0.25">
      <c r="A7" s="4">
        <v>1.165028974552784</v>
      </c>
      <c r="C7" s="4" t="s">
        <v>5</v>
      </c>
      <c r="D7" t="s">
        <v>3</v>
      </c>
      <c r="F7" s="9" t="s">
        <v>4</v>
      </c>
      <c r="G7">
        <v>3</v>
      </c>
      <c r="H7">
        <v>6</v>
      </c>
      <c r="I7">
        <v>9</v>
      </c>
    </row>
    <row r="8" spans="1:9" x14ac:dyDescent="0.25">
      <c r="A8" s="4">
        <v>0.90702947845804993</v>
      </c>
      <c r="C8" s="4" t="s">
        <v>5</v>
      </c>
      <c r="D8" t="s">
        <v>3</v>
      </c>
      <c r="F8" s="9" t="s">
        <v>3</v>
      </c>
      <c r="G8">
        <v>4</v>
      </c>
      <c r="H8">
        <v>3</v>
      </c>
      <c r="I8">
        <v>7</v>
      </c>
    </row>
    <row r="9" spans="1:9" x14ac:dyDescent="0.25">
      <c r="A9" s="4">
        <v>0.90702947845804993</v>
      </c>
      <c r="C9" s="4" t="s">
        <v>6</v>
      </c>
      <c r="D9" t="s">
        <v>3</v>
      </c>
      <c r="F9" s="9" t="s">
        <v>9</v>
      </c>
      <c r="G9">
        <v>7</v>
      </c>
      <c r="H9">
        <v>9</v>
      </c>
      <c r="I9">
        <v>16</v>
      </c>
    </row>
    <row r="10" spans="1:9" x14ac:dyDescent="0.25">
      <c r="A10" s="4">
        <v>0.90702947845804993</v>
      </c>
      <c r="C10" s="4" t="s">
        <v>5</v>
      </c>
      <c r="D10" t="s">
        <v>3</v>
      </c>
    </row>
    <row r="11" spans="1:9" x14ac:dyDescent="0.25">
      <c r="A11" s="4">
        <v>1.165028974552784</v>
      </c>
      <c r="C11" s="4" t="s">
        <v>6</v>
      </c>
      <c r="D11" t="s">
        <v>3</v>
      </c>
      <c r="F11" s="9" t="s">
        <v>10</v>
      </c>
      <c r="G11" t="s">
        <v>5</v>
      </c>
      <c r="H11" t="s">
        <v>6</v>
      </c>
    </row>
    <row r="12" spans="1:9" x14ac:dyDescent="0.25">
      <c r="A12" s="4">
        <v>4.0312421264802212E-3</v>
      </c>
      <c r="C12" s="4" t="s">
        <v>5</v>
      </c>
      <c r="D12" t="s">
        <v>3</v>
      </c>
      <c r="F12" s="9" t="s">
        <v>4</v>
      </c>
      <c r="G12">
        <f>G14/I14*I12</f>
        <v>3.9375</v>
      </c>
      <c r="H12">
        <f>H14/I14*I12</f>
        <v>5.0625</v>
      </c>
      <c r="I12">
        <v>9</v>
      </c>
    </row>
    <row r="13" spans="1:9" x14ac:dyDescent="0.25">
      <c r="A13" s="4">
        <v>3.874023683547493</v>
      </c>
      <c r="C13" s="4" t="s">
        <v>6</v>
      </c>
      <c r="D13" t="s">
        <v>4</v>
      </c>
      <c r="F13" s="9" t="s">
        <v>3</v>
      </c>
      <c r="G13">
        <f>G14/I14*I13</f>
        <v>3.0625</v>
      </c>
      <c r="H13">
        <f>H14/I14*I13</f>
        <v>3.9375</v>
      </c>
      <c r="I13">
        <v>7</v>
      </c>
    </row>
    <row r="14" spans="1:9" x14ac:dyDescent="0.25">
      <c r="A14" s="4">
        <v>4.0312421264802212E-3</v>
      </c>
      <c r="C14" s="4" t="s">
        <v>6</v>
      </c>
      <c r="D14" t="s">
        <v>4</v>
      </c>
      <c r="G14">
        <v>7</v>
      </c>
      <c r="H14">
        <v>9</v>
      </c>
      <c r="I14">
        <v>16</v>
      </c>
    </row>
    <row r="15" spans="1:9" x14ac:dyDescent="0.25">
      <c r="A15" s="4">
        <v>4.0312421264802212E-3</v>
      </c>
      <c r="C15" s="4" t="s">
        <v>5</v>
      </c>
      <c r="D15" t="s">
        <v>4</v>
      </c>
      <c r="F15" s="9"/>
    </row>
    <row r="16" spans="1:9" x14ac:dyDescent="0.25">
      <c r="A16" s="5">
        <v>8.9050138573948097</v>
      </c>
      <c r="C16" s="6" t="s">
        <v>6</v>
      </c>
      <c r="D16" t="s">
        <v>4</v>
      </c>
      <c r="F16" s="9" t="s">
        <v>14</v>
      </c>
      <c r="G16" t="s">
        <v>15</v>
      </c>
      <c r="H16" t="s">
        <v>16</v>
      </c>
    </row>
    <row r="17" spans="1:8" x14ac:dyDescent="0.25">
      <c r="A17">
        <v>1.165028974552784</v>
      </c>
      <c r="C17" s="7" t="s">
        <v>6</v>
      </c>
      <c r="D17" t="s">
        <v>4</v>
      </c>
      <c r="F17">
        <v>0</v>
      </c>
      <c r="G17">
        <v>0.5</v>
      </c>
      <c r="H17">
        <f>COUNTIF(A$6:A$1000,"&lt;="&amp;G17)-COUNTIF(A$6:A$1000,"&lt;"&amp;F17)</f>
        <v>87</v>
      </c>
    </row>
    <row r="18" spans="1:8" x14ac:dyDescent="0.25">
      <c r="A18">
        <v>4.0312421264802212E-3</v>
      </c>
      <c r="C18" s="7" t="s">
        <v>6</v>
      </c>
      <c r="D18" t="s">
        <v>4</v>
      </c>
      <c r="F18">
        <v>0.5</v>
      </c>
      <c r="G18">
        <v>1</v>
      </c>
      <c r="H18">
        <f t="shared" ref="H18:H30" si="0">COUNTIF(A$6:A$109,"&lt;="&amp;G18)-COUNTIF(A$6:A$109,"&lt;"&amp;F18)</f>
        <v>25</v>
      </c>
    </row>
    <row r="19" spans="1:8" x14ac:dyDescent="0.25">
      <c r="A19">
        <v>1.165028974552784</v>
      </c>
      <c r="C19" s="7" t="s">
        <v>5</v>
      </c>
      <c r="D19" t="s">
        <v>4</v>
      </c>
      <c r="F19">
        <v>1</v>
      </c>
      <c r="G19">
        <v>1.5</v>
      </c>
      <c r="H19">
        <f t="shared" si="0"/>
        <v>20</v>
      </c>
    </row>
    <row r="20" spans="1:8" x14ac:dyDescent="0.25">
      <c r="A20">
        <v>4.0312421264802212E-3</v>
      </c>
      <c r="C20" s="7" t="s">
        <v>6</v>
      </c>
      <c r="D20" t="s">
        <v>4</v>
      </c>
      <c r="F20">
        <v>1.5</v>
      </c>
      <c r="G20">
        <v>2</v>
      </c>
      <c r="H20">
        <f t="shared" si="0"/>
        <v>0</v>
      </c>
    </row>
    <row r="21" spans="1:8" x14ac:dyDescent="0.25">
      <c r="A21">
        <v>0.90702947845804993</v>
      </c>
      <c r="C21" s="7" t="s">
        <v>5</v>
      </c>
      <c r="D21" t="s">
        <v>4</v>
      </c>
      <c r="F21">
        <v>2</v>
      </c>
      <c r="G21">
        <v>2.5</v>
      </c>
      <c r="H21">
        <f t="shared" si="0"/>
        <v>0</v>
      </c>
    </row>
    <row r="22" spans="1:8" x14ac:dyDescent="0.25">
      <c r="A22">
        <v>3.874023683547493</v>
      </c>
      <c r="F22">
        <v>2.5</v>
      </c>
      <c r="G22">
        <v>3</v>
      </c>
      <c r="H22">
        <f t="shared" si="0"/>
        <v>0</v>
      </c>
    </row>
    <row r="23" spans="1:8" x14ac:dyDescent="0.25">
      <c r="A23">
        <v>1.165028974552784</v>
      </c>
      <c r="F23">
        <v>3</v>
      </c>
      <c r="G23">
        <v>3.5</v>
      </c>
      <c r="H23">
        <f t="shared" si="0"/>
        <v>0</v>
      </c>
    </row>
    <row r="24" spans="1:8" x14ac:dyDescent="0.25">
      <c r="A24">
        <v>4.0312421264802212E-3</v>
      </c>
      <c r="F24">
        <v>3.5</v>
      </c>
      <c r="G24">
        <v>4</v>
      </c>
      <c r="H24">
        <f t="shared" si="0"/>
        <v>5</v>
      </c>
    </row>
    <row r="25" spans="1:8" x14ac:dyDescent="0.25">
      <c r="A25">
        <v>3.874023683547493</v>
      </c>
      <c r="F25">
        <v>4</v>
      </c>
      <c r="G25">
        <v>4.5</v>
      </c>
      <c r="H25">
        <f t="shared" si="0"/>
        <v>7</v>
      </c>
    </row>
    <row r="26" spans="1:8" x14ac:dyDescent="0.25">
      <c r="A26">
        <v>1.165028974552784</v>
      </c>
      <c r="F26">
        <v>4.5</v>
      </c>
      <c r="G26">
        <v>5</v>
      </c>
      <c r="H26">
        <f t="shared" si="0"/>
        <v>0</v>
      </c>
    </row>
    <row r="27" spans="1:8" x14ac:dyDescent="0.25">
      <c r="A27">
        <v>4.0312421264802212E-3</v>
      </c>
      <c r="F27">
        <v>5</v>
      </c>
      <c r="G27">
        <v>5.5</v>
      </c>
      <c r="H27">
        <f t="shared" si="0"/>
        <v>0</v>
      </c>
    </row>
    <row r="28" spans="1:8" x14ac:dyDescent="0.25">
      <c r="A28">
        <v>4.0312421264802212E-3</v>
      </c>
      <c r="F28">
        <v>5.5</v>
      </c>
      <c r="G28">
        <v>6</v>
      </c>
      <c r="H28">
        <f t="shared" si="0"/>
        <v>0</v>
      </c>
    </row>
    <row r="29" spans="1:8" x14ac:dyDescent="0.25">
      <c r="A29">
        <v>4.0312421264802212E-3</v>
      </c>
      <c r="F29">
        <v>6</v>
      </c>
      <c r="G29">
        <v>6.5</v>
      </c>
      <c r="H29">
        <f t="shared" si="0"/>
        <v>0</v>
      </c>
    </row>
    <row r="30" spans="1:8" x14ac:dyDescent="0.25">
      <c r="A30">
        <v>0.90702947845804993</v>
      </c>
      <c r="F30">
        <v>6.5</v>
      </c>
      <c r="G30">
        <v>7</v>
      </c>
      <c r="H30">
        <f t="shared" si="0"/>
        <v>0</v>
      </c>
    </row>
    <row r="31" spans="1:8" x14ac:dyDescent="0.25">
      <c r="A31">
        <v>3.874023683547493</v>
      </c>
      <c r="F31">
        <v>7</v>
      </c>
      <c r="G31">
        <v>7.5</v>
      </c>
      <c r="H31">
        <f t="shared" ref="H31:H34" si="1">COUNTIF(A$6:A$109,"&lt;="&amp;G31)-COUNTIF(A$6:A$109,"&lt;"&amp;F31)</f>
        <v>0</v>
      </c>
    </row>
    <row r="32" spans="1:8" x14ac:dyDescent="0.25">
      <c r="A32">
        <v>4.3900226757369616</v>
      </c>
      <c r="F32">
        <v>7.5</v>
      </c>
      <c r="G32">
        <v>8</v>
      </c>
      <c r="H32">
        <f t="shared" si="1"/>
        <v>0</v>
      </c>
    </row>
    <row r="33" spans="1:8" x14ac:dyDescent="0.25">
      <c r="A33">
        <v>0.90702947845804993</v>
      </c>
      <c r="F33">
        <v>8</v>
      </c>
      <c r="G33">
        <v>8.5</v>
      </c>
      <c r="H33">
        <f t="shared" si="1"/>
        <v>0</v>
      </c>
    </row>
    <row r="34" spans="1:8" x14ac:dyDescent="0.25">
      <c r="A34">
        <v>4.0312421264802212E-3</v>
      </c>
      <c r="F34">
        <v>8.5</v>
      </c>
      <c r="G34">
        <v>9</v>
      </c>
      <c r="H34">
        <f t="shared" si="1"/>
        <v>1</v>
      </c>
    </row>
    <row r="35" spans="1:8" x14ac:dyDescent="0.25">
      <c r="A35">
        <v>4.0312421264802212E-3</v>
      </c>
    </row>
    <row r="36" spans="1:8" x14ac:dyDescent="0.25">
      <c r="A36">
        <v>1.165028974552784</v>
      </c>
    </row>
    <row r="37" spans="1:8" x14ac:dyDescent="0.25">
      <c r="A37">
        <v>4.0312421264802212E-3</v>
      </c>
    </row>
    <row r="38" spans="1:8" x14ac:dyDescent="0.25">
      <c r="A38">
        <v>4.0312421264802212E-3</v>
      </c>
    </row>
    <row r="39" spans="1:8" x14ac:dyDescent="0.25">
      <c r="A39">
        <v>1.165028974552784</v>
      </c>
    </row>
    <row r="40" spans="1:8" x14ac:dyDescent="0.25">
      <c r="A40">
        <v>4.0312421264802212E-3</v>
      </c>
    </row>
    <row r="41" spans="1:8" x14ac:dyDescent="0.25">
      <c r="A41">
        <v>1.165028974552784</v>
      </c>
    </row>
    <row r="42" spans="1:8" x14ac:dyDescent="0.25">
      <c r="A42">
        <v>0.90702947845804993</v>
      </c>
    </row>
    <row r="43" spans="1:8" x14ac:dyDescent="0.25">
      <c r="A43">
        <v>0.90702947845804993</v>
      </c>
    </row>
    <row r="44" spans="1:8" x14ac:dyDescent="0.25">
      <c r="A44">
        <v>0.90702947845804993</v>
      </c>
    </row>
    <row r="45" spans="1:8" x14ac:dyDescent="0.25">
      <c r="A45">
        <v>4.0312421264802212E-3</v>
      </c>
    </row>
    <row r="46" spans="1:8" x14ac:dyDescent="0.25">
      <c r="A46">
        <v>0.90702947845804993</v>
      </c>
    </row>
    <row r="47" spans="1:8" x14ac:dyDescent="0.25">
      <c r="A47">
        <v>4.0312421264802212E-3</v>
      </c>
    </row>
    <row r="48" spans="1:8" x14ac:dyDescent="0.25">
      <c r="A48">
        <v>1.165028974552784</v>
      </c>
    </row>
    <row r="49" spans="1:1" x14ac:dyDescent="0.25">
      <c r="A49">
        <v>3.874023683547493</v>
      </c>
    </row>
    <row r="50" spans="1:1" x14ac:dyDescent="0.25">
      <c r="A50">
        <v>0.90702947845804993</v>
      </c>
    </row>
    <row r="51" spans="1:1" x14ac:dyDescent="0.25">
      <c r="A51">
        <v>4.0312421264802212E-3</v>
      </c>
    </row>
    <row r="52" spans="1:1" x14ac:dyDescent="0.25">
      <c r="A52">
        <v>0.90702947845804993</v>
      </c>
    </row>
    <row r="53" spans="1:1" x14ac:dyDescent="0.25">
      <c r="A53">
        <v>0.90702947845804993</v>
      </c>
    </row>
    <row r="54" spans="1:1" x14ac:dyDescent="0.25">
      <c r="A54">
        <v>1.165028974552784</v>
      </c>
    </row>
    <row r="55" spans="1:1" x14ac:dyDescent="0.25">
      <c r="A55">
        <v>4.0312421264802212E-3</v>
      </c>
    </row>
    <row r="56" spans="1:1" x14ac:dyDescent="0.25">
      <c r="A56">
        <v>4.0312421264802212E-3</v>
      </c>
    </row>
    <row r="57" spans="1:1" x14ac:dyDescent="0.25">
      <c r="A57">
        <v>4.3900226757369616</v>
      </c>
    </row>
    <row r="58" spans="1:1" x14ac:dyDescent="0.25">
      <c r="A58">
        <v>4.0312421264802212E-3</v>
      </c>
    </row>
    <row r="59" spans="1:1" x14ac:dyDescent="0.25">
      <c r="A59">
        <v>4.0312421264802212E-3</v>
      </c>
    </row>
    <row r="60" spans="1:1" x14ac:dyDescent="0.25">
      <c r="A60">
        <v>0.90702947845804993</v>
      </c>
    </row>
    <row r="61" spans="1:1" x14ac:dyDescent="0.25">
      <c r="A61">
        <v>4.0312421264802212E-3</v>
      </c>
    </row>
    <row r="62" spans="1:1" x14ac:dyDescent="0.25">
      <c r="A62">
        <v>4.0312421264802212E-3</v>
      </c>
    </row>
    <row r="63" spans="1:1" x14ac:dyDescent="0.25">
      <c r="A63">
        <v>1.165028974552784</v>
      </c>
    </row>
    <row r="64" spans="1:1" x14ac:dyDescent="0.25">
      <c r="A64">
        <v>4.0312421264802212E-3</v>
      </c>
    </row>
    <row r="65" spans="1:1" x14ac:dyDescent="0.25">
      <c r="A65">
        <v>0.90702947845804993</v>
      </c>
    </row>
    <row r="66" spans="1:1" x14ac:dyDescent="0.25">
      <c r="A66">
        <v>4.0312421264802212E-3</v>
      </c>
    </row>
    <row r="67" spans="1:1" x14ac:dyDescent="0.25">
      <c r="A67">
        <v>0.90702947845804993</v>
      </c>
    </row>
    <row r="68" spans="1:1" x14ac:dyDescent="0.25">
      <c r="A68">
        <v>4.0312421264802212E-3</v>
      </c>
    </row>
    <row r="69" spans="1:1" x14ac:dyDescent="0.25">
      <c r="A69">
        <v>4.0312421264802212E-3</v>
      </c>
    </row>
    <row r="70" spans="1:1" x14ac:dyDescent="0.25">
      <c r="A70">
        <v>4.0312421264802212E-3</v>
      </c>
    </row>
    <row r="71" spans="1:1" x14ac:dyDescent="0.25">
      <c r="A71">
        <v>1.165028974552784</v>
      </c>
    </row>
    <row r="72" spans="1:1" x14ac:dyDescent="0.25">
      <c r="A72">
        <v>4.0312421264802212E-3</v>
      </c>
    </row>
    <row r="73" spans="1:1" x14ac:dyDescent="0.25">
      <c r="A73">
        <v>1.165028974552784</v>
      </c>
    </row>
    <row r="74" spans="1:1" x14ac:dyDescent="0.25">
      <c r="A74">
        <v>0.90702947845804993</v>
      </c>
    </row>
    <row r="75" spans="1:1" x14ac:dyDescent="0.25">
      <c r="A75">
        <v>1.165028974552784</v>
      </c>
    </row>
    <row r="76" spans="1:1" x14ac:dyDescent="0.25">
      <c r="A76">
        <v>4.0312421264802212E-3</v>
      </c>
    </row>
    <row r="77" spans="1:1" x14ac:dyDescent="0.25">
      <c r="A77">
        <v>4.3900226757369616</v>
      </c>
    </row>
    <row r="78" spans="1:1" x14ac:dyDescent="0.25">
      <c r="A78">
        <v>4.0312421264802212E-3</v>
      </c>
    </row>
    <row r="79" spans="1:1" x14ac:dyDescent="0.25">
      <c r="A79">
        <v>4.0312421264802212E-3</v>
      </c>
    </row>
    <row r="80" spans="1:1" x14ac:dyDescent="0.25">
      <c r="A80">
        <v>4.0312421264802212E-3</v>
      </c>
    </row>
    <row r="81" spans="1:1" x14ac:dyDescent="0.25">
      <c r="A81">
        <v>0.90702947845804993</v>
      </c>
    </row>
    <row r="82" spans="1:1" x14ac:dyDescent="0.25">
      <c r="A82">
        <v>4.0312421264802212E-3</v>
      </c>
    </row>
    <row r="83" spans="1:1" x14ac:dyDescent="0.25">
      <c r="A83">
        <v>4.0312421264802212E-3</v>
      </c>
    </row>
    <row r="84" spans="1:1" x14ac:dyDescent="0.25">
      <c r="A84">
        <v>1.165028974552784</v>
      </c>
    </row>
    <row r="85" spans="1:1" x14ac:dyDescent="0.25">
      <c r="A85">
        <v>0.90702947845804993</v>
      </c>
    </row>
    <row r="86" spans="1:1" x14ac:dyDescent="0.25">
      <c r="A86">
        <v>0.90702947845804993</v>
      </c>
    </row>
    <row r="87" spans="1:1" x14ac:dyDescent="0.25">
      <c r="A87">
        <v>0.90702947845804993</v>
      </c>
    </row>
    <row r="88" spans="1:1" x14ac:dyDescent="0.25">
      <c r="A88">
        <v>4.0312421264802212E-3</v>
      </c>
    </row>
    <row r="89" spans="1:1" x14ac:dyDescent="0.25">
      <c r="A89">
        <v>4.0312421264802212E-3</v>
      </c>
    </row>
    <row r="90" spans="1:1" x14ac:dyDescent="0.25">
      <c r="A90">
        <v>4.0312421264802212E-3</v>
      </c>
    </row>
    <row r="91" spans="1:1" x14ac:dyDescent="0.25">
      <c r="A91">
        <v>4.0312421264802212E-3</v>
      </c>
    </row>
    <row r="92" spans="1:1" x14ac:dyDescent="0.25">
      <c r="A92">
        <v>4.0312421264802212E-3</v>
      </c>
    </row>
    <row r="93" spans="1:1" x14ac:dyDescent="0.25">
      <c r="A93">
        <v>0.90702947845804993</v>
      </c>
    </row>
    <row r="94" spans="1:1" x14ac:dyDescent="0.25">
      <c r="A94">
        <v>4.3900226757369616</v>
      </c>
    </row>
    <row r="95" spans="1:1" x14ac:dyDescent="0.25">
      <c r="A95">
        <v>4.0312421264802212E-3</v>
      </c>
    </row>
    <row r="96" spans="1:1" x14ac:dyDescent="0.25">
      <c r="A96">
        <v>1.165028974552784</v>
      </c>
    </row>
    <row r="97" spans="1:1" x14ac:dyDescent="0.25">
      <c r="A97">
        <v>1.165028974552784</v>
      </c>
    </row>
    <row r="98" spans="1:1" x14ac:dyDescent="0.25">
      <c r="A98">
        <v>1.165028974552784</v>
      </c>
    </row>
    <row r="99" spans="1:1" x14ac:dyDescent="0.25">
      <c r="A99">
        <v>4.0312421264802212E-3</v>
      </c>
    </row>
    <row r="100" spans="1:1" x14ac:dyDescent="0.25">
      <c r="A100">
        <v>4.0312421264802212E-3</v>
      </c>
    </row>
    <row r="101" spans="1:1" x14ac:dyDescent="0.25">
      <c r="A101">
        <v>4.3900226757369616</v>
      </c>
    </row>
    <row r="102" spans="1:1" x14ac:dyDescent="0.25">
      <c r="A102">
        <v>1.165028974552784</v>
      </c>
    </row>
    <row r="103" spans="1:1" x14ac:dyDescent="0.25">
      <c r="A103">
        <v>0.90702947845804993</v>
      </c>
    </row>
    <row r="104" spans="1:1" x14ac:dyDescent="0.25">
      <c r="A104">
        <v>0.90702947845804993</v>
      </c>
    </row>
    <row r="105" spans="1:1" x14ac:dyDescent="0.25">
      <c r="A105">
        <v>4.0312421264802212E-3</v>
      </c>
    </row>
    <row r="106" spans="1:1" x14ac:dyDescent="0.25">
      <c r="A106">
        <v>4.0312421264802212E-3</v>
      </c>
    </row>
    <row r="107" spans="1:1" x14ac:dyDescent="0.25">
      <c r="A107">
        <v>4.0312421264802212E-3</v>
      </c>
    </row>
    <row r="108" spans="1:1" x14ac:dyDescent="0.25">
      <c r="A108">
        <v>4.3900226757369616</v>
      </c>
    </row>
    <row r="109" spans="1:1" x14ac:dyDescent="0.25">
      <c r="A109">
        <v>0.90702947845804993</v>
      </c>
    </row>
    <row r="110" spans="1:1" x14ac:dyDescent="0.25">
      <c r="A110">
        <v>4.3900226757369616</v>
      </c>
    </row>
    <row r="111" spans="1:1" x14ac:dyDescent="0.25">
      <c r="A111">
        <v>1.165028974552784</v>
      </c>
    </row>
    <row r="112" spans="1:1" x14ac:dyDescent="0.25">
      <c r="A112">
        <v>4.0312421264802212E-3</v>
      </c>
    </row>
    <row r="113" spans="1:1" x14ac:dyDescent="0.25">
      <c r="A113">
        <v>0.90702947845804993</v>
      </c>
    </row>
    <row r="114" spans="1:1" x14ac:dyDescent="0.25">
      <c r="A114">
        <v>4.0312421264802212E-3</v>
      </c>
    </row>
    <row r="115" spans="1:1" x14ac:dyDescent="0.25">
      <c r="A115">
        <v>1.165028974552784</v>
      </c>
    </row>
    <row r="116" spans="1:1" x14ac:dyDescent="0.25">
      <c r="A116">
        <v>0.90702947845804993</v>
      </c>
    </row>
    <row r="117" spans="1:1" x14ac:dyDescent="0.25">
      <c r="A117">
        <v>1.165028974552784</v>
      </c>
    </row>
    <row r="118" spans="1:1" x14ac:dyDescent="0.25">
      <c r="A118">
        <v>0.90702947845804993</v>
      </c>
    </row>
    <row r="119" spans="1:1" x14ac:dyDescent="0.25">
      <c r="A119">
        <v>1.165028974552784</v>
      </c>
    </row>
    <row r="120" spans="1:1" x14ac:dyDescent="0.25">
      <c r="A120">
        <v>4.0312421264802212E-3</v>
      </c>
    </row>
    <row r="121" spans="1:1" x14ac:dyDescent="0.25">
      <c r="A121">
        <v>1.165028974552784</v>
      </c>
    </row>
    <row r="122" spans="1:1" x14ac:dyDescent="0.25">
      <c r="A122">
        <v>9.6790123456790127</v>
      </c>
    </row>
    <row r="123" spans="1:1" x14ac:dyDescent="0.25">
      <c r="A123">
        <v>4.0312421264802212E-3</v>
      </c>
    </row>
    <row r="124" spans="1:1" x14ac:dyDescent="0.25">
      <c r="A124">
        <v>1.165028974552784</v>
      </c>
    </row>
    <row r="125" spans="1:1" x14ac:dyDescent="0.25">
      <c r="A125">
        <v>1.165028974552784</v>
      </c>
    </row>
    <row r="126" spans="1:1" x14ac:dyDescent="0.25">
      <c r="A126">
        <v>4.0312421264802212E-3</v>
      </c>
    </row>
    <row r="127" spans="1:1" x14ac:dyDescent="0.25">
      <c r="A127">
        <v>0.90702947845804993</v>
      </c>
    </row>
    <row r="128" spans="1:1" x14ac:dyDescent="0.25">
      <c r="A128">
        <v>1.165028974552784</v>
      </c>
    </row>
    <row r="129" spans="1:1" x14ac:dyDescent="0.25">
      <c r="A129">
        <v>4.0312421264802212E-3</v>
      </c>
    </row>
    <row r="130" spans="1:1" x14ac:dyDescent="0.25">
      <c r="A130">
        <v>0.90702947845804993</v>
      </c>
    </row>
    <row r="131" spans="1:1" x14ac:dyDescent="0.25">
      <c r="A131">
        <v>0.90702947845804993</v>
      </c>
    </row>
    <row r="132" spans="1:1" x14ac:dyDescent="0.25">
      <c r="A132">
        <v>0.90702947845804993</v>
      </c>
    </row>
    <row r="133" spans="1:1" x14ac:dyDescent="0.25">
      <c r="A133">
        <v>1.165028974552784</v>
      </c>
    </row>
    <row r="134" spans="1:1" x14ac:dyDescent="0.25">
      <c r="A134">
        <v>4.0312421264802212E-3</v>
      </c>
    </row>
    <row r="135" spans="1:1" x14ac:dyDescent="0.25">
      <c r="A135">
        <v>9.6790123456790127</v>
      </c>
    </row>
    <row r="136" spans="1:1" x14ac:dyDescent="0.25">
      <c r="A136">
        <v>4.0312421264802212E-3</v>
      </c>
    </row>
    <row r="137" spans="1:1" x14ac:dyDescent="0.25">
      <c r="A137">
        <v>4.0312421264802212E-3</v>
      </c>
    </row>
    <row r="138" spans="1:1" x14ac:dyDescent="0.25">
      <c r="A138">
        <v>0.90702947845804993</v>
      </c>
    </row>
    <row r="139" spans="1:1" x14ac:dyDescent="0.25">
      <c r="A139">
        <v>3.874023683547493</v>
      </c>
    </row>
    <row r="140" spans="1:1" x14ac:dyDescent="0.25">
      <c r="A140">
        <v>1.165028974552784</v>
      </c>
    </row>
    <row r="141" spans="1:1" x14ac:dyDescent="0.25">
      <c r="A141">
        <v>4.0312421264802212E-3</v>
      </c>
    </row>
    <row r="142" spans="1:1" x14ac:dyDescent="0.25">
      <c r="A142">
        <v>0.90702947845804993</v>
      </c>
    </row>
    <row r="143" spans="1:1" x14ac:dyDescent="0.25">
      <c r="A143">
        <v>3.874023683547493</v>
      </c>
    </row>
    <row r="144" spans="1:1" x14ac:dyDescent="0.25">
      <c r="A144">
        <v>4.0312421264802212E-3</v>
      </c>
    </row>
    <row r="145" spans="1:1" x14ac:dyDescent="0.25">
      <c r="A145">
        <v>1.165028974552784</v>
      </c>
    </row>
    <row r="146" spans="1:1" x14ac:dyDescent="0.25">
      <c r="A146">
        <v>4.0312421264802212E-3</v>
      </c>
    </row>
    <row r="147" spans="1:1" x14ac:dyDescent="0.25">
      <c r="A147">
        <v>4.0312421264802212E-3</v>
      </c>
    </row>
    <row r="148" spans="1:1" x14ac:dyDescent="0.25">
      <c r="A148">
        <v>0.90702947845804993</v>
      </c>
    </row>
    <row r="149" spans="1:1" x14ac:dyDescent="0.25">
      <c r="A149">
        <v>1.165028974552784</v>
      </c>
    </row>
    <row r="150" spans="1:1" x14ac:dyDescent="0.25">
      <c r="A150">
        <v>1.165028974552784</v>
      </c>
    </row>
    <row r="151" spans="1:1" x14ac:dyDescent="0.25">
      <c r="A151">
        <v>1.165028974552784</v>
      </c>
    </row>
    <row r="152" spans="1:1" x14ac:dyDescent="0.25">
      <c r="A152">
        <v>1.165028974552784</v>
      </c>
    </row>
    <row r="153" spans="1:1" x14ac:dyDescent="0.25">
      <c r="A153">
        <v>4.0312421264802212E-3</v>
      </c>
    </row>
    <row r="154" spans="1:1" x14ac:dyDescent="0.25">
      <c r="A154">
        <v>4.0312421264802212E-3</v>
      </c>
    </row>
    <row r="155" spans="1:1" x14ac:dyDescent="0.25">
      <c r="A155">
        <v>1.165028974552784</v>
      </c>
    </row>
    <row r="156" spans="1:1" x14ac:dyDescent="0.25">
      <c r="A156">
        <v>0.90702947845804993</v>
      </c>
    </row>
    <row r="157" spans="1:1" x14ac:dyDescent="0.25">
      <c r="A157">
        <v>4.0312421264802212E-3</v>
      </c>
    </row>
    <row r="158" spans="1:1" x14ac:dyDescent="0.25">
      <c r="A158">
        <v>4.0312421264802212E-3</v>
      </c>
    </row>
    <row r="159" spans="1:1" x14ac:dyDescent="0.25">
      <c r="A159">
        <v>0.90702947845804993</v>
      </c>
    </row>
    <row r="160" spans="1:1" x14ac:dyDescent="0.25">
      <c r="A160">
        <v>0.90702947845804993</v>
      </c>
    </row>
    <row r="161" spans="1:1" x14ac:dyDescent="0.25">
      <c r="A161">
        <v>1.165028974552784</v>
      </c>
    </row>
    <row r="162" spans="1:1" x14ac:dyDescent="0.25">
      <c r="A162">
        <v>1.165028974552784</v>
      </c>
    </row>
    <row r="163" spans="1:1" x14ac:dyDescent="0.25">
      <c r="A163">
        <v>1.165028974552784</v>
      </c>
    </row>
    <row r="164" spans="1:1" x14ac:dyDescent="0.25">
      <c r="A164">
        <v>4.0312421264802212E-3</v>
      </c>
    </row>
    <row r="165" spans="1:1" x14ac:dyDescent="0.25">
      <c r="A165">
        <v>4.0312421264802212E-3</v>
      </c>
    </row>
    <row r="166" spans="1:1" x14ac:dyDescent="0.25">
      <c r="A166">
        <v>0.90702947845804993</v>
      </c>
    </row>
    <row r="167" spans="1:1" x14ac:dyDescent="0.25">
      <c r="A167">
        <v>4.0312421264802212E-3</v>
      </c>
    </row>
    <row r="168" spans="1:1" x14ac:dyDescent="0.25">
      <c r="A168">
        <v>1.165028974552784</v>
      </c>
    </row>
    <row r="169" spans="1:1" x14ac:dyDescent="0.25">
      <c r="A169">
        <v>4.0312421264802212E-3</v>
      </c>
    </row>
    <row r="170" spans="1:1" x14ac:dyDescent="0.25">
      <c r="A170">
        <v>1.165028974552784</v>
      </c>
    </row>
    <row r="171" spans="1:1" x14ac:dyDescent="0.25">
      <c r="A171">
        <v>1.165028974552784</v>
      </c>
    </row>
    <row r="172" spans="1:1" x14ac:dyDescent="0.25">
      <c r="A172">
        <v>1.165028974552784</v>
      </c>
    </row>
    <row r="173" spans="1:1" x14ac:dyDescent="0.25">
      <c r="A173">
        <v>4.0312421264802212E-3</v>
      </c>
    </row>
    <row r="174" spans="1:1" x14ac:dyDescent="0.25">
      <c r="A174">
        <v>1.165028974552784</v>
      </c>
    </row>
    <row r="175" spans="1:1" x14ac:dyDescent="0.25">
      <c r="A175">
        <v>4.0312421264802212E-3</v>
      </c>
    </row>
    <row r="176" spans="1:1" x14ac:dyDescent="0.25">
      <c r="A176">
        <v>4.0312421264802212E-3</v>
      </c>
    </row>
    <row r="177" spans="1:1" x14ac:dyDescent="0.25">
      <c r="A177">
        <v>1.165028974552784</v>
      </c>
    </row>
    <row r="178" spans="1:1" x14ac:dyDescent="0.25">
      <c r="A178">
        <v>1.165028974552784</v>
      </c>
    </row>
    <row r="179" spans="1:1" x14ac:dyDescent="0.25">
      <c r="A179">
        <v>0.90702947845804993</v>
      </c>
    </row>
    <row r="180" spans="1:1" x14ac:dyDescent="0.25">
      <c r="A180">
        <v>4.0312421264802212E-3</v>
      </c>
    </row>
    <row r="181" spans="1:1" x14ac:dyDescent="0.25">
      <c r="A181">
        <v>4.0312421264802212E-3</v>
      </c>
    </row>
    <row r="182" spans="1:1" x14ac:dyDescent="0.25">
      <c r="A182">
        <v>0.90702947845804993</v>
      </c>
    </row>
    <row r="183" spans="1:1" x14ac:dyDescent="0.25">
      <c r="A183">
        <v>0.90702947845804993</v>
      </c>
    </row>
    <row r="184" spans="1:1" x14ac:dyDescent="0.25">
      <c r="A184">
        <v>0.90702947845804993</v>
      </c>
    </row>
    <row r="185" spans="1:1" x14ac:dyDescent="0.25">
      <c r="A185">
        <v>4.0312421264802212E-3</v>
      </c>
    </row>
    <row r="186" spans="1:1" x14ac:dyDescent="0.25">
      <c r="A186">
        <v>1.165028974552784</v>
      </c>
    </row>
    <row r="187" spans="1:1" x14ac:dyDescent="0.25">
      <c r="A187">
        <v>4.0312421264802212E-3</v>
      </c>
    </row>
    <row r="188" spans="1:1" x14ac:dyDescent="0.25">
      <c r="A188">
        <v>4.0312421264802212E-3</v>
      </c>
    </row>
    <row r="189" spans="1:1" x14ac:dyDescent="0.25">
      <c r="A189">
        <v>4.0312421264802212E-3</v>
      </c>
    </row>
    <row r="190" spans="1:1" x14ac:dyDescent="0.25">
      <c r="A190">
        <v>1.165028974552784</v>
      </c>
    </row>
    <row r="191" spans="1:1" x14ac:dyDescent="0.25">
      <c r="A191">
        <v>4.0312421264802212E-3</v>
      </c>
    </row>
    <row r="192" spans="1:1" x14ac:dyDescent="0.25">
      <c r="A192">
        <v>0.90702947845804993</v>
      </c>
    </row>
    <row r="193" spans="1:1" x14ac:dyDescent="0.25">
      <c r="A193">
        <v>0.90702947845804993</v>
      </c>
    </row>
    <row r="194" spans="1:1" x14ac:dyDescent="0.25">
      <c r="A194">
        <v>4.0312421264802212E-3</v>
      </c>
    </row>
    <row r="195" spans="1:1" x14ac:dyDescent="0.25">
      <c r="A195">
        <v>0.90702947845804993</v>
      </c>
    </row>
    <row r="196" spans="1:1" x14ac:dyDescent="0.25">
      <c r="A196">
        <v>4.0312421264802212E-3</v>
      </c>
    </row>
    <row r="197" spans="1:1" x14ac:dyDescent="0.25">
      <c r="A197">
        <v>4.0312421264802212E-3</v>
      </c>
    </row>
    <row r="198" spans="1:1" x14ac:dyDescent="0.25">
      <c r="A198">
        <v>4.0312421264802212E-3</v>
      </c>
    </row>
    <row r="199" spans="1:1" x14ac:dyDescent="0.25">
      <c r="A199">
        <v>1.165028974552784</v>
      </c>
    </row>
    <row r="200" spans="1:1" x14ac:dyDescent="0.25">
      <c r="A200">
        <v>4.0312421264802212E-3</v>
      </c>
    </row>
    <row r="201" spans="1:1" x14ac:dyDescent="0.25">
      <c r="A201">
        <v>0.90702947845804993</v>
      </c>
    </row>
    <row r="202" spans="1:1" x14ac:dyDescent="0.25">
      <c r="A202">
        <v>4.0312421264802212E-3</v>
      </c>
    </row>
    <row r="203" spans="1:1" x14ac:dyDescent="0.25">
      <c r="A203">
        <v>4.0312421264802212E-3</v>
      </c>
    </row>
    <row r="204" spans="1:1" x14ac:dyDescent="0.25">
      <c r="A204">
        <v>4.0312421264802212E-3</v>
      </c>
    </row>
    <row r="205" spans="1:1" x14ac:dyDescent="0.25">
      <c r="A205">
        <v>4.0312421264802212E-3</v>
      </c>
    </row>
    <row r="206" spans="1:1" x14ac:dyDescent="0.25">
      <c r="A206">
        <v>4.0312421264802212E-3</v>
      </c>
    </row>
    <row r="207" spans="1:1" x14ac:dyDescent="0.25">
      <c r="A207">
        <v>0.90702947845804993</v>
      </c>
    </row>
    <row r="208" spans="1:1" x14ac:dyDescent="0.25">
      <c r="A208">
        <v>0.90702947845804993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GemMange">
                <anchor moveWithCells="1" sizeWithCells="1">
                  <from>
                    <xdr:col>0</xdr:col>
                    <xdr:colOff>28575</xdr:colOff>
                    <xdr:row>3</xdr:row>
                    <xdr:rowOff>9525</xdr:rowOff>
                  </from>
                  <to>
                    <xdr:col>0</xdr:col>
                    <xdr:colOff>1133475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Mellem">
    <tabColor theme="0" tint="-0.499984740745262"/>
  </sheetPr>
  <dimension ref="A1:A16"/>
  <sheetViews>
    <sheetView workbookViewId="0">
      <selection activeCell="C8" sqref="C8"/>
    </sheetView>
  </sheetViews>
  <sheetFormatPr defaultRowHeight="15" x14ac:dyDescent="0.25"/>
  <sheetData>
    <row r="1" spans="1:1" x14ac:dyDescent="0.25">
      <c r="A1" s="4">
        <v>2</v>
      </c>
    </row>
    <row r="2" spans="1:1" x14ac:dyDescent="0.25">
      <c r="A2" s="4">
        <v>3</v>
      </c>
    </row>
    <row r="3" spans="1:1" x14ac:dyDescent="0.25">
      <c r="A3" s="4">
        <v>1</v>
      </c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6"/>
    </row>
    <row r="12" spans="1:1" x14ac:dyDescent="0.25">
      <c r="A12" s="7"/>
    </row>
    <row r="13" spans="1:1" x14ac:dyDescent="0.25">
      <c r="A13" s="7"/>
    </row>
    <row r="14" spans="1:1" x14ac:dyDescent="0.25">
      <c r="A14" s="7"/>
    </row>
    <row r="15" spans="1:1" x14ac:dyDescent="0.25">
      <c r="A15" s="7"/>
    </row>
    <row r="16" spans="1:1" x14ac:dyDescent="0.25">
      <c r="A16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Simulering</vt:lpstr>
      <vt:lpstr>Binomial-eksempel</vt:lpstr>
      <vt:lpstr>Eksempel</vt:lpstr>
      <vt:lpstr>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2011-01-17T13:35:56Z</dcterms:created>
  <dcterms:modified xsi:type="dcterms:W3CDTF">2023-07-24T20:17:01Z</dcterms:modified>
</cp:coreProperties>
</file>