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026" codeName="{4AEB4F63-F33D-04DF-ECAF-5796C6CBFC7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ikae\OneDrive\Dokumenter\Eduap\WordMat\Excelfiler\"/>
    </mc:Choice>
  </mc:AlternateContent>
  <xr:revisionPtr revIDLastSave="0" documentId="13_ncr:1_{D9120919-9F0B-433D-8C66-554D045BCDE3}" xr6:coauthVersionLast="45" xr6:coauthVersionMax="45" xr10:uidLastSave="{00000000-0000-0000-0000-000000000000}"/>
  <bookViews>
    <workbookView xWindow="0" yWindow="890" windowWidth="27500" windowHeight="17830" xr2:uid="{00000000-000D-0000-FFFF-FFFF00000000}"/>
  </bookViews>
  <sheets>
    <sheet name="Data" sheetId="15" r:id="rId1"/>
    <sheet name="Stair case diagram" sheetId="16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V2" i="15" l="1"/>
  <c r="T2" i="15"/>
  <c r="R2" i="15"/>
  <c r="R12" i="15" l="1"/>
  <c r="S12" i="15"/>
  <c r="S11" i="15"/>
  <c r="R11" i="15"/>
  <c r="S10" i="15"/>
  <c r="S9" i="15"/>
  <c r="R10" i="15"/>
  <c r="R9" i="15"/>
  <c r="S8" i="15"/>
  <c r="S7" i="15"/>
  <c r="R8" i="15"/>
  <c r="R7" i="15"/>
  <c r="S6" i="15"/>
  <c r="S5" i="15"/>
  <c r="R6" i="15"/>
  <c r="R5" i="15"/>
  <c r="S4" i="15"/>
  <c r="S3" i="15"/>
  <c r="R4" i="15"/>
  <c r="R3" i="15"/>
  <c r="R18" i="15"/>
  <c r="S18" i="15"/>
  <c r="S17" i="15"/>
  <c r="R17" i="15"/>
  <c r="S16" i="15"/>
  <c r="S15" i="15"/>
  <c r="R16" i="15"/>
  <c r="R15" i="15"/>
  <c r="S14" i="15"/>
  <c r="S13" i="15"/>
  <c r="R14" i="15"/>
  <c r="R13" i="15"/>
  <c r="T12" i="15"/>
  <c r="U12" i="15"/>
  <c r="U11" i="15"/>
  <c r="T11" i="15"/>
  <c r="U10" i="15"/>
  <c r="U9" i="15"/>
  <c r="T10" i="15"/>
  <c r="T9" i="15"/>
  <c r="U8" i="15"/>
  <c r="U7" i="15"/>
  <c r="T8" i="15"/>
  <c r="T7" i="15"/>
  <c r="U6" i="15"/>
  <c r="U5" i="15"/>
  <c r="T6" i="15"/>
  <c r="T5" i="15"/>
  <c r="U4" i="15"/>
  <c r="U3" i="15"/>
  <c r="T4" i="15"/>
  <c r="T3" i="15"/>
  <c r="V14" i="15"/>
  <c r="W14" i="15"/>
  <c r="W13" i="15"/>
  <c r="V13" i="15"/>
  <c r="W12" i="15"/>
  <c r="W11" i="15"/>
  <c r="V12" i="15"/>
  <c r="V11" i="15"/>
  <c r="W10" i="15"/>
  <c r="W9" i="15"/>
  <c r="V10" i="15"/>
  <c r="V9" i="15"/>
  <c r="W8" i="15"/>
  <c r="W7" i="15"/>
  <c r="V8" i="15"/>
  <c r="V7" i="15"/>
  <c r="W6" i="15"/>
  <c r="W5" i="15"/>
  <c r="V6" i="15"/>
  <c r="V5" i="15"/>
  <c r="W4" i="15"/>
  <c r="W3" i="15"/>
  <c r="V4" i="15"/>
  <c r="V3" i="15"/>
  <c r="P16" i="15" l="1"/>
  <c r="P17" i="15"/>
  <c r="N16" i="15"/>
  <c r="N17" i="15"/>
  <c r="L17" i="15"/>
  <c r="L16" i="15"/>
  <c r="Q18" i="15"/>
  <c r="Q17" i="15"/>
  <c r="O17" i="15"/>
  <c r="O18" i="15"/>
  <c r="M18" i="15"/>
  <c r="M17" i="15"/>
  <c r="P14" i="15"/>
  <c r="P13" i="15"/>
  <c r="N14" i="15"/>
  <c r="N13" i="15"/>
  <c r="L14" i="15"/>
  <c r="L13" i="15"/>
  <c r="Q15" i="15"/>
  <c r="Q14" i="15"/>
  <c r="O15" i="15"/>
  <c r="O14" i="15"/>
  <c r="M14" i="15"/>
  <c r="M15" i="15"/>
  <c r="N8" i="15" l="1"/>
  <c r="P11" i="15"/>
  <c r="P10" i="15"/>
  <c r="P5" i="15"/>
  <c r="P8" i="15"/>
  <c r="P7" i="15"/>
  <c r="P4" i="15"/>
  <c r="N11" i="15"/>
  <c r="N10" i="15"/>
  <c r="N7" i="15"/>
  <c r="N5" i="15"/>
  <c r="N4" i="15"/>
  <c r="L11" i="15"/>
  <c r="L10" i="15"/>
  <c r="L8" i="15"/>
  <c r="L7" i="15"/>
  <c r="L3" i="15"/>
  <c r="L5" i="15"/>
  <c r="L4" i="15"/>
  <c r="P18" i="15" l="1"/>
  <c r="L18" i="15"/>
  <c r="N15" i="15"/>
  <c r="P15" i="15"/>
  <c r="L15" i="15"/>
  <c r="N18" i="15"/>
  <c r="N9" i="15"/>
  <c r="N12" i="15"/>
  <c r="L6" i="15"/>
  <c r="N6" i="15"/>
  <c r="L9" i="15"/>
  <c r="L12" i="15"/>
  <c r="P6" i="15"/>
  <c r="P9" i="15"/>
  <c r="P12" i="1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Mikael Samsøe Sørensen</author>
  </authors>
  <commentList>
    <comment ref="G7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Fractiles
Here you can state two percentiles which are marked on the graph.</t>
        </r>
      </text>
    </comment>
  </commentList>
</comments>
</file>

<file path=xl/sharedStrings.xml><?xml version="1.0" encoding="utf-8"?>
<sst xmlns="http://schemas.openxmlformats.org/spreadsheetml/2006/main" count="21" uniqueCount="14">
  <si>
    <t>Median</t>
  </si>
  <si>
    <t>x</t>
  </si>
  <si>
    <t>Trappediagrammer</t>
  </si>
  <si>
    <t>Deskriptorer</t>
  </si>
  <si>
    <t>Graph 1</t>
  </si>
  <si>
    <t>Graph 2</t>
  </si>
  <si>
    <t>Graph 3</t>
  </si>
  <si>
    <t>Obs.</t>
  </si>
  <si>
    <t>Cum. Freq.</t>
  </si>
  <si>
    <t>Quartiles</t>
  </si>
  <si>
    <t>Show?</t>
  </si>
  <si>
    <t>Lower</t>
  </si>
  <si>
    <t>Upper</t>
  </si>
  <si>
    <t>Fractiles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</si>
</sst>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57">
    <xf numFmtId="0" fontId="0" fillId="0" borderId="0" xfId="0"/>
    <xf numFmtId="0" fontId="1" fillId="0" borderId="0" xfId="0" applyFont="1"/>
    <xf numFmtId="9" fontId="0" fillId="0" borderId="0" xfId="1" applyFont="1"/>
    <xf numFmtId="9" fontId="0" fillId="0" borderId="2" xfId="1" applyFont="1" applyBorder="1"/>
    <xf numFmtId="0" fontId="0" fillId="0" borderId="0" xfId="1" applyNumberFormat="1" applyFont="1"/>
    <xf numFmtId="0" fontId="0" fillId="0" borderId="5" xfId="0" applyBorder="1"/>
    <xf numFmtId="0" fontId="3" fillId="0" borderId="0" xfId="0" applyFont="1"/>
    <xf numFmtId="9" fontId="3" fillId="0" borderId="0" xfId="0" applyNumberFormat="1" applyFont="1"/>
    <xf numFmtId="0" fontId="3" fillId="0" borderId="0" xfId="0" applyNumberFormat="1" applyFont="1"/>
    <xf numFmtId="0" fontId="4" fillId="0" borderId="0" xfId="1" applyNumberFormat="1" applyFont="1"/>
    <xf numFmtId="0" fontId="0" fillId="0" borderId="4" xfId="0" applyBorder="1"/>
    <xf numFmtId="0" fontId="0" fillId="0" borderId="4" xfId="1" applyNumberFormat="1" applyFont="1" applyBorder="1"/>
    <xf numFmtId="9" fontId="0" fillId="0" borderId="5" xfId="1" applyFont="1" applyBorder="1"/>
    <xf numFmtId="0" fontId="0" fillId="0" borderId="8" xfId="0" applyBorder="1"/>
    <xf numFmtId="0" fontId="0" fillId="0" borderId="0" xfId="0" applyNumberFormat="1"/>
    <xf numFmtId="0" fontId="4" fillId="0" borderId="1" xfId="1" applyNumberFormat="1" applyFont="1" applyBorder="1"/>
    <xf numFmtId="0" fontId="5" fillId="0" borderId="9" xfId="0" applyFont="1" applyBorder="1"/>
    <xf numFmtId="0" fontId="5" fillId="0" borderId="3" xfId="0" applyFont="1" applyBorder="1"/>
    <xf numFmtId="0" fontId="0" fillId="0" borderId="11" xfId="0" applyBorder="1"/>
    <xf numFmtId="9" fontId="0" fillId="0" borderId="12" xfId="1" applyFont="1" applyBorder="1"/>
    <xf numFmtId="0" fontId="0" fillId="0" borderId="11" xfId="1" applyNumberFormat="1" applyFont="1" applyBorder="1"/>
    <xf numFmtId="9" fontId="0" fillId="0" borderId="13" xfId="1" applyFont="1" applyBorder="1"/>
    <xf numFmtId="0" fontId="4" fillId="0" borderId="14" xfId="1" applyNumberFormat="1" applyFont="1" applyBorder="1"/>
    <xf numFmtId="0" fontId="0" fillId="0" borderId="12" xfId="0" applyBorder="1"/>
    <xf numFmtId="0" fontId="6" fillId="0" borderId="15" xfId="0" applyFont="1" applyBorder="1"/>
    <xf numFmtId="9" fontId="6" fillId="0" borderId="16" xfId="1" applyFont="1" applyBorder="1"/>
    <xf numFmtId="0" fontId="6" fillId="0" borderId="17" xfId="0" applyFont="1" applyBorder="1"/>
    <xf numFmtId="0" fontId="6" fillId="0" borderId="15" xfId="0" applyNumberFormat="1" applyFont="1" applyBorder="1"/>
    <xf numFmtId="9" fontId="6" fillId="0" borderId="17" xfId="1" applyFont="1" applyBorder="1"/>
    <xf numFmtId="0" fontId="0" fillId="0" borderId="10" xfId="0" applyBorder="1" applyAlignment="1">
      <alignment horizontal="center"/>
    </xf>
    <xf numFmtId="0" fontId="0" fillId="0" borderId="7" xfId="0" applyBorder="1" applyAlignment="1">
      <alignment horizontal="center"/>
    </xf>
    <xf numFmtId="0" fontId="5" fillId="0" borderId="18" xfId="0" applyFont="1" applyBorder="1"/>
    <xf numFmtId="0" fontId="0" fillId="0" borderId="19" xfId="0" applyBorder="1" applyAlignment="1">
      <alignment horizontal="center"/>
    </xf>
    <xf numFmtId="0" fontId="0" fillId="0" borderId="20" xfId="0" applyBorder="1"/>
    <xf numFmtId="0" fontId="6" fillId="0" borderId="21" xfId="0" applyFont="1" applyFill="1" applyBorder="1"/>
    <xf numFmtId="9" fontId="1" fillId="0" borderId="22" xfId="1" applyFont="1" applyBorder="1"/>
    <xf numFmtId="9" fontId="0" fillId="0" borderId="23" xfId="1" applyFont="1" applyBorder="1"/>
    <xf numFmtId="9" fontId="0" fillId="0" borderId="24" xfId="1" applyFont="1" applyBorder="1"/>
    <xf numFmtId="9" fontId="0" fillId="0" borderId="25" xfId="1" applyFont="1" applyBorder="1"/>
    <xf numFmtId="0" fontId="0" fillId="0" borderId="26" xfId="0" applyBorder="1"/>
    <xf numFmtId="0" fontId="4" fillId="0" borderId="27" xfId="1" applyNumberFormat="1" applyFont="1" applyBorder="1"/>
    <xf numFmtId="0" fontId="0" fillId="0" borderId="28" xfId="0" applyBorder="1"/>
    <xf numFmtId="0" fontId="0" fillId="0" borderId="1" xfId="1" applyNumberFormat="1" applyFont="1" applyBorder="1"/>
    <xf numFmtId="0" fontId="4" fillId="0" borderId="1" xfId="0" applyNumberFormat="1" applyFont="1" applyBorder="1"/>
    <xf numFmtId="9" fontId="0" fillId="0" borderId="29" xfId="1" applyFont="1" applyBorder="1"/>
    <xf numFmtId="0" fontId="0" fillId="0" borderId="9" xfId="1" applyNumberFormat="1" applyFont="1" applyBorder="1"/>
    <xf numFmtId="0" fontId="3" fillId="0" borderId="9" xfId="0" applyNumberFormat="1" applyFont="1" applyBorder="1"/>
    <xf numFmtId="0" fontId="0" fillId="0" borderId="3" xfId="0" applyNumberFormat="1" applyBorder="1"/>
    <xf numFmtId="9" fontId="0" fillId="0" borderId="4" xfId="1" applyFont="1" applyBorder="1"/>
    <xf numFmtId="0" fontId="4" fillId="0" borderId="5" xfId="0" applyNumberFormat="1" applyFont="1" applyBorder="1"/>
    <xf numFmtId="9" fontId="0" fillId="0" borderId="6" xfId="1" applyFont="1" applyBorder="1"/>
    <xf numFmtId="0" fontId="0" fillId="0" borderId="10" xfId="1" applyNumberFormat="1" applyFont="1" applyBorder="1"/>
    <xf numFmtId="0" fontId="4" fillId="0" borderId="10" xfId="0" applyNumberFormat="1" applyFont="1" applyBorder="1"/>
    <xf numFmtId="0" fontId="4" fillId="0" borderId="7" xfId="0" applyNumberFormat="1" applyFont="1" applyBorder="1"/>
    <xf numFmtId="0" fontId="0" fillId="0" borderId="1" xfId="0" applyBorder="1"/>
    <xf numFmtId="0" fontId="0" fillId="0" borderId="8" xfId="1" applyNumberFormat="1" applyFont="1" applyBorder="1"/>
    <xf numFmtId="0" fontId="0" fillId="0" borderId="8" xfId="0" applyNumberFormat="1" applyBorder="1"/>
  </cellXfs>
  <cellStyles count="2">
    <cellStyle name="Normal" xfId="0" builtinId="0"/>
    <cellStyle name="Procent" xfId="1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1"/>
          <c:order val="0"/>
          <c:tx>
            <c:v>Trappediagram</c:v>
          </c:tx>
          <c:spPr>
            <a:ln w="1905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Data!$R$2:$R$3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Data!$S$2:$S$3</c:f>
              <c:numCache>
                <c:formatCode>0%</c:formatCode>
                <c:ptCount val="2"/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938-4F91-B2E2-DDB6D961F558}"/>
            </c:ext>
          </c:extLst>
        </c:ser>
        <c:ser>
          <c:idx val="0"/>
          <c:order val="1"/>
          <c:tx>
            <c:v>Trappediagram</c:v>
          </c:tx>
          <c:spPr>
            <a:ln w="19050">
              <a:solidFill>
                <a:srgbClr val="0070C0"/>
              </a:solidFill>
              <a:prstDash val="solid"/>
            </a:ln>
          </c:spPr>
          <c:marker>
            <c:symbol val="none"/>
          </c:marker>
          <c:xVal>
            <c:numRef>
              <c:f>Data!$T$2:$T$3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Data!$U$2:$U$3</c:f>
              <c:numCache>
                <c:formatCode>0%</c:formatCode>
                <c:ptCount val="2"/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938-4F91-B2E2-DDB6D961F558}"/>
            </c:ext>
          </c:extLst>
        </c:ser>
        <c:ser>
          <c:idx val="2"/>
          <c:order val="2"/>
          <c:tx>
            <c:v>Trappediagram</c:v>
          </c:tx>
          <c:spPr>
            <a:ln w="19050">
              <a:solidFill>
                <a:srgbClr val="00B050"/>
              </a:solidFill>
              <a:prstDash val="solid"/>
            </a:ln>
          </c:spPr>
          <c:marker>
            <c:symbol val="none"/>
          </c:marker>
          <c:xVal>
            <c:numRef>
              <c:f>Data!$V$2:$V$4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Data!$W$2:$W$4</c:f>
              <c:numCache>
                <c:formatCode>0%</c:formatCode>
                <c:ptCount val="3"/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938-4F91-B2E2-DDB6D961F558}"/>
            </c:ext>
          </c:extLst>
        </c:ser>
        <c:ser>
          <c:idx val="3"/>
          <c:order val="3"/>
          <c:tx>
            <c:v>NedreKvartil1</c:v>
          </c:tx>
          <c:spPr>
            <a:ln w="19050" cap="rnd" cmpd="sng" algn="ctr">
              <a:solidFill>
                <a:srgbClr val="000000"/>
              </a:solidFill>
              <a:prstDash val="sysDash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Data!$L$4:$L$6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Data!$M$4:$M$6</c:f>
              <c:numCache>
                <c:formatCode>General</c:formatCode>
                <c:ptCount val="3"/>
                <c:pt idx="0">
                  <c:v>0</c:v>
                </c:pt>
                <c:pt idx="1">
                  <c:v>0.25</c:v>
                </c:pt>
                <c:pt idx="2">
                  <c:v>0.25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938-4F91-B2E2-DDB6D961F558}"/>
            </c:ext>
          </c:extLst>
        </c:ser>
        <c:ser>
          <c:idx val="4"/>
          <c:order val="4"/>
          <c:tx>
            <c:v>brugerp</c:v>
          </c:tx>
          <c:spPr>
            <a:ln w="19050">
              <a:solidFill>
                <a:srgbClr val="0070C0"/>
              </a:solidFill>
              <a:prstDash val="sysDash"/>
            </a:ln>
          </c:spPr>
          <c:marker>
            <c:symbol val="none"/>
          </c:marker>
          <c:xVal>
            <c:numRef>
              <c:f>Data!$L$13:$L$15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Data!$M$13:$M$15</c:f>
              <c:numCache>
                <c:formatCode>0%</c:formatCode>
                <c:ptCount val="3"/>
                <c:pt idx="0" formatCode="General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938-4F91-B2E2-DDB6D961F558}"/>
            </c:ext>
          </c:extLst>
        </c:ser>
        <c:ser>
          <c:idx val="5"/>
          <c:order val="5"/>
          <c:tx>
            <c:v>brugerp2</c:v>
          </c:tx>
          <c:spPr>
            <a:ln w="19050">
              <a:solidFill>
                <a:srgbClr val="00B050"/>
              </a:solidFill>
              <a:prstDash val="sysDash"/>
            </a:ln>
          </c:spPr>
          <c:marker>
            <c:symbol val="none"/>
          </c:marker>
          <c:xVal>
            <c:numRef>
              <c:f>Data!$L$16:$L$18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Data!$M$16:$M$18</c:f>
              <c:numCache>
                <c:formatCode>0%</c:formatCode>
                <c:ptCount val="3"/>
                <c:pt idx="0" formatCode="General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938-4F91-B2E2-DDB6D961F558}"/>
            </c:ext>
          </c:extLst>
        </c:ser>
        <c:ser>
          <c:idx val="6"/>
          <c:order val="6"/>
          <c:tx>
            <c:v>Median1</c:v>
          </c:tx>
          <c:spPr>
            <a:ln w="19050" cap="rnd" cmpd="sng" algn="ctr">
              <a:solidFill>
                <a:srgbClr val="000000"/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Data!$L$7:$L$9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Data!$M$7:$M$9</c:f>
              <c:numCache>
                <c:formatCode>General</c:formatCode>
                <c:ptCount val="3"/>
                <c:pt idx="0">
                  <c:v>0</c:v>
                </c:pt>
                <c:pt idx="1">
                  <c:v>0.5</c:v>
                </c:pt>
                <c:pt idx="2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938-4F91-B2E2-DDB6D961F558}"/>
            </c:ext>
          </c:extLst>
        </c:ser>
        <c:ser>
          <c:idx val="7"/>
          <c:order val="7"/>
          <c:tx>
            <c:v>ØvreKvartil1</c:v>
          </c:tx>
          <c:spPr>
            <a:ln w="19050" cap="rnd" cmpd="sng" algn="ctr">
              <a:solidFill>
                <a:srgbClr val="000000"/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Data!$L$10:$L$12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Data!$M$10:$M$12</c:f>
              <c:numCache>
                <c:formatCode>General</c:formatCode>
                <c:ptCount val="3"/>
                <c:pt idx="0">
                  <c:v>0</c:v>
                </c:pt>
                <c:pt idx="1">
                  <c:v>0.75</c:v>
                </c:pt>
                <c:pt idx="2">
                  <c:v>0.75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4938-4F91-B2E2-DDB6D961F558}"/>
            </c:ext>
          </c:extLst>
        </c:ser>
        <c:ser>
          <c:idx val="8"/>
          <c:order val="8"/>
          <c:tx>
            <c:v>Nedrekvartil2</c:v>
          </c:tx>
          <c:spPr>
            <a:ln w="12700" cap="rnd" cmpd="sng" algn="ctr">
              <a:solidFill>
                <a:srgbClr val="000000">
                  <a:alpha val="0"/>
                </a:srgbClr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Data!$N$4:$N$6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Data!$O$4:$O$6</c:f>
              <c:numCache>
                <c:formatCode>General</c:formatCode>
                <c:ptCount val="3"/>
                <c:pt idx="0">
                  <c:v>0</c:v>
                </c:pt>
                <c:pt idx="1">
                  <c:v>0.25</c:v>
                </c:pt>
                <c:pt idx="2">
                  <c:v>0.25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4938-4F91-B2E2-DDB6D961F558}"/>
            </c:ext>
          </c:extLst>
        </c:ser>
        <c:ser>
          <c:idx val="9"/>
          <c:order val="9"/>
          <c:tx>
            <c:v>Median2</c:v>
          </c:tx>
          <c:spPr>
            <a:ln w="12700" cap="rnd" cmpd="sng" algn="ctr">
              <a:solidFill>
                <a:srgbClr val="000000">
                  <a:alpha val="0"/>
                </a:srgbClr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Data!$N$7:$N$9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Data!$O$7:$O$9</c:f>
              <c:numCache>
                <c:formatCode>General</c:formatCode>
                <c:ptCount val="3"/>
                <c:pt idx="0">
                  <c:v>0</c:v>
                </c:pt>
                <c:pt idx="1">
                  <c:v>0.5</c:v>
                </c:pt>
                <c:pt idx="2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4938-4F91-B2E2-DDB6D961F558}"/>
            </c:ext>
          </c:extLst>
        </c:ser>
        <c:ser>
          <c:idx val="10"/>
          <c:order val="10"/>
          <c:tx>
            <c:v>Øvrekvartil2</c:v>
          </c:tx>
          <c:spPr>
            <a:ln w="12700" cap="rnd" cmpd="sng" algn="ctr">
              <a:solidFill>
                <a:srgbClr val="000000">
                  <a:alpha val="0"/>
                </a:srgbClr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Data!$N$10:$N$12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Data!$O$10:$O$12</c:f>
              <c:numCache>
                <c:formatCode>General</c:formatCode>
                <c:ptCount val="3"/>
                <c:pt idx="0">
                  <c:v>0</c:v>
                </c:pt>
                <c:pt idx="1">
                  <c:v>0.75</c:v>
                </c:pt>
                <c:pt idx="2">
                  <c:v>0.75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4938-4F91-B2E2-DDB6D961F558}"/>
            </c:ext>
          </c:extLst>
        </c:ser>
        <c:ser>
          <c:idx val="11"/>
          <c:order val="11"/>
          <c:tx>
            <c:v>NedreKvartil3</c:v>
          </c:tx>
          <c:spPr>
            <a:ln w="12700" cap="rnd" cmpd="sng" algn="ctr">
              <a:solidFill>
                <a:srgbClr val="000000">
                  <a:alpha val="0"/>
                </a:srgbClr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Data!$P$4:$P$6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Data!$Q$4:$Q$6</c:f>
              <c:numCache>
                <c:formatCode>General</c:formatCode>
                <c:ptCount val="3"/>
                <c:pt idx="0">
                  <c:v>0</c:v>
                </c:pt>
                <c:pt idx="1">
                  <c:v>0.25</c:v>
                </c:pt>
                <c:pt idx="2">
                  <c:v>0.25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4938-4F91-B2E2-DDB6D961F558}"/>
            </c:ext>
          </c:extLst>
        </c:ser>
        <c:ser>
          <c:idx val="12"/>
          <c:order val="12"/>
          <c:tx>
            <c:v>Median3</c:v>
          </c:tx>
          <c:spPr>
            <a:ln w="12700" cap="rnd" cmpd="sng" algn="ctr">
              <a:solidFill>
                <a:srgbClr val="000000">
                  <a:alpha val="0"/>
                </a:srgbClr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Data!$P$7:$P$9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Data!$Q$7:$Q$9</c:f>
              <c:numCache>
                <c:formatCode>General</c:formatCode>
                <c:ptCount val="3"/>
                <c:pt idx="0">
                  <c:v>0</c:v>
                </c:pt>
                <c:pt idx="1">
                  <c:v>0.5</c:v>
                </c:pt>
                <c:pt idx="2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4938-4F91-B2E2-DDB6D961F558}"/>
            </c:ext>
          </c:extLst>
        </c:ser>
        <c:ser>
          <c:idx val="13"/>
          <c:order val="13"/>
          <c:tx>
            <c:v>ØvreKvartil3</c:v>
          </c:tx>
          <c:spPr>
            <a:ln w="12700" cap="rnd" cmpd="sng" algn="ctr">
              <a:solidFill>
                <a:srgbClr val="000000">
                  <a:alpha val="0"/>
                </a:srgbClr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Data!$P$10:$P$12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Data!$Q$10:$Q$12</c:f>
              <c:numCache>
                <c:formatCode>General</c:formatCode>
                <c:ptCount val="3"/>
                <c:pt idx="0">
                  <c:v>0</c:v>
                </c:pt>
                <c:pt idx="1">
                  <c:v>0.75</c:v>
                </c:pt>
                <c:pt idx="2">
                  <c:v>0.75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4938-4F91-B2E2-DDB6D961F5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0133120"/>
        <c:axId val="160134656"/>
      </c:scatterChart>
      <c:valAx>
        <c:axId val="160133120"/>
        <c:scaling>
          <c:orientation val="minMax"/>
          <c:min val="0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160134656"/>
        <c:crossesAt val="0"/>
        <c:crossBetween val="midCat"/>
      </c:valAx>
      <c:valAx>
        <c:axId val="160134656"/>
        <c:scaling>
          <c:orientation val="minMax"/>
          <c:max val="1"/>
          <c:min val="0"/>
        </c:scaling>
        <c:delete val="0"/>
        <c:axPos val="l"/>
        <c:majorGridlines/>
        <c:minorGridlines/>
        <c:numFmt formatCode="General" sourceLinked="1"/>
        <c:majorTickMark val="out"/>
        <c:minorTickMark val="in"/>
        <c:tickLblPos val="nextTo"/>
        <c:crossAx val="160133120"/>
        <c:crosses val="autoZero"/>
        <c:crossBetween val="midCat"/>
        <c:majorUnit val="0.25"/>
        <c:minorUnit val="0.05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1"/>
          <c:order val="0"/>
          <c:tx>
            <c:v>Trappediagram</c:v>
          </c:tx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Data!$R$2:$R$3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Data!$S$2:$S$3</c:f>
              <c:numCache>
                <c:formatCode>0%</c:formatCode>
                <c:ptCount val="2"/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23-4D0F-ACB2-0A1F477CD115}"/>
            </c:ext>
          </c:extLst>
        </c:ser>
        <c:ser>
          <c:idx val="0"/>
          <c:order val="1"/>
          <c:tx>
            <c:v>Trappediagram</c:v>
          </c:tx>
          <c:spPr>
            <a:ln w="25400">
              <a:solidFill>
                <a:srgbClr val="0070C0"/>
              </a:solidFill>
              <a:prstDash val="solid"/>
            </a:ln>
          </c:spPr>
          <c:marker>
            <c:symbol val="none"/>
          </c:marker>
          <c:xVal>
            <c:numRef>
              <c:f>Data!$T$2:$T$3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Data!$U$2:$U$3</c:f>
              <c:numCache>
                <c:formatCode>0%</c:formatCode>
                <c:ptCount val="2"/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223-4D0F-ACB2-0A1F477CD115}"/>
            </c:ext>
          </c:extLst>
        </c:ser>
        <c:ser>
          <c:idx val="2"/>
          <c:order val="2"/>
          <c:tx>
            <c:v>Trappediagram</c:v>
          </c:tx>
          <c:spPr>
            <a:ln w="25400">
              <a:solidFill>
                <a:srgbClr val="00B050"/>
              </a:solidFill>
              <a:prstDash val="solid"/>
            </a:ln>
          </c:spPr>
          <c:marker>
            <c:symbol val="none"/>
          </c:marker>
          <c:xVal>
            <c:numRef>
              <c:f>Data!$V$2:$V$4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Data!$W$2:$W$4</c:f>
              <c:numCache>
                <c:formatCode>0%</c:formatCode>
                <c:ptCount val="3"/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223-4D0F-ACB2-0A1F477CD115}"/>
            </c:ext>
          </c:extLst>
        </c:ser>
        <c:ser>
          <c:idx val="3"/>
          <c:order val="3"/>
          <c:tx>
            <c:v>NedreKvartil1</c:v>
          </c:tx>
          <c:spPr>
            <a:ln w="25400" cap="rnd" cmpd="sng" algn="ctr">
              <a:solidFill>
                <a:srgbClr val="000000"/>
              </a:solidFill>
              <a:prstDash val="sysDash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Data!$L$4:$L$6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Data!$M$4:$M$6</c:f>
              <c:numCache>
                <c:formatCode>General</c:formatCode>
                <c:ptCount val="3"/>
                <c:pt idx="0">
                  <c:v>0</c:v>
                </c:pt>
                <c:pt idx="1">
                  <c:v>0.25</c:v>
                </c:pt>
                <c:pt idx="2">
                  <c:v>0.25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223-4D0F-ACB2-0A1F477CD115}"/>
            </c:ext>
          </c:extLst>
        </c:ser>
        <c:ser>
          <c:idx val="4"/>
          <c:order val="4"/>
          <c:tx>
            <c:v>brugerp</c:v>
          </c:tx>
          <c:spPr>
            <a:ln w="19050">
              <a:solidFill>
                <a:srgbClr val="0070C0"/>
              </a:solidFill>
              <a:prstDash val="sysDash"/>
            </a:ln>
          </c:spPr>
          <c:marker>
            <c:symbol val="none"/>
          </c:marker>
          <c:xVal>
            <c:numRef>
              <c:f>Data!$L$13:$L$15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Data!$M$13:$M$15</c:f>
              <c:numCache>
                <c:formatCode>0%</c:formatCode>
                <c:ptCount val="3"/>
                <c:pt idx="0" formatCode="General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223-4D0F-ACB2-0A1F477CD115}"/>
            </c:ext>
          </c:extLst>
        </c:ser>
        <c:ser>
          <c:idx val="5"/>
          <c:order val="5"/>
          <c:tx>
            <c:v>brugerp2</c:v>
          </c:tx>
          <c:spPr>
            <a:ln w="19050">
              <a:solidFill>
                <a:srgbClr val="00B050"/>
              </a:solidFill>
              <a:prstDash val="sysDash"/>
            </a:ln>
          </c:spPr>
          <c:marker>
            <c:symbol val="none"/>
          </c:marker>
          <c:xVal>
            <c:numRef>
              <c:f>Data!$L$16:$L$18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Data!$M$16:$M$18</c:f>
              <c:numCache>
                <c:formatCode>0%</c:formatCode>
                <c:ptCount val="3"/>
                <c:pt idx="0" formatCode="General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223-4D0F-ACB2-0A1F477CD115}"/>
            </c:ext>
          </c:extLst>
        </c:ser>
        <c:ser>
          <c:idx val="6"/>
          <c:order val="6"/>
          <c:tx>
            <c:v>Median1</c:v>
          </c:tx>
          <c:spPr>
            <a:ln w="25400" cap="rnd" cmpd="sng" algn="ctr">
              <a:solidFill>
                <a:srgbClr val="000000"/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Data!$L$7:$L$9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Data!$M$7:$M$9</c:f>
              <c:numCache>
                <c:formatCode>General</c:formatCode>
                <c:ptCount val="3"/>
                <c:pt idx="0">
                  <c:v>0</c:v>
                </c:pt>
                <c:pt idx="1">
                  <c:v>0.5</c:v>
                </c:pt>
                <c:pt idx="2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A223-4D0F-ACB2-0A1F477CD115}"/>
            </c:ext>
          </c:extLst>
        </c:ser>
        <c:ser>
          <c:idx val="7"/>
          <c:order val="7"/>
          <c:tx>
            <c:v>ØvreKvartil1</c:v>
          </c:tx>
          <c:spPr>
            <a:ln w="25400" cap="rnd" cmpd="sng" algn="ctr">
              <a:solidFill>
                <a:srgbClr val="000000"/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Data!$L$10:$L$12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Data!$M$10:$M$12</c:f>
              <c:numCache>
                <c:formatCode>General</c:formatCode>
                <c:ptCount val="3"/>
                <c:pt idx="0">
                  <c:v>0</c:v>
                </c:pt>
                <c:pt idx="1">
                  <c:v>0.75</c:v>
                </c:pt>
                <c:pt idx="2">
                  <c:v>0.75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A223-4D0F-ACB2-0A1F477CD115}"/>
            </c:ext>
          </c:extLst>
        </c:ser>
        <c:ser>
          <c:idx val="8"/>
          <c:order val="8"/>
          <c:tx>
            <c:v>Nedrekvartil2</c:v>
          </c:tx>
          <c:spPr>
            <a:ln w="12700" cap="rnd" cmpd="sng" algn="ctr">
              <a:solidFill>
                <a:srgbClr val="000000">
                  <a:alpha val="0"/>
                </a:srgbClr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Data!$N$4:$N$6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Data!$O$4:$O$6</c:f>
              <c:numCache>
                <c:formatCode>General</c:formatCode>
                <c:ptCount val="3"/>
                <c:pt idx="0">
                  <c:v>0</c:v>
                </c:pt>
                <c:pt idx="1">
                  <c:v>0.25</c:v>
                </c:pt>
                <c:pt idx="2">
                  <c:v>0.25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A223-4D0F-ACB2-0A1F477CD115}"/>
            </c:ext>
          </c:extLst>
        </c:ser>
        <c:ser>
          <c:idx val="9"/>
          <c:order val="9"/>
          <c:tx>
            <c:v>Median2</c:v>
          </c:tx>
          <c:spPr>
            <a:ln w="12700" cap="rnd" cmpd="sng" algn="ctr">
              <a:solidFill>
                <a:srgbClr val="000000">
                  <a:alpha val="0"/>
                </a:srgbClr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Data!$N$7:$N$9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Data!$O$7:$O$9</c:f>
              <c:numCache>
                <c:formatCode>General</c:formatCode>
                <c:ptCount val="3"/>
                <c:pt idx="0">
                  <c:v>0</c:v>
                </c:pt>
                <c:pt idx="1">
                  <c:v>0.5</c:v>
                </c:pt>
                <c:pt idx="2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A223-4D0F-ACB2-0A1F477CD115}"/>
            </c:ext>
          </c:extLst>
        </c:ser>
        <c:ser>
          <c:idx val="10"/>
          <c:order val="10"/>
          <c:tx>
            <c:v>Øvrekvartil2</c:v>
          </c:tx>
          <c:spPr>
            <a:ln w="12700" cap="rnd" cmpd="sng" algn="ctr">
              <a:solidFill>
                <a:srgbClr val="000000">
                  <a:alpha val="0"/>
                </a:srgbClr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Data!$N$10:$N$12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Data!$O$10:$O$12</c:f>
              <c:numCache>
                <c:formatCode>General</c:formatCode>
                <c:ptCount val="3"/>
                <c:pt idx="0">
                  <c:v>0</c:v>
                </c:pt>
                <c:pt idx="1">
                  <c:v>0.75</c:v>
                </c:pt>
                <c:pt idx="2">
                  <c:v>0.75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A223-4D0F-ACB2-0A1F477CD115}"/>
            </c:ext>
          </c:extLst>
        </c:ser>
        <c:ser>
          <c:idx val="11"/>
          <c:order val="11"/>
          <c:tx>
            <c:v>NedreKvartil3</c:v>
          </c:tx>
          <c:spPr>
            <a:ln w="12700" cap="rnd" cmpd="sng" algn="ctr">
              <a:solidFill>
                <a:srgbClr val="000000">
                  <a:alpha val="0"/>
                </a:srgbClr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Data!$P$4:$P$6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Data!$Q$4:$Q$6</c:f>
              <c:numCache>
                <c:formatCode>General</c:formatCode>
                <c:ptCount val="3"/>
                <c:pt idx="0">
                  <c:v>0</c:v>
                </c:pt>
                <c:pt idx="1">
                  <c:v>0.25</c:v>
                </c:pt>
                <c:pt idx="2">
                  <c:v>0.25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A223-4D0F-ACB2-0A1F477CD115}"/>
            </c:ext>
          </c:extLst>
        </c:ser>
        <c:ser>
          <c:idx val="12"/>
          <c:order val="12"/>
          <c:tx>
            <c:v>Median3</c:v>
          </c:tx>
          <c:spPr>
            <a:ln w="12700" cap="rnd" cmpd="sng" algn="ctr">
              <a:solidFill>
                <a:srgbClr val="000000">
                  <a:alpha val="0"/>
                </a:srgbClr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Data!$P$7:$P$9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Data!$Q$7:$Q$9</c:f>
              <c:numCache>
                <c:formatCode>General</c:formatCode>
                <c:ptCount val="3"/>
                <c:pt idx="0">
                  <c:v>0</c:v>
                </c:pt>
                <c:pt idx="1">
                  <c:v>0.5</c:v>
                </c:pt>
                <c:pt idx="2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A223-4D0F-ACB2-0A1F477CD115}"/>
            </c:ext>
          </c:extLst>
        </c:ser>
        <c:ser>
          <c:idx val="13"/>
          <c:order val="13"/>
          <c:tx>
            <c:v>ØvreKvartil3</c:v>
          </c:tx>
          <c:spPr>
            <a:ln w="12700" cap="rnd" cmpd="sng" algn="ctr">
              <a:solidFill>
                <a:srgbClr val="000000">
                  <a:alpha val="0"/>
                </a:srgbClr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Data!$P$10:$P$12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Data!$Q$10:$Q$12</c:f>
              <c:numCache>
                <c:formatCode>General</c:formatCode>
                <c:ptCount val="3"/>
                <c:pt idx="0">
                  <c:v>0</c:v>
                </c:pt>
                <c:pt idx="1">
                  <c:v>0.75</c:v>
                </c:pt>
                <c:pt idx="2">
                  <c:v>0.75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A223-4D0F-ACB2-0A1F477CD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2630016"/>
        <c:axId val="172631552"/>
      </c:scatterChart>
      <c:valAx>
        <c:axId val="172630016"/>
        <c:scaling>
          <c:orientation val="minMax"/>
          <c:min val="0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172631552"/>
        <c:crossesAt val="0"/>
        <c:crossBetween val="midCat"/>
      </c:valAx>
      <c:valAx>
        <c:axId val="172631552"/>
        <c:scaling>
          <c:orientation val="minMax"/>
          <c:max val="1"/>
          <c:min val="0"/>
        </c:scaling>
        <c:delete val="0"/>
        <c:axPos val="l"/>
        <c:majorGridlines/>
        <c:minorGridlines/>
        <c:numFmt formatCode="General" sourceLinked="1"/>
        <c:majorTickMark val="out"/>
        <c:minorTickMark val="in"/>
        <c:tickLblPos val="nextTo"/>
        <c:crossAx val="172630016"/>
        <c:crosses val="autoZero"/>
        <c:crossBetween val="midCat"/>
        <c:majorUnit val="0.25"/>
        <c:minorUnit val="0.05"/>
      </c:valAx>
    </c:plotArea>
    <c:plotVisOnly val="1"/>
    <c:dispBlanksAs val="gap"/>
    <c:showDLblsOverMax val="0"/>
  </c:char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100-000000000000}">
  <sheetPr codeName="Diagram1"/>
  <sheetViews>
    <sheetView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11</xdr:row>
      <xdr:rowOff>42862</xdr:rowOff>
    </xdr:from>
    <xdr:to>
      <xdr:col>20</xdr:col>
      <xdr:colOff>9525</xdr:colOff>
      <xdr:row>25</xdr:row>
      <xdr:rowOff>147637</xdr:rowOff>
    </xdr:to>
    <xdr:graphicFrame macro="">
      <xdr:nvGraphicFramePr>
        <xdr:cNvPr id="3" name="Diagram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Data"/>
  <dimension ref="A1:W18"/>
  <sheetViews>
    <sheetView showGridLines="0" tabSelected="1" workbookViewId="0">
      <selection activeCell="A4" sqref="A4"/>
    </sheetView>
  </sheetViews>
  <sheetFormatPr defaultRowHeight="14.5" x14ac:dyDescent="0.35"/>
  <cols>
    <col min="1" max="1" width="5.453125" customWidth="1"/>
    <col min="2" max="2" width="7.81640625" style="2" customWidth="1"/>
    <col min="3" max="3" width="6.453125" style="4" customWidth="1"/>
    <col min="4" max="4" width="8.7265625" style="2" customWidth="1"/>
    <col min="5" max="5" width="6.54296875" style="14" customWidth="1"/>
    <col min="6" max="7" width="7.7265625" style="2" customWidth="1"/>
    <col min="8" max="10" width="7.1796875" customWidth="1"/>
    <col min="11" max="17" width="0.26953125" customWidth="1"/>
    <col min="18" max="23" width="0.26953125" style="6" customWidth="1"/>
  </cols>
  <sheetData>
    <row r="1" spans="1:23" ht="15" thickBot="1" x14ac:dyDescent="0.4">
      <c r="A1" s="1" t="s">
        <v>2</v>
      </c>
      <c r="G1" s="2" t="s">
        <v>3</v>
      </c>
    </row>
    <row r="2" spans="1:23" ht="15" thickBot="1" x14ac:dyDescent="0.4">
      <c r="A2" t="s">
        <v>4</v>
      </c>
      <c r="C2" s="9" t="s">
        <v>5</v>
      </c>
      <c r="E2" s="14" t="s">
        <v>6</v>
      </c>
      <c r="G2" s="34" t="s">
        <v>9</v>
      </c>
      <c r="H2" s="31" t="s">
        <v>4</v>
      </c>
      <c r="I2" s="16" t="s">
        <v>5</v>
      </c>
      <c r="J2" s="17" t="s">
        <v>6</v>
      </c>
      <c r="R2" s="6" t="e">
        <f>$A$3+($A$3-$A$2)/4*3</f>
        <v>#VALUE!</v>
      </c>
      <c r="T2" s="6" t="e">
        <f>$C$3+($C$3-$C$2)/4*3</f>
        <v>#VALUE!</v>
      </c>
      <c r="V2" s="6" t="e">
        <f>$E$3+($E$3-$E$2)/4*3</f>
        <v>#VALUE!</v>
      </c>
    </row>
    <row r="3" spans="1:23" ht="15" thickBot="1" x14ac:dyDescent="0.4">
      <c r="A3" s="24" t="s">
        <v>7</v>
      </c>
      <c r="B3" s="25" t="s">
        <v>8</v>
      </c>
      <c r="C3" s="24" t="s">
        <v>7</v>
      </c>
      <c r="D3" s="26" t="s">
        <v>8</v>
      </c>
      <c r="E3" s="27" t="s">
        <v>7</v>
      </c>
      <c r="F3" s="28" t="s">
        <v>8</v>
      </c>
      <c r="G3" s="35" t="s">
        <v>10</v>
      </c>
      <c r="H3" s="32" t="s">
        <v>1</v>
      </c>
      <c r="I3" s="29"/>
      <c r="J3" s="30"/>
      <c r="L3" s="6">
        <f>MIN(A4,C4,E4)</f>
        <v>0</v>
      </c>
      <c r="M3" s="6"/>
      <c r="N3" s="6"/>
      <c r="O3" s="6"/>
      <c r="P3" s="6"/>
      <c r="Q3" s="6"/>
      <c r="R3" s="6">
        <f>$A$4</f>
        <v>0</v>
      </c>
      <c r="S3" s="7">
        <f>$B$4</f>
        <v>0</v>
      </c>
      <c r="T3" s="8">
        <f>$C$4</f>
        <v>0</v>
      </c>
      <c r="U3" s="7">
        <f>$D$4</f>
        <v>0</v>
      </c>
      <c r="V3" s="8">
        <f>$E$4</f>
        <v>0</v>
      </c>
      <c r="W3" s="7">
        <f>$F$4</f>
        <v>0</v>
      </c>
    </row>
    <row r="4" spans="1:23" x14ac:dyDescent="0.35">
      <c r="A4" s="18"/>
      <c r="B4" s="19"/>
      <c r="C4" s="20"/>
      <c r="D4" s="21"/>
      <c r="E4" s="20"/>
      <c r="F4" s="21"/>
      <c r="G4" s="36" t="s">
        <v>11</v>
      </c>
      <c r="H4" s="33"/>
      <c r="I4" s="22"/>
      <c r="J4" s="23"/>
      <c r="K4" s="7"/>
      <c r="L4" s="6">
        <f>H4</f>
        <v>0</v>
      </c>
      <c r="M4" s="6">
        <v>0</v>
      </c>
      <c r="N4" s="6">
        <f>I4</f>
        <v>0</v>
      </c>
      <c r="O4" s="6">
        <v>0</v>
      </c>
      <c r="P4" s="6">
        <f>J4</f>
        <v>0</v>
      </c>
      <c r="Q4" s="6">
        <v>0</v>
      </c>
      <c r="R4" s="6">
        <f>$A$5</f>
        <v>0</v>
      </c>
      <c r="S4" s="7">
        <f>$B$4</f>
        <v>0</v>
      </c>
      <c r="T4" s="8">
        <f>$C$5</f>
        <v>0</v>
      </c>
      <c r="U4" s="7">
        <f>$D$4</f>
        <v>0</v>
      </c>
      <c r="V4" s="8">
        <f>$E$5</f>
        <v>0</v>
      </c>
      <c r="W4" s="7">
        <f>$F$4</f>
        <v>0</v>
      </c>
    </row>
    <row r="5" spans="1:23" x14ac:dyDescent="0.35">
      <c r="A5" s="10"/>
      <c r="B5" s="12"/>
      <c r="C5" s="11"/>
      <c r="D5" s="3"/>
      <c r="E5" s="11"/>
      <c r="F5" s="3"/>
      <c r="G5" s="37" t="s">
        <v>0</v>
      </c>
      <c r="H5" s="13"/>
      <c r="I5" s="15"/>
      <c r="J5" s="5"/>
      <c r="K5" s="7"/>
      <c r="L5" s="6">
        <f>H4</f>
        <v>0</v>
      </c>
      <c r="M5" s="6">
        <v>0.25</v>
      </c>
      <c r="N5" s="6">
        <f>I4</f>
        <v>0</v>
      </c>
      <c r="O5" s="6">
        <v>0.25</v>
      </c>
      <c r="P5" s="6">
        <f>J4</f>
        <v>0</v>
      </c>
      <c r="Q5" s="6">
        <v>0.25</v>
      </c>
      <c r="R5" s="6">
        <f>$A$5</f>
        <v>0</v>
      </c>
      <c r="S5" s="7">
        <f>$B$5</f>
        <v>0</v>
      </c>
      <c r="T5" s="7">
        <f>$C$5</f>
        <v>0</v>
      </c>
      <c r="U5" s="7">
        <f>$D$5</f>
        <v>0</v>
      </c>
      <c r="V5" s="6">
        <f>$E$5</f>
        <v>0</v>
      </c>
      <c r="W5" s="7">
        <f>$F$5</f>
        <v>0</v>
      </c>
    </row>
    <row r="6" spans="1:23" ht="15" thickBot="1" x14ac:dyDescent="0.4">
      <c r="A6" s="10"/>
      <c r="B6" s="12"/>
      <c r="C6" s="11"/>
      <c r="D6" s="3"/>
      <c r="E6" s="11"/>
      <c r="F6" s="3"/>
      <c r="G6" s="38" t="s">
        <v>12</v>
      </c>
      <c r="H6" s="39"/>
      <c r="I6" s="40"/>
      <c r="J6" s="41"/>
      <c r="K6" s="7"/>
      <c r="L6" s="6">
        <f>$L$3</f>
        <v>0</v>
      </c>
      <c r="M6" s="6">
        <v>0.25</v>
      </c>
      <c r="N6" s="6">
        <f>$L$3</f>
        <v>0</v>
      </c>
      <c r="O6" s="6">
        <v>0.25</v>
      </c>
      <c r="P6" s="6">
        <f>$L$3</f>
        <v>0</v>
      </c>
      <c r="Q6" s="6">
        <v>0.25</v>
      </c>
      <c r="R6" s="6">
        <f>$A$6</f>
        <v>0</v>
      </c>
      <c r="S6" s="7">
        <f>$B$5</f>
        <v>0</v>
      </c>
      <c r="T6" s="7">
        <f>$C$6</f>
        <v>0</v>
      </c>
      <c r="U6" s="7">
        <f>$D$5</f>
        <v>0</v>
      </c>
      <c r="V6" s="6">
        <f>$E$6</f>
        <v>0</v>
      </c>
      <c r="W6" s="7">
        <f>$F$5</f>
        <v>0</v>
      </c>
    </row>
    <row r="7" spans="1:23" x14ac:dyDescent="0.35">
      <c r="A7" s="10"/>
      <c r="B7" s="12"/>
      <c r="C7" s="11"/>
      <c r="D7" s="3"/>
      <c r="E7" s="11"/>
      <c r="F7" s="3"/>
      <c r="G7" s="44" t="s">
        <v>13</v>
      </c>
      <c r="H7" s="45"/>
      <c r="I7" s="46"/>
      <c r="J7" s="47"/>
      <c r="K7" s="7"/>
      <c r="L7" s="6">
        <f>H5</f>
        <v>0</v>
      </c>
      <c r="M7" s="6">
        <v>0</v>
      </c>
      <c r="N7" s="6">
        <f>I5</f>
        <v>0</v>
      </c>
      <c r="O7" s="6">
        <v>0</v>
      </c>
      <c r="P7" s="6">
        <f>J5</f>
        <v>0</v>
      </c>
      <c r="Q7" s="6">
        <v>0</v>
      </c>
      <c r="R7" s="6">
        <f>$A$6</f>
        <v>0</v>
      </c>
      <c r="S7" s="7">
        <f>$B$6</f>
        <v>0</v>
      </c>
      <c r="T7" s="7">
        <f>$C$6</f>
        <v>0</v>
      </c>
      <c r="U7" s="7">
        <f>$D$6</f>
        <v>0</v>
      </c>
      <c r="V7" s="6">
        <f>$E$6</f>
        <v>0</v>
      </c>
      <c r="W7" s="7">
        <f>$F$6</f>
        <v>0</v>
      </c>
    </row>
    <row r="8" spans="1:23" x14ac:dyDescent="0.35">
      <c r="A8" s="10"/>
      <c r="B8" s="12"/>
      <c r="C8" s="11"/>
      <c r="D8" s="3"/>
      <c r="E8" s="11"/>
      <c r="F8" s="3"/>
      <c r="G8" s="48"/>
      <c r="H8" s="42"/>
      <c r="I8" s="43"/>
      <c r="J8" s="49"/>
      <c r="K8" s="6"/>
      <c r="L8" s="6">
        <f>H5</f>
        <v>0</v>
      </c>
      <c r="M8" s="6">
        <v>0.5</v>
      </c>
      <c r="N8" s="6">
        <f>I5</f>
        <v>0</v>
      </c>
      <c r="O8" s="6">
        <v>0.5</v>
      </c>
      <c r="P8" s="6">
        <f>J5</f>
        <v>0</v>
      </c>
      <c r="Q8" s="6">
        <v>0.5</v>
      </c>
      <c r="R8" s="6">
        <f>$A$7</f>
        <v>0</v>
      </c>
      <c r="S8" s="7">
        <f>$B$6</f>
        <v>0</v>
      </c>
      <c r="T8" s="7">
        <f>$C$7</f>
        <v>0</v>
      </c>
      <c r="U8" s="7">
        <f>$D$6</f>
        <v>0</v>
      </c>
      <c r="V8" s="6">
        <f>$E$7</f>
        <v>0</v>
      </c>
      <c r="W8" s="7">
        <f>$F$6</f>
        <v>0</v>
      </c>
    </row>
    <row r="9" spans="1:23" ht="15" thickBot="1" x14ac:dyDescent="0.4">
      <c r="A9" s="54"/>
      <c r="B9" s="12"/>
      <c r="C9" s="55"/>
      <c r="D9" s="12"/>
      <c r="E9" s="55"/>
      <c r="F9" s="3"/>
      <c r="G9" s="50"/>
      <c r="H9" s="51"/>
      <c r="I9" s="52"/>
      <c r="J9" s="53"/>
      <c r="K9" s="6"/>
      <c r="L9" s="6">
        <f>$L$3</f>
        <v>0</v>
      </c>
      <c r="M9" s="6">
        <v>0.5</v>
      </c>
      <c r="N9" s="6">
        <f>$L$3</f>
        <v>0</v>
      </c>
      <c r="O9" s="6">
        <v>0.5</v>
      </c>
      <c r="P9" s="6">
        <f>$L$3</f>
        <v>0</v>
      </c>
      <c r="Q9" s="6">
        <v>0.5</v>
      </c>
      <c r="R9" s="6">
        <f>$A$7</f>
        <v>0</v>
      </c>
      <c r="S9" s="7">
        <f>$B$7</f>
        <v>0</v>
      </c>
      <c r="T9" s="7">
        <f>$C$7</f>
        <v>0</v>
      </c>
      <c r="U9" s="7">
        <f>$D$7</f>
        <v>0</v>
      </c>
      <c r="V9" s="6">
        <f>$E$7</f>
        <v>0</v>
      </c>
      <c r="W9" s="7">
        <f>$F$7</f>
        <v>0</v>
      </c>
    </row>
    <row r="10" spans="1:23" x14ac:dyDescent="0.35">
      <c r="A10" s="54"/>
      <c r="B10" s="12"/>
      <c r="C10" s="55"/>
      <c r="D10" s="12"/>
      <c r="E10" s="56"/>
      <c r="F10" s="12"/>
      <c r="I10" s="6"/>
      <c r="J10" s="7"/>
      <c r="K10" s="6"/>
      <c r="L10" s="6">
        <f>H6</f>
        <v>0</v>
      </c>
      <c r="M10" s="6">
        <v>0</v>
      </c>
      <c r="N10" s="6">
        <f>I6</f>
        <v>0</v>
      </c>
      <c r="O10" s="6">
        <v>0</v>
      </c>
      <c r="P10" s="6">
        <f>J6</f>
        <v>0</v>
      </c>
      <c r="Q10" s="6">
        <v>0</v>
      </c>
      <c r="R10" s="6">
        <f>$A$8</f>
        <v>0</v>
      </c>
      <c r="S10" s="7">
        <f>$B$7</f>
        <v>0</v>
      </c>
      <c r="T10" s="7">
        <f>$C$8</f>
        <v>0</v>
      </c>
      <c r="U10" s="7">
        <f>$D$7</f>
        <v>0</v>
      </c>
      <c r="V10" s="6">
        <f>$E$8</f>
        <v>0</v>
      </c>
      <c r="W10" s="7">
        <f>$F$7</f>
        <v>0</v>
      </c>
    </row>
    <row r="11" spans="1:23" x14ac:dyDescent="0.35">
      <c r="A11" s="54"/>
      <c r="B11" s="12"/>
      <c r="C11" s="55"/>
      <c r="D11" s="12"/>
      <c r="E11" s="56"/>
      <c r="F11" s="12"/>
      <c r="I11" s="6"/>
      <c r="J11" s="6"/>
      <c r="K11" s="6"/>
      <c r="L11" s="6">
        <f>H6</f>
        <v>0</v>
      </c>
      <c r="M11" s="6">
        <v>0.75</v>
      </c>
      <c r="N11" s="6">
        <f>I6</f>
        <v>0</v>
      </c>
      <c r="O11" s="6">
        <v>0.75</v>
      </c>
      <c r="P11" s="6">
        <f>J6</f>
        <v>0</v>
      </c>
      <c r="Q11" s="6">
        <v>0.75</v>
      </c>
      <c r="R11" s="6">
        <f>$A$8</f>
        <v>0</v>
      </c>
      <c r="S11" s="7">
        <f>$B$8</f>
        <v>0</v>
      </c>
      <c r="T11" s="6">
        <f>$C$8</f>
        <v>0</v>
      </c>
      <c r="U11" s="7">
        <f>$D$8</f>
        <v>0</v>
      </c>
      <c r="V11" s="6">
        <f>$E$8</f>
        <v>0</v>
      </c>
      <c r="W11" s="7">
        <f>$F$8</f>
        <v>0</v>
      </c>
    </row>
    <row r="12" spans="1:23" x14ac:dyDescent="0.35">
      <c r="I12" s="6"/>
      <c r="J12" s="6"/>
      <c r="K12" s="8"/>
      <c r="L12" s="6">
        <f>$L$3</f>
        <v>0</v>
      </c>
      <c r="M12" s="6">
        <v>0.75</v>
      </c>
      <c r="N12" s="6">
        <f>$L$3</f>
        <v>0</v>
      </c>
      <c r="O12" s="6">
        <v>0.75</v>
      </c>
      <c r="P12" s="6">
        <f>$L$3</f>
        <v>0</v>
      </c>
      <c r="Q12" s="6">
        <v>0.75</v>
      </c>
      <c r="R12" s="6">
        <f>$A$8+($A$8-$A$7)/4*3</f>
        <v>0</v>
      </c>
      <c r="S12" s="7">
        <f>$B$8</f>
        <v>0</v>
      </c>
      <c r="T12" s="6">
        <f>$C$8+($C$8-$C$7)/4*3</f>
        <v>0</v>
      </c>
      <c r="U12" s="7">
        <f>$D$8</f>
        <v>0</v>
      </c>
      <c r="V12" s="6">
        <f>$E$9</f>
        <v>0</v>
      </c>
      <c r="W12" s="7">
        <f>$F$8</f>
        <v>0</v>
      </c>
    </row>
    <row r="13" spans="1:23" x14ac:dyDescent="0.35">
      <c r="I13" s="6"/>
      <c r="J13" s="6"/>
      <c r="K13" s="8"/>
      <c r="L13" s="6">
        <f>H8</f>
        <v>0</v>
      </c>
      <c r="M13" s="6">
        <v>0</v>
      </c>
      <c r="N13" s="6">
        <f>I8</f>
        <v>0</v>
      </c>
      <c r="O13" s="6">
        <v>0</v>
      </c>
      <c r="P13" s="8">
        <f>J8</f>
        <v>0</v>
      </c>
      <c r="Q13" s="6">
        <v>0</v>
      </c>
      <c r="R13" s="6">
        <f>$A$9</f>
        <v>0</v>
      </c>
      <c r="S13" s="7">
        <f>$B$9</f>
        <v>0</v>
      </c>
      <c r="V13" s="6">
        <f>$E$9</f>
        <v>0</v>
      </c>
      <c r="W13" s="7">
        <f>$F$9</f>
        <v>0</v>
      </c>
    </row>
    <row r="14" spans="1:23" x14ac:dyDescent="0.35">
      <c r="I14" s="6"/>
      <c r="J14" s="6"/>
      <c r="K14" s="6"/>
      <c r="L14" s="6">
        <f>H8</f>
        <v>0</v>
      </c>
      <c r="M14" s="7">
        <f>$G$8</f>
        <v>0</v>
      </c>
      <c r="N14" s="6">
        <f>I8</f>
        <v>0</v>
      </c>
      <c r="O14" s="7">
        <f>$G$8</f>
        <v>0</v>
      </c>
      <c r="P14" s="8">
        <f>J8</f>
        <v>0</v>
      </c>
      <c r="Q14" s="7">
        <f>$G$8</f>
        <v>0</v>
      </c>
      <c r="R14" s="6">
        <f>$A$10</f>
        <v>0</v>
      </c>
      <c r="S14" s="7">
        <f>$B$9</f>
        <v>0</v>
      </c>
      <c r="V14" s="6">
        <f>$E$9+($E$9-$E$8)/4*3</f>
        <v>0</v>
      </c>
      <c r="W14" s="7">
        <f>$F$9</f>
        <v>0</v>
      </c>
    </row>
    <row r="15" spans="1:23" x14ac:dyDescent="0.35">
      <c r="I15" s="6"/>
      <c r="J15" s="6"/>
      <c r="K15" s="6"/>
      <c r="L15" s="6">
        <f>$L$3</f>
        <v>0</v>
      </c>
      <c r="M15" s="7">
        <f>$G$8</f>
        <v>0</v>
      </c>
      <c r="N15" s="6">
        <f>$L$3</f>
        <v>0</v>
      </c>
      <c r="O15" s="7">
        <f>$G$8</f>
        <v>0</v>
      </c>
      <c r="P15" s="6">
        <f>$L$3</f>
        <v>0</v>
      </c>
      <c r="Q15" s="7">
        <f>$G$8</f>
        <v>0</v>
      </c>
      <c r="R15" s="6">
        <f>$A$10</f>
        <v>0</v>
      </c>
      <c r="S15" s="7">
        <f>$B$10</f>
        <v>0</v>
      </c>
    </row>
    <row r="16" spans="1:23" x14ac:dyDescent="0.35">
      <c r="I16" s="6"/>
      <c r="J16" s="6"/>
      <c r="K16" s="6"/>
      <c r="L16" s="6">
        <f>H9</f>
        <v>0</v>
      </c>
      <c r="M16" s="6">
        <v>0</v>
      </c>
      <c r="N16" s="6">
        <f>I9</f>
        <v>0</v>
      </c>
      <c r="O16" s="6">
        <v>0</v>
      </c>
      <c r="P16" s="8">
        <f>J9</f>
        <v>0</v>
      </c>
      <c r="Q16" s="6">
        <v>0</v>
      </c>
      <c r="R16" s="6">
        <f>$A$11</f>
        <v>0</v>
      </c>
      <c r="S16" s="7">
        <f>$B$10</f>
        <v>0</v>
      </c>
    </row>
    <row r="17" spans="9:19" x14ac:dyDescent="0.35">
      <c r="I17" s="6"/>
      <c r="J17" s="6"/>
      <c r="K17" s="6"/>
      <c r="L17" s="6">
        <f>H9</f>
        <v>0</v>
      </c>
      <c r="M17" s="7">
        <f>$G$9</f>
        <v>0</v>
      </c>
      <c r="N17" s="6">
        <f>I9</f>
        <v>0</v>
      </c>
      <c r="O17" s="7">
        <f>$G$9</f>
        <v>0</v>
      </c>
      <c r="P17" s="8">
        <f>J9</f>
        <v>0</v>
      </c>
      <c r="Q17" s="7">
        <f>$G$9</f>
        <v>0</v>
      </c>
      <c r="R17" s="6">
        <f>$A$11</f>
        <v>0</v>
      </c>
      <c r="S17" s="7">
        <f>$B$11</f>
        <v>0</v>
      </c>
    </row>
    <row r="18" spans="9:19" x14ac:dyDescent="0.35">
      <c r="L18" s="6">
        <f>$L$3</f>
        <v>0</v>
      </c>
      <c r="M18" s="7">
        <f>$G$9</f>
        <v>0</v>
      </c>
      <c r="N18" s="6">
        <f>$L$3</f>
        <v>0</v>
      </c>
      <c r="O18" s="7">
        <f>$G$9</f>
        <v>0</v>
      </c>
      <c r="P18" s="6">
        <f>$L$3</f>
        <v>0</v>
      </c>
      <c r="Q18" s="7">
        <f>$G$9</f>
        <v>0</v>
      </c>
      <c r="R18" s="6">
        <f>$A$11+($A$11-$A$10)/4*3</f>
        <v>0</v>
      </c>
      <c r="S18" s="7">
        <f>$B$11</f>
        <v>0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Regneark</vt:lpstr>
      </vt:variant>
      <vt:variant>
        <vt:i4>1</vt:i4>
      </vt:variant>
      <vt:variant>
        <vt:lpstr>Diagrammer</vt:lpstr>
      </vt:variant>
      <vt:variant>
        <vt:i4>1</vt:i4>
      </vt:variant>
    </vt:vector>
  </HeadingPairs>
  <TitlesOfParts>
    <vt:vector size="2" baseType="lpstr">
      <vt:lpstr>Data</vt:lpstr>
      <vt:lpstr>Stair case diagram</vt:lpstr>
    </vt:vector>
  </TitlesOfParts>
  <Company>Nyborg Gymnasium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G4IA</dc:creator>
  <cp:lastModifiedBy>Mikael Samsøe Sørensen</cp:lastModifiedBy>
  <dcterms:created xsi:type="dcterms:W3CDTF">2010-01-03T09:20:22Z</dcterms:created>
  <dcterms:modified xsi:type="dcterms:W3CDTF">2019-10-18T18:33:06Z</dcterms:modified>
</cp:coreProperties>
</file>