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Denne_projektmappe" defaultThemeVersion="166925"/>
  <mc:AlternateContent xmlns:mc="http://schemas.openxmlformats.org/markup-compatibility/2006">
    <mc:Choice Requires="x15">
      <x15ac:absPath xmlns:x15ac="http://schemas.microsoft.com/office/spreadsheetml/2010/11/ac" url="C:\Users\mikae\OneDrive\Dokumenter\Eduap\WordMat\Excelfiler\"/>
    </mc:Choice>
  </mc:AlternateContent>
  <xr:revisionPtr revIDLastSave="0" documentId="13_ncr:1_{75603B18-2EFF-470E-BBEE-993309527488}" xr6:coauthVersionLast="45" xr6:coauthVersionMax="45" xr10:uidLastSave="{00000000-0000-0000-0000-000000000000}"/>
  <bookViews>
    <workbookView xWindow="0" yWindow="890" windowWidth="27500" windowHeight="17830" xr2:uid="{00000000-000D-0000-FFFF-FFFF00000000}"/>
  </bookViews>
  <sheets>
    <sheet name="Chi2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1" l="1"/>
  <c r="F11" i="1"/>
  <c r="E11" i="1"/>
  <c r="D11" i="1"/>
  <c r="C11" i="1"/>
  <c r="B11" i="1"/>
  <c r="D9" i="1"/>
  <c r="D8" i="1"/>
  <c r="D7" i="1"/>
  <c r="B7" i="1"/>
  <c r="H5" i="1"/>
  <c r="G5" i="1"/>
  <c r="F5" i="1"/>
  <c r="H4" i="1"/>
  <c r="H3" i="1"/>
  <c r="G4" i="1"/>
  <c r="F4" i="1"/>
  <c r="G3" i="1"/>
  <c r="F3" i="1"/>
  <c r="D5" i="1"/>
  <c r="C5" i="1"/>
  <c r="B5" i="1"/>
  <c r="D4" i="1"/>
  <c r="D3" i="1"/>
</calcChain>
</file>

<file path=xl/sharedStrings.xml><?xml version="1.0" encoding="utf-8"?>
<sst xmlns="http://schemas.openxmlformats.org/spreadsheetml/2006/main" count="11" uniqueCount="9">
  <si>
    <t>χ²-test</t>
  </si>
  <si>
    <t>Observationer</t>
  </si>
  <si>
    <t>Forventede</t>
  </si>
  <si>
    <t>I alt</t>
  </si>
  <si>
    <t>P-værdi:</t>
  </si>
  <si>
    <t>Signifikans niveau:</t>
  </si>
  <si>
    <t>Frihedsgrader:</t>
  </si>
  <si>
    <t>Q-værdi</t>
  </si>
  <si>
    <t>Kritisk Q-værdi: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</si>
</sst>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color rgb="FFAAAAAA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ck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thick">
        <color indexed="8"/>
      </left>
      <right style="thin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8"/>
      </left>
      <right style="thick">
        <color indexed="8"/>
      </right>
      <top style="thick">
        <color indexed="8"/>
      </top>
      <bottom style="thin">
        <color indexed="8"/>
      </bottom>
      <diagonal/>
    </border>
    <border>
      <left style="thick">
        <color indexed="8"/>
      </left>
      <right style="thin">
        <color indexed="8"/>
      </right>
      <top style="thin">
        <color indexed="8"/>
      </top>
      <bottom style="thick">
        <color indexed="8"/>
      </bottom>
      <diagonal/>
    </border>
    <border>
      <left style="thin">
        <color indexed="8"/>
      </left>
      <right style="thick">
        <color indexed="8"/>
      </right>
      <top style="thin">
        <color indexed="8"/>
      </top>
      <bottom style="thick">
        <color indexed="8"/>
      </bottom>
      <diagonal/>
    </border>
    <border>
      <left style="thin">
        <color indexed="8"/>
      </left>
      <right style="thick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ck">
        <color indexed="8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10" fontId="2" fillId="0" borderId="0" xfId="0" applyNumberFormat="1" applyFont="1"/>
    <xf numFmtId="0" fontId="0" fillId="0" borderId="0" xfId="0" applyAlignment="1">
      <alignment horizontal="right"/>
    </xf>
    <xf numFmtId="9" fontId="0" fillId="0" borderId="0" xfId="1" applyFont="1"/>
    <xf numFmtId="0" fontId="2" fillId="0" borderId="0" xfId="0" applyFont="1"/>
    <xf numFmtId="0" fontId="3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" xfId="0" applyBorder="1"/>
    <xf numFmtId="0" fontId="4" fillId="0" borderId="0" xfId="0" applyFont="1"/>
    <xf numFmtId="9" fontId="2" fillId="0" borderId="0" xfId="1" applyFont="1"/>
    <xf numFmtId="0" fontId="0" fillId="0" borderId="0" xfId="0" applyBorder="1"/>
  </cellXfs>
  <cellStyles count="2">
    <cellStyle name="Normal" xfId="0" builtinId="0"/>
    <cellStyle name="Pro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12700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28" name="ButtonSe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Sæt antal rækker og kolonner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J12"/>
  <sheetViews>
    <sheetView tabSelected="1" workbookViewId="0">
      <selection activeCell="A2" sqref="A2"/>
    </sheetView>
  </sheetViews>
  <sheetFormatPr defaultRowHeight="14.5" x14ac:dyDescent="0.35"/>
  <cols>
    <col min="1" max="1" width="17.6328125" customWidth="1"/>
    <col min="2" max="2" width="11.81640625" bestFit="1" customWidth="1"/>
  </cols>
  <sheetData>
    <row r="1" spans="1:10" ht="23.5" x14ac:dyDescent="0.55000000000000004">
      <c r="A1" s="5" t="s">
        <v>0</v>
      </c>
    </row>
    <row r="2" spans="1:10" ht="15" thickBot="1" x14ac:dyDescent="0.4">
      <c r="B2" t="s">
        <v>1</v>
      </c>
      <c r="D2" t="s">
        <v>3</v>
      </c>
      <c r="F2" t="s">
        <v>2</v>
      </c>
      <c r="H2" t="s">
        <v>3</v>
      </c>
    </row>
    <row r="3" spans="1:10" ht="15" thickTop="1" x14ac:dyDescent="0.35">
      <c r="B3" s="6"/>
      <c r="C3" s="7"/>
      <c r="D3" s="7">
        <f>SUM($B$3:$C$3)</f>
        <v>0</v>
      </c>
      <c r="E3" s="15"/>
      <c r="F3" s="6">
        <f>IF($D$5&gt;0,$B$5*$D$3/$D$5,0)</f>
        <v>0</v>
      </c>
      <c r="G3" s="7">
        <f>IF($D$5&gt;0,$C$5*$D$3/$D$5,0)</f>
        <v>0</v>
      </c>
      <c r="H3" s="7">
        <f>SUM($F$3:$G$3)</f>
        <v>0</v>
      </c>
      <c r="I3" s="15"/>
      <c r="J3" s="15"/>
    </row>
    <row r="4" spans="1:10" ht="15" thickBot="1" x14ac:dyDescent="0.4">
      <c r="B4" s="8"/>
      <c r="C4" s="9"/>
      <c r="D4" s="10">
        <f>SUM($B$4:$C$4)</f>
        <v>0</v>
      </c>
      <c r="E4" s="15"/>
      <c r="F4" s="8">
        <f>IF($D$5&gt;0,$B$5*$D$4/$D$5,0)</f>
        <v>0</v>
      </c>
      <c r="G4" s="9">
        <f>IF($D$5&gt;0,$C$5*$D$4/$D$5,0)</f>
        <v>0</v>
      </c>
      <c r="H4" s="10">
        <f>SUM($F$4:$G$4)</f>
        <v>0</v>
      </c>
      <c r="I4" s="15"/>
      <c r="J4" s="15"/>
    </row>
    <row r="5" spans="1:10" ht="15.5" thickTop="1" thickBot="1" x14ac:dyDescent="0.4">
      <c r="A5" s="2" t="s">
        <v>3</v>
      </c>
      <c r="B5" s="8">
        <f>SUM($B$3:$B$4)</f>
        <v>0</v>
      </c>
      <c r="C5" s="11">
        <f>SUM($C$3:$C$4)</f>
        <v>0</v>
      </c>
      <c r="D5" s="12">
        <f>SUM($B$5:$C$5)</f>
        <v>0</v>
      </c>
      <c r="E5" s="15"/>
      <c r="F5" s="8">
        <f>SUM($F$3:$F$4)</f>
        <v>0</v>
      </c>
      <c r="G5" s="11">
        <f>SUM($G$3:$G$4)</f>
        <v>0</v>
      </c>
      <c r="H5" s="12">
        <f>SUM($H$3:$H$4)</f>
        <v>0</v>
      </c>
      <c r="I5" s="15"/>
      <c r="J5" s="15"/>
    </row>
    <row r="6" spans="1:10" ht="15" thickTop="1" x14ac:dyDescent="0.35">
      <c r="A6" s="2"/>
      <c r="B6" s="15"/>
      <c r="C6" s="15"/>
      <c r="D6" s="15"/>
      <c r="E6" s="15"/>
      <c r="F6" s="15"/>
      <c r="G6" s="15"/>
      <c r="H6" s="15"/>
      <c r="I6" s="15"/>
      <c r="J6" s="15"/>
    </row>
    <row r="7" spans="1:10" x14ac:dyDescent="0.35">
      <c r="A7" s="2" t="s">
        <v>4</v>
      </c>
      <c r="B7" s="1" t="e">
        <f>CHITEST($B$3:$C$4,$F$3:$G$4)</f>
        <v>#DIV/0!</v>
      </c>
      <c r="D7" s="4" t="e">
        <f>IF($B$7&lt;$B$8,"Der er en sammenhæng","Der er ikke en sammenhæng")</f>
        <v>#DIV/0!</v>
      </c>
    </row>
    <row r="8" spans="1:10" x14ac:dyDescent="0.35">
      <c r="A8" s="2" t="s">
        <v>5</v>
      </c>
      <c r="B8" s="14">
        <v>0.05</v>
      </c>
      <c r="D8" s="4" t="str">
        <f>IF(COUNTIF($B$3:$C$4,"&lt;5")&gt;0,"Der er celler med værdier mindre end 5. χ²-fordelingen er derfor en dårlig approksimation i dette tilfælde og resultatet upålideligt.","")</f>
        <v/>
      </c>
    </row>
    <row r="9" spans="1:10" x14ac:dyDescent="0.35">
      <c r="B9" s="3"/>
      <c r="D9" t="str">
        <f>IF(SUM($B$3:$C$4)&lt;50,"Den samlede sum af alle celler er mindre end 50. χ²-fordelingen er derfor en dårlig approksimation i dette tilfælde og resultatet upålideligt.","")</f>
        <v>Den samlede sum af alle celler er mindre end 50. χ²-fordelingen er derfor en dårlig approksimation i dette tilfælde og resultatet upålideligt.</v>
      </c>
    </row>
    <row r="10" spans="1:10" x14ac:dyDescent="0.35">
      <c r="A10" s="2" t="s">
        <v>6</v>
      </c>
      <c r="B10">
        <v>1</v>
      </c>
    </row>
    <row r="11" spans="1:10" x14ac:dyDescent="0.35">
      <c r="A11" s="2" t="s">
        <v>7</v>
      </c>
      <c r="B11">
        <f>SUM($C$11:$F$11)</f>
        <v>0</v>
      </c>
      <c r="C11" s="13">
        <f>IF($F$3&gt;0,($B$3-$F$3)^2/$F$3,0)</f>
        <v>0</v>
      </c>
      <c r="D11" s="13">
        <f>IF($G$3&gt;0,($C$3-$G$3)^2/$G$3,0)</f>
        <v>0</v>
      </c>
      <c r="E11" s="13">
        <f>IF($F$4&gt;0,($B$4-$F$4)^2/$F$4,0)</f>
        <v>0</v>
      </c>
      <c r="F11" s="13">
        <f>IF($G$4&gt;0,($C$4-$G$4)^2/$G$4,0)</f>
        <v>0</v>
      </c>
      <c r="G11" s="13"/>
      <c r="H11" s="13"/>
    </row>
    <row r="12" spans="1:10" x14ac:dyDescent="0.35">
      <c r="A12" s="2" t="s">
        <v>8</v>
      </c>
      <c r="B12">
        <f>CHIINV($B$8,$B$10)</f>
        <v>3.8414588206941236</v>
      </c>
      <c r="C12" s="13"/>
      <c r="D12" s="13"/>
      <c r="E12" s="13"/>
      <c r="F12" s="13"/>
      <c r="G12" s="13"/>
      <c r="H12" s="1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Set">
              <controlPr defaultSize="0" print="0" autoFill="0" autoPict="0" macro="[0]!Ark1.ButtonSetklik">
                <anchor moveWithCells="1" sizeWithCells="1">
                  <from>
                    <xdr:col>1</xdr:col>
                    <xdr:colOff>0</xdr:colOff>
                    <xdr:row>0</xdr:row>
                    <xdr:rowOff>12700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1</vt:i4>
      </vt:variant>
    </vt:vector>
  </HeadingPairs>
  <TitlesOfParts>
    <vt:vector size="1" baseType="lpstr">
      <vt:lpstr>Chi2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Samsøe Sørensen</cp:lastModifiedBy>
  <dcterms:created xsi:type="dcterms:W3CDTF">2017-01-02T15:10:57Z</dcterms:created>
  <dcterms:modified xsi:type="dcterms:W3CDTF">2019-10-18T18:28:12Z</dcterms:modified>
</cp:coreProperties>
</file>